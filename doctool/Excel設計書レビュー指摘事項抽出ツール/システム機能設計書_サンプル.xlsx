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updateLinks="never" codeName="ThisWorkbook"/>
  <xr:revisionPtr revIDLastSave="0" documentId="13_ncr:1_{15E7C677-4FEC-43BF-A7DD-4AFF3FB9E314}" xr6:coauthVersionLast="47" xr6:coauthVersionMax="47" xr10:uidLastSave="{00000000-0000-0000-0000-000000000000}"/>
  <bookViews>
    <workbookView xWindow="1425" yWindow="1425" windowWidth="38700" windowHeight="15345" tabRatio="822" activeTab="4" xr2:uid="{00000000-000D-0000-FFFF-FFFF00000000}"/>
  </bookViews>
  <sheets>
    <sheet name="表紙" sheetId="11" r:id="rId1"/>
    <sheet name="変更履歴" sheetId="14" r:id="rId2"/>
    <sheet name="目次" sheetId="30" r:id="rId3"/>
    <sheet name="1.  画面取引定義" sheetId="13" r:id="rId4"/>
    <sheet name="2. WA1020101(プロジェクト登録画面)" sheetId="31" r:id="rId5"/>
    <sheet name="3. WA1020102(プロジェクト登録確認画面)" sheetId="32" r:id="rId6"/>
    <sheet name="4. WA1020103(プロジェクト登録完了画面)" sheetId="28" r:id="rId7"/>
    <sheet name="データ" sheetId="29" state="hidden" r:id="rId8"/>
  </sheets>
  <definedNames>
    <definedName name="_xlnm._FilterDatabase" localSheetId="4" hidden="1">'2. WA1020101(プロジェクト登録画面)'!#REF!</definedName>
    <definedName name="_xlnm._FilterDatabase" localSheetId="5" hidden="1">'3. WA1020102(プロジェクト登録確認画面)'!#REF!</definedName>
    <definedName name="_xlnm._FilterDatabase" localSheetId="6" hidden="1">'4. WA1020103(プロジェクト登録完了画面)'!#REF!</definedName>
    <definedName name="_Toc46209822" localSheetId="3">'1.  画面取引定義'!$B$5</definedName>
    <definedName name="_xlnm.Print_Area" localSheetId="3">'1.  画面取引定義'!$A$1:$AI$21</definedName>
    <definedName name="_xlnm.Print_Area" localSheetId="4">'2. WA1020101(プロジェクト登録画面)'!$A$1:$AI$180</definedName>
    <definedName name="_xlnm.Print_Area" localSheetId="5">'3. WA1020102(プロジェクト登録確認画面)'!$A$1:$AI$136</definedName>
    <definedName name="_xlnm.Print_Area" localSheetId="6">'4. WA1020103(プロジェクト登録完了画面)'!$A$1:$AI$68</definedName>
    <definedName name="_xlnm.Print_Area" localSheetId="7">データ!$A$1:$E$15</definedName>
    <definedName name="_xlnm.Print_Area" localSheetId="0">表紙!$A$1:$S$39</definedName>
    <definedName name="_xlnm.Print_Area" localSheetId="1">変更履歴!$A$1:$AI$34</definedName>
    <definedName name="_xlnm.Print_Area" localSheetId="2">目次!$A$1:$AI$33</definedName>
    <definedName name="_xlnm.Print_Titles" localSheetId="3">'1.  画面取引定義'!$1:$4</definedName>
    <definedName name="_xlnm.Print_Titles" localSheetId="4">'2. WA1020101(プロジェクト登録画面)'!$1:$4</definedName>
    <definedName name="_xlnm.Print_Titles" localSheetId="5">'3. WA1020102(プロジェクト登録確認画面)'!$1:$4</definedName>
    <definedName name="_xlnm.Print_Titles" localSheetId="6">'4. WA1020103(プロジェクト登録完了画面)'!$1:$4</definedName>
    <definedName name="引継項目格納先">データ!$B$2:$B$2</definedName>
    <definedName name="画面項目種類">データ!$A$2:$A$14</definedName>
    <definedName name="種別一覧">データ!$C$2:$C$7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G2" i="14" l="1"/>
  <c r="AG1" i="14"/>
  <c r="AC1" i="14"/>
  <c r="E3" i="32"/>
  <c r="AG1" i="13"/>
  <c r="E1" i="30"/>
  <c r="AG3" i="28"/>
  <c r="AG1" i="28"/>
  <c r="E2" i="32"/>
  <c r="S1" i="13"/>
  <c r="AG3" i="31"/>
  <c r="E2" i="13"/>
  <c r="E2" i="28"/>
  <c r="AG2" i="32"/>
  <c r="AG1" i="32"/>
  <c r="AG3" i="30"/>
  <c r="AG2" i="30"/>
  <c r="AC3" i="32"/>
  <c r="E3" i="13"/>
  <c r="E1" i="28"/>
  <c r="AC2" i="14"/>
  <c r="AC3" i="28"/>
  <c r="AG2" i="31"/>
  <c r="E3" i="28"/>
  <c r="AG1" i="30"/>
  <c r="AC1" i="28"/>
  <c r="E3" i="31"/>
  <c r="AC2" i="31"/>
  <c r="S1" i="30"/>
  <c r="E1" i="31"/>
  <c r="S1" i="32"/>
  <c r="AC2" i="28"/>
  <c r="E1" i="32"/>
  <c r="AG2" i="13"/>
  <c r="I25" i="11"/>
  <c r="S1" i="28"/>
  <c r="AC1" i="13"/>
  <c r="AC3" i="13"/>
  <c r="E2" i="31"/>
  <c r="AC1" i="30"/>
  <c r="AG3" i="32"/>
  <c r="E3" i="30"/>
  <c r="AC1" i="31"/>
  <c r="AG1" i="31"/>
  <c r="AG2" i="28"/>
  <c r="AG3" i="13"/>
  <c r="AC3" i="30"/>
  <c r="AC1" i="32"/>
  <c r="AC3" i="31"/>
  <c r="S1" i="31"/>
  <c r="E1" i="13"/>
  <c r="E2" i="30"/>
  <c r="AC2" i="30"/>
  <c r="AC2" i="32"/>
  <c r="AC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tc={4539A737-6C5D-416E-BD4C-C3AC186843BD}</author>
    <author>tc={AF5E3721-62F2-4BAC-8C77-84161DAD1BAD}</author>
    <author>tc={66F960A9-9436-4783-9492-9D1B2CEF7D12}</author>
    <author>tc={9B9A5636-3B11-44B8-BA07-FE34743466A4}</author>
  </authors>
  <commentList>
    <comment ref="A4" authorId="0" shapeId="0" xr:uid="{7591CB6B-B667-4C04-B1D9-C01A3763A3BF}">
      <text>
        <r>
          <rPr>
            <b/>
            <sz val="9"/>
            <color indexed="81"/>
            <rFont val="MS P ゴシック"/>
            <family val="3"/>
            <charset val="128"/>
          </rPr>
          <t>山田　太郎:*</t>
        </r>
        <r>
          <rPr>
            <sz val="9"/>
            <color indexed="81"/>
            <rFont val="MS P ゴシック"/>
            <family val="3"/>
            <charset val="128"/>
          </rPr>
          <t xml:space="preserve">
実施日:2023/08/01
開始:09:00
終了:14:00
レビュー時間:200</t>
        </r>
      </text>
    </comment>
    <comment ref="A5" authorId="1" shapeId="0" xr:uid="{4539A737-6C5D-416E-BD4C-C3AC186843B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
実施日:2026/03/13
開始:11:00
終了:13:00
レビュー時間:110
返信:
日時の例です。日時コメントを複数記載した場合は最後に読み込まれた値が採用されます。</t>
      </text>
    </comment>
    <comment ref="B5" authorId="0" shapeId="0" xr:uid="{A93A1DD7-88D2-4457-8A5A-DFDB8F70A897}">
      <text>
        <r>
          <rPr>
            <b/>
            <sz val="9"/>
            <color indexed="81"/>
            <rFont val="MS P ゴシック"/>
            <family val="3"/>
            <charset val="128"/>
          </rPr>
          <t>山田　太郎:01</t>
        </r>
        <r>
          <rPr>
            <sz val="9"/>
            <color indexed="81"/>
            <rFont val="MS P ゴシック"/>
            <family val="3"/>
            <charset val="128"/>
          </rPr>
          <t xml:space="preserve">
レビュー指摘コメントの例。
自動で挿入される名前とコロンの直後に指摘分類をa～iで書く。
※レビュー日時を書く場合はコロンの直後に*を書く。</t>
        </r>
      </text>
    </comment>
    <comment ref="B15" authorId="2" shapeId="0" xr:uid="{AF5E3721-62F2-4BAC-8C77-84161DAD1BA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11
レビュー指摘コメントの例。
メモ機能のコメント同様１行目に指摘分類、２行目以降にコメントを記載します。
返信:
対応内容はコメントの返信として入力できます。</t>
      </text>
    </comment>
    <comment ref="B27" authorId="3" shapeId="0" xr:uid="{66F960A9-9436-4783-9492-9D1B2CEF7D1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12
対応内容を確認し、指摘をクローズする場合は「スレッドを解決する」で解決済みとマークします。
返信:
確認日と確認者は最後のコメントの投稿日時・投稿者が採用されます。</t>
      </text>
    </comment>
    <comment ref="B34" authorId="4" shapeId="0" xr:uid="{9B9A5636-3B11-44B8-BA07-FE34743466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最初の1行目が"*"でも指摘分類でもない場合は抽出対象外となり無視されます。</t>
      </text>
    </comment>
    <comment ref="E60" authorId="0" shapeId="0" xr:uid="{176C4C63-98CF-4CD2-9FE1-5BC8B1584CA4}">
      <text>
        <r>
          <rPr>
            <b/>
            <sz val="9"/>
            <color indexed="81"/>
            <rFont val="MS P ゴシック"/>
            <family val="3"/>
            <charset val="128"/>
          </rPr>
          <t>山田　太郎:02</t>
        </r>
        <r>
          <rPr>
            <sz val="9"/>
            <color indexed="81"/>
            <rFont val="MS P ゴシック"/>
            <family val="3"/>
            <charset val="128"/>
          </rPr>
          <t xml:space="preserve">
対応内容の例。
---
対応内容はデリミタ（---）の後に記入する。</t>
        </r>
      </text>
    </comment>
    <comment ref="E62" authorId="0" shapeId="0" xr:uid="{81E521CA-162A-494E-9BBF-39FB0049BED7}">
      <text>
        <r>
          <rPr>
            <b/>
            <sz val="9"/>
            <color indexed="81"/>
            <rFont val="MS P ゴシック"/>
            <family val="3"/>
            <charset val="128"/>
          </rPr>
          <t>山田　太郎:11</t>
        </r>
        <r>
          <rPr>
            <sz val="9"/>
            <color indexed="81"/>
            <rFont val="MS P ゴシック"/>
            <family val="3"/>
            <charset val="128"/>
          </rPr>
          <t xml:space="preserve">
対応内容を確認し、指摘をクローズする例。
---
最後の行に「済」と書くと指摘をクローズできる。
「済」の前にスペースを空けて確認日と確認者を書くこともできる。
08/02山田 済</t>
        </r>
      </text>
    </comment>
    <comment ref="A71" authorId="0" shapeId="0" xr:uid="{65B4222D-5E86-410B-92FE-7C074427CF7F}">
      <text>
        <r>
          <rPr>
            <b/>
            <sz val="9"/>
            <color indexed="81"/>
            <rFont val="MS P ゴシック"/>
            <family val="3"/>
            <charset val="128"/>
          </rPr>
          <t>山田　太郎:</t>
        </r>
        <r>
          <rPr>
            <sz val="9"/>
            <color indexed="81"/>
            <rFont val="MS P ゴシック"/>
            <family val="3"/>
            <charset val="128"/>
          </rPr>
          <t xml:space="preserve">
自動で挿入される名前とコロンの直後に何も書かれていない場合、日時コメント・指摘コメントとして扱われない。</t>
        </r>
      </text>
    </comment>
  </commentList>
</comments>
</file>

<file path=xl/sharedStrings.xml><?xml version="1.0" encoding="utf-8"?>
<sst xmlns="http://schemas.openxmlformats.org/spreadsheetml/2006/main" count="870" uniqueCount="353">
  <si>
    <t>PJ名</t>
  </si>
  <si>
    <t>システム名</t>
  </si>
  <si>
    <t>サブシステム名</t>
  </si>
  <si>
    <t>作成</t>
    <rPh sb="0" eb="2">
      <t>サクセイ</t>
    </rPh>
    <phoneticPr fontId="11"/>
  </si>
  <si>
    <t>変更</t>
    <rPh sb="0" eb="2">
      <t>ヘンコウ</t>
    </rPh>
    <phoneticPr fontId="11"/>
  </si>
  <si>
    <t>変更履歴（ 1　/ 1 ）</t>
  </si>
  <si>
    <t>版数</t>
    <rPh sb="0" eb="2">
      <t>ハンスウ</t>
    </rPh>
    <phoneticPr fontId="10"/>
  </si>
  <si>
    <t>変更日</t>
    <rPh sb="0" eb="3">
      <t>ヘンコウビ</t>
    </rPh>
    <phoneticPr fontId="10"/>
  </si>
  <si>
    <t>区分</t>
    <rPh sb="0" eb="2">
      <t>クブン</t>
    </rPh>
    <phoneticPr fontId="10"/>
  </si>
  <si>
    <t>変更内容</t>
    <rPh sb="0" eb="2">
      <t>ヘンコウ</t>
    </rPh>
    <rPh sb="2" eb="4">
      <t>ナイヨウ</t>
    </rPh>
    <phoneticPr fontId="10"/>
  </si>
  <si>
    <t>担当者</t>
    <rPh sb="0" eb="3">
      <t>タントウシャ</t>
    </rPh>
    <phoneticPr fontId="10"/>
  </si>
  <si>
    <t>No.</t>
  </si>
  <si>
    <t>画面項目種類</t>
    <rPh sb="0" eb="2">
      <t>ガメン</t>
    </rPh>
    <rPh sb="2" eb="4">
      <t>コウモク</t>
    </rPh>
    <rPh sb="4" eb="6">
      <t>シュルイ</t>
    </rPh>
    <phoneticPr fontId="11"/>
  </si>
  <si>
    <t>引継項目格納先</t>
    <rPh sb="0" eb="2">
      <t>ヒキツギ</t>
    </rPh>
    <rPh sb="2" eb="4">
      <t>コウモク</t>
    </rPh>
    <rPh sb="4" eb="6">
      <t>カクノウ</t>
    </rPh>
    <rPh sb="6" eb="7">
      <t>サキ</t>
    </rPh>
    <phoneticPr fontId="11"/>
  </si>
  <si>
    <t>備考</t>
    <phoneticPr fontId="11"/>
  </si>
  <si>
    <t>label</t>
    <phoneticPr fontId="11"/>
  </si>
  <si>
    <t>text</t>
    <phoneticPr fontId="11"/>
  </si>
  <si>
    <t>text(disable)</t>
    <phoneticPr fontId="11"/>
  </si>
  <si>
    <t>textarea</t>
    <phoneticPr fontId="11"/>
  </si>
  <si>
    <t>radio</t>
    <phoneticPr fontId="11"/>
  </si>
  <si>
    <t>checkbox</t>
    <phoneticPr fontId="11"/>
  </si>
  <si>
    <t>select(pulldown)</t>
    <phoneticPr fontId="11"/>
  </si>
  <si>
    <t>select(multiple)</t>
    <phoneticPr fontId="11"/>
  </si>
  <si>
    <t>password</t>
    <phoneticPr fontId="11"/>
  </si>
  <si>
    <t>file</t>
    <phoneticPr fontId="11"/>
  </si>
  <si>
    <t>ソート条件</t>
    <phoneticPr fontId="11"/>
  </si>
  <si>
    <t>正常時遷移先画面</t>
  </si>
  <si>
    <t>初期値</t>
    <rPh sb="0" eb="3">
      <t>ショキチ</t>
    </rPh>
    <phoneticPr fontId="11"/>
  </si>
  <si>
    <t>No.</t>
    <phoneticPr fontId="10"/>
  </si>
  <si>
    <t>表示情報</t>
    <rPh sb="0" eb="2">
      <t>ヒョウジ</t>
    </rPh>
    <rPh sb="2" eb="4">
      <t>ジョウホウ</t>
    </rPh>
    <phoneticPr fontId="11"/>
  </si>
  <si>
    <t>備考</t>
    <rPh sb="0" eb="2">
      <t>ビコウ</t>
    </rPh>
    <phoneticPr fontId="11"/>
  </si>
  <si>
    <t>画面項目名</t>
    <rPh sb="0" eb="2">
      <t>ガメン</t>
    </rPh>
    <rPh sb="2" eb="4">
      <t>コウモク</t>
    </rPh>
    <rPh sb="4" eb="5">
      <t>メイ</t>
    </rPh>
    <phoneticPr fontId="11"/>
  </si>
  <si>
    <t>編集仕様</t>
    <rPh sb="0" eb="2">
      <t>ヘンシュウ</t>
    </rPh>
    <rPh sb="2" eb="4">
      <t>シヨウ</t>
    </rPh>
    <phoneticPr fontId="11"/>
  </si>
  <si>
    <t>ドメイン名</t>
    <rPh sb="4" eb="5">
      <t>メイ</t>
    </rPh>
    <phoneticPr fontId="11"/>
  </si>
  <si>
    <t>成果物名</t>
  </si>
  <si>
    <t>作成</t>
  </si>
  <si>
    <t>変更</t>
  </si>
  <si>
    <t>成果物名</t>
    <phoneticPr fontId="11"/>
  </si>
  <si>
    <t>発生タイミング</t>
    <rPh sb="0" eb="2">
      <t>ハッセイ</t>
    </rPh>
    <phoneticPr fontId="11"/>
  </si>
  <si>
    <t>画面項目種別</t>
    <rPh sb="0" eb="2">
      <t>ガメン</t>
    </rPh>
    <rPh sb="2" eb="4">
      <t>コウモク</t>
    </rPh>
    <rPh sb="4" eb="6">
      <t>シュベツ</t>
    </rPh>
    <phoneticPr fontId="11"/>
  </si>
  <si>
    <t>画面項目名
（物理）</t>
    <rPh sb="0" eb="2">
      <t>ガメン</t>
    </rPh>
    <rPh sb="2" eb="4">
      <t>コウモク</t>
    </rPh>
    <rPh sb="4" eb="5">
      <t>メイ</t>
    </rPh>
    <rPh sb="7" eb="9">
      <t>ブツリ</t>
    </rPh>
    <phoneticPr fontId="11"/>
  </si>
  <si>
    <t>No.</t>
    <phoneticPr fontId="11"/>
  </si>
  <si>
    <t>1. 画面取引定義</t>
    <rPh sb="3" eb="5">
      <t>ガメン</t>
    </rPh>
    <rPh sb="5" eb="7">
      <t>トリヒキ</t>
    </rPh>
    <rPh sb="7" eb="9">
      <t>テイギ</t>
    </rPh>
    <phoneticPr fontId="11"/>
  </si>
  <si>
    <t>ページング有無</t>
    <rPh sb="5" eb="7">
      <t>ウム</t>
    </rPh>
    <phoneticPr fontId="11"/>
  </si>
  <si>
    <t>必須</t>
    <rPh sb="0" eb="2">
      <t>ヒッス</t>
    </rPh>
    <phoneticPr fontId="11"/>
  </si>
  <si>
    <t>取引ID</t>
    <rPh sb="0" eb="2">
      <t>トリヒキ</t>
    </rPh>
    <phoneticPr fontId="11"/>
  </si>
  <si>
    <t>取引名</t>
    <rPh sb="0" eb="2">
      <t>トリヒキ</t>
    </rPh>
    <rPh sb="2" eb="3">
      <t>メイ</t>
    </rPh>
    <phoneticPr fontId="11"/>
  </si>
  <si>
    <t>取引概要</t>
    <rPh sb="0" eb="2">
      <t>トリヒキ</t>
    </rPh>
    <rPh sb="2" eb="4">
      <t>ガイヨウ</t>
    </rPh>
    <phoneticPr fontId="11"/>
  </si>
  <si>
    <t>1.1. 取引概要</t>
    <rPh sb="5" eb="7">
      <t>トリヒキ</t>
    </rPh>
    <rPh sb="7" eb="9">
      <t>ガイヨウ</t>
    </rPh>
    <phoneticPr fontId="11"/>
  </si>
  <si>
    <t>入出力名</t>
    <rPh sb="0" eb="3">
      <t>ニュウシュツリョク</t>
    </rPh>
    <rPh sb="3" eb="4">
      <t>メイ</t>
    </rPh>
    <phoneticPr fontId="11"/>
  </si>
  <si>
    <t>種別</t>
    <rPh sb="0" eb="2">
      <t>シュベツ</t>
    </rPh>
    <phoneticPr fontId="11"/>
  </si>
  <si>
    <t>I/O</t>
    <phoneticPr fontId="11"/>
  </si>
  <si>
    <t>C</t>
    <phoneticPr fontId="11"/>
  </si>
  <si>
    <t>R</t>
    <phoneticPr fontId="11"/>
  </si>
  <si>
    <t>U</t>
    <phoneticPr fontId="11"/>
  </si>
  <si>
    <t>D</t>
    <phoneticPr fontId="11"/>
  </si>
  <si>
    <t>想定利用ユーザ</t>
    <rPh sb="0" eb="2">
      <t>ソウテイ</t>
    </rPh>
    <rPh sb="2" eb="4">
      <t>リヨウ</t>
    </rPh>
    <phoneticPr fontId="11"/>
  </si>
  <si>
    <t>2.2. 一覧表示</t>
    <rPh sb="5" eb="7">
      <t>イチラン</t>
    </rPh>
    <rPh sb="7" eb="9">
      <t>ヒョウジ</t>
    </rPh>
    <phoneticPr fontId="11"/>
  </si>
  <si>
    <t>DBアクセス種別</t>
    <rPh sb="6" eb="8">
      <t>シュベツ</t>
    </rPh>
    <phoneticPr fontId="11"/>
  </si>
  <si>
    <t>ﾛｯｸ対象</t>
    <rPh sb="3" eb="5">
      <t>タイショウ</t>
    </rPh>
    <phoneticPr fontId="11"/>
  </si>
  <si>
    <t>成果物名</t>
    <phoneticPr fontId="11"/>
  </si>
  <si>
    <t>目次</t>
    <rPh sb="0" eb="2">
      <t>モクジ</t>
    </rPh>
    <phoneticPr fontId="10"/>
  </si>
  <si>
    <t>1.1. 画面取引概要</t>
    <rPh sb="5" eb="7">
      <t>ガメン</t>
    </rPh>
    <rPh sb="7" eb="9">
      <t>トリヒキ</t>
    </rPh>
    <rPh sb="9" eb="11">
      <t>ガイヨウ</t>
    </rPh>
    <phoneticPr fontId="11"/>
  </si>
  <si>
    <t>2.1. 画面レイアウト</t>
    <rPh sb="5" eb="7">
      <t>ガメン</t>
    </rPh>
    <phoneticPr fontId="11"/>
  </si>
  <si>
    <t>2.2. 一覧表示</t>
  </si>
  <si>
    <t>2.6. 画面イベント詳細</t>
    <rPh sb="5" eb="7">
      <t>ガメン</t>
    </rPh>
    <rPh sb="11" eb="13">
      <t>ショウサイ</t>
    </rPh>
    <phoneticPr fontId="11"/>
  </si>
  <si>
    <t>2.4. 入出力一覧</t>
    <rPh sb="5" eb="8">
      <t>ニュウシュツリョク</t>
    </rPh>
    <phoneticPr fontId="11"/>
  </si>
  <si>
    <t>2.5. 画面イベント一覧</t>
    <rPh sb="5" eb="7">
      <t>ガメン</t>
    </rPh>
    <rPh sb="11" eb="13">
      <t>イチラン</t>
    </rPh>
    <phoneticPr fontId="11"/>
  </si>
  <si>
    <t>バリデーション名</t>
    <rPh sb="7" eb="8">
      <t>メイ</t>
    </rPh>
    <phoneticPr fontId="11"/>
  </si>
  <si>
    <t>領域名</t>
    <rPh sb="0" eb="2">
      <t>リョウイキ</t>
    </rPh>
    <rPh sb="2" eb="3">
      <t>メイ</t>
    </rPh>
    <phoneticPr fontId="11"/>
  </si>
  <si>
    <t>単項目バリデーション</t>
    <rPh sb="0" eb="3">
      <t>タンコウモク</t>
    </rPh>
    <phoneticPr fontId="11"/>
  </si>
  <si>
    <t>あり(同期)</t>
    <rPh sb="3" eb="5">
      <t>ドウキ</t>
    </rPh>
    <phoneticPr fontId="11"/>
  </si>
  <si>
    <t>画面イベント名</t>
    <phoneticPr fontId="11"/>
  </si>
  <si>
    <t>画面イベント概要</t>
    <phoneticPr fontId="11"/>
  </si>
  <si>
    <t>あり(非同期)</t>
    <rPh sb="3" eb="6">
      <t>ヒドウキ</t>
    </rPh>
    <phoneticPr fontId="11"/>
  </si>
  <si>
    <t>なし</t>
    <phoneticPr fontId="11"/>
  </si>
  <si>
    <t>バリデーション内容</t>
    <rPh sb="7" eb="9">
      <t>ナイヨウ</t>
    </rPh>
    <phoneticPr fontId="11"/>
  </si>
  <si>
    <t>メッセージID</t>
    <phoneticPr fontId="11"/>
  </si>
  <si>
    <t>埋め込み文字列</t>
    <rPh sb="0" eb="1">
      <t>ウ</t>
    </rPh>
    <rPh sb="2" eb="3">
      <t>コ</t>
    </rPh>
    <rPh sb="4" eb="7">
      <t>モジレツ</t>
    </rPh>
    <phoneticPr fontId="11"/>
  </si>
  <si>
    <t xml:space="preserve"> 種別一覧</t>
    <rPh sb="1" eb="3">
      <t>シュベツ</t>
    </rPh>
    <phoneticPr fontId="11"/>
  </si>
  <si>
    <t>-</t>
    <phoneticPr fontId="11"/>
  </si>
  <si>
    <t>テーブル</t>
    <phoneticPr fontId="11"/>
  </si>
  <si>
    <t>電文</t>
    <rPh sb="0" eb="2">
      <t>デンブン</t>
    </rPh>
    <phoneticPr fontId="11"/>
  </si>
  <si>
    <t>I/Fファイル</t>
    <phoneticPr fontId="11"/>
  </si>
  <si>
    <t>帳票</t>
    <phoneticPr fontId="11"/>
  </si>
  <si>
    <t>電子メール</t>
    <rPh sb="0" eb="2">
      <t>デンシ</t>
    </rPh>
    <phoneticPr fontId="11"/>
  </si>
  <si>
    <t>変更箇所（項番等）</t>
    <rPh sb="0" eb="2">
      <t>ヘンコウ</t>
    </rPh>
    <rPh sb="2" eb="4">
      <t>カショ</t>
    </rPh>
    <rPh sb="5" eb="8">
      <t>コウバンナド</t>
    </rPh>
    <phoneticPr fontId="10"/>
  </si>
  <si>
    <t>PJ名</t>
    <phoneticPr fontId="11"/>
  </si>
  <si>
    <t>label</t>
  </si>
  <si>
    <t>select(pulldown)</t>
  </si>
  <si>
    <t>備考</t>
  </si>
  <si>
    <t>text</t>
  </si>
  <si>
    <t>textarea</t>
  </si>
  <si>
    <t>-</t>
  </si>
  <si>
    <t>-</t>
    <phoneticPr fontId="11"/>
  </si>
  <si>
    <t>‐</t>
  </si>
  <si>
    <t>○</t>
  </si>
  <si>
    <t>日付大小関係</t>
  </si>
  <si>
    <t>テーブル</t>
  </si>
  <si>
    <t>I</t>
  </si>
  <si>
    <t>-</t>
    <phoneticPr fontId="11"/>
  </si>
  <si>
    <t>初期表示</t>
    <phoneticPr fontId="11"/>
  </si>
  <si>
    <t>‐</t>
    <phoneticPr fontId="11"/>
  </si>
  <si>
    <t>2.6.1.初期表示イベント</t>
    <rPh sb="6" eb="8">
      <t>ショキ</t>
    </rPh>
    <rPh sb="8" eb="10">
      <t>ヒョウジ</t>
    </rPh>
    <phoneticPr fontId="11"/>
  </si>
  <si>
    <t>(1) バリデーション処理</t>
    <rPh sb="11" eb="13">
      <t>ショリ</t>
    </rPh>
    <phoneticPr fontId="11"/>
  </si>
  <si>
    <t>(2) DBアクセス（検索処理）</t>
    <rPh sb="11" eb="13">
      <t>ケンサク</t>
    </rPh>
    <rPh sb="13" eb="15">
      <t>ショリ</t>
    </rPh>
    <phoneticPr fontId="11"/>
  </si>
  <si>
    <t>取得テーブル名</t>
    <rPh sb="0" eb="2">
      <t>シュトク</t>
    </rPh>
    <rPh sb="6" eb="7">
      <t>メイ</t>
    </rPh>
    <phoneticPr fontId="11"/>
  </si>
  <si>
    <t>取得カラム名</t>
    <rPh sb="0" eb="2">
      <t>シュトク</t>
    </rPh>
    <rPh sb="5" eb="6">
      <t>メイ</t>
    </rPh>
    <phoneticPr fontId="11"/>
  </si>
  <si>
    <t>検索条件</t>
    <rPh sb="0" eb="2">
      <t>ケンサク</t>
    </rPh>
    <rPh sb="2" eb="4">
      <t>ジョウケン</t>
    </rPh>
    <phoneticPr fontId="11"/>
  </si>
  <si>
    <t>=</t>
    <phoneticPr fontId="11"/>
  </si>
  <si>
    <t>(3)　表示処理</t>
    <rPh sb="4" eb="6">
      <t>ヒョウジ</t>
    </rPh>
    <rPh sb="6" eb="8">
      <t>ショリ</t>
    </rPh>
    <phoneticPr fontId="11"/>
  </si>
  <si>
    <t>3.1. 画面レイアウト</t>
    <rPh sb="5" eb="7">
      <t>ガメン</t>
    </rPh>
    <phoneticPr fontId="11"/>
  </si>
  <si>
    <t>3.2. 一覧表示</t>
    <phoneticPr fontId="11"/>
  </si>
  <si>
    <t>3.4. 入出力一覧</t>
    <rPh sb="5" eb="8">
      <t>ニュウシュツリョク</t>
    </rPh>
    <phoneticPr fontId="11"/>
  </si>
  <si>
    <t>3.5. 画面イベント一覧</t>
    <rPh sb="5" eb="7">
      <t>ガメン</t>
    </rPh>
    <rPh sb="11" eb="13">
      <t>イチラン</t>
    </rPh>
    <phoneticPr fontId="11"/>
  </si>
  <si>
    <t>3.6. 画面イベント詳細</t>
    <rPh sb="5" eb="7">
      <t>ガメン</t>
    </rPh>
    <rPh sb="11" eb="13">
      <t>ショウサイ</t>
    </rPh>
    <phoneticPr fontId="11"/>
  </si>
  <si>
    <t>3.2. 一覧表示</t>
    <rPh sb="5" eb="7">
      <t>イチラン</t>
    </rPh>
    <rPh sb="7" eb="9">
      <t>ヒョウジ</t>
    </rPh>
    <phoneticPr fontId="11"/>
  </si>
  <si>
    <t>No.</t>
    <phoneticPr fontId="11"/>
  </si>
  <si>
    <t>ソート条件</t>
    <phoneticPr fontId="11"/>
  </si>
  <si>
    <t>‐</t>
    <phoneticPr fontId="11"/>
  </si>
  <si>
    <t>O</t>
  </si>
  <si>
    <t>戻る</t>
    <phoneticPr fontId="11"/>
  </si>
  <si>
    <t>「戻る」ボタン押下</t>
    <phoneticPr fontId="11"/>
  </si>
  <si>
    <t>No.</t>
    <phoneticPr fontId="11"/>
  </si>
  <si>
    <t>出力項目名</t>
    <rPh sb="0" eb="2">
      <t>シュツリョク</t>
    </rPh>
    <rPh sb="2" eb="4">
      <t>コウモク</t>
    </rPh>
    <rPh sb="4" eb="5">
      <t>メイ</t>
    </rPh>
    <phoneticPr fontId="11"/>
  </si>
  <si>
    <t>項目名</t>
    <rPh sb="0" eb="2">
      <t>コウモク</t>
    </rPh>
    <rPh sb="2" eb="3">
      <t>メイ</t>
    </rPh>
    <phoneticPr fontId="11"/>
  </si>
  <si>
    <t>‐</t>
    <phoneticPr fontId="11"/>
  </si>
  <si>
    <t>(3) 表示処理</t>
    <rPh sb="4" eb="6">
      <t>ヒョウジ</t>
    </rPh>
    <rPh sb="6" eb="8">
      <t>ショリ</t>
    </rPh>
    <phoneticPr fontId="11"/>
  </si>
  <si>
    <t>3.6.2. 戻るイベント</t>
    <rPh sb="7" eb="8">
      <t>モド</t>
    </rPh>
    <phoneticPr fontId="11"/>
  </si>
  <si>
    <t>(1) 表示処理</t>
    <rPh sb="4" eb="6">
      <t>ヒョウジ</t>
    </rPh>
    <rPh sb="6" eb="8">
      <t>ショリ</t>
    </rPh>
    <phoneticPr fontId="11"/>
  </si>
  <si>
    <t>4.1. 画面レイアウト</t>
    <rPh sb="5" eb="7">
      <t>ガメン</t>
    </rPh>
    <phoneticPr fontId="11"/>
  </si>
  <si>
    <t>4.2. 一覧表示</t>
    <phoneticPr fontId="11"/>
  </si>
  <si>
    <t>4.4. 入出力一覧</t>
    <rPh sb="5" eb="8">
      <t>ニュウシュツリョク</t>
    </rPh>
    <phoneticPr fontId="11"/>
  </si>
  <si>
    <t>4.5. 画面イベント一覧</t>
    <rPh sb="5" eb="7">
      <t>ガメン</t>
    </rPh>
    <rPh sb="11" eb="13">
      <t>イチラン</t>
    </rPh>
    <phoneticPr fontId="11"/>
  </si>
  <si>
    <t>4.6. 画面イベント詳細</t>
    <rPh sb="5" eb="7">
      <t>ガメン</t>
    </rPh>
    <rPh sb="11" eb="13">
      <t>ショウサイ</t>
    </rPh>
    <phoneticPr fontId="11"/>
  </si>
  <si>
    <t>-</t>
    <phoneticPr fontId="11"/>
  </si>
  <si>
    <t>-</t>
    <phoneticPr fontId="11"/>
  </si>
  <si>
    <t>4.2. 一覧表示</t>
    <rPh sb="5" eb="7">
      <t>イチラン</t>
    </rPh>
    <rPh sb="7" eb="9">
      <t>ヒョウジ</t>
    </rPh>
    <phoneticPr fontId="11"/>
  </si>
  <si>
    <t>完了メッセージ</t>
    <phoneticPr fontId="11"/>
  </si>
  <si>
    <t>-</t>
    <phoneticPr fontId="11"/>
  </si>
  <si>
    <t>No.</t>
    <phoneticPr fontId="11"/>
  </si>
  <si>
    <t>画面イベント名</t>
    <rPh sb="0" eb="2">
      <t>ガメン</t>
    </rPh>
    <rPh sb="6" eb="7">
      <t>メイ</t>
    </rPh>
    <phoneticPr fontId="11"/>
  </si>
  <si>
    <t>画面イベント概要</t>
    <rPh sb="0" eb="2">
      <t>ガメン</t>
    </rPh>
    <rPh sb="6" eb="8">
      <t>ガイヨウ</t>
    </rPh>
    <phoneticPr fontId="11"/>
  </si>
  <si>
    <t>1.0版</t>
    <rPh sb="3" eb="4">
      <t>ハン</t>
    </rPh>
    <phoneticPr fontId="10"/>
  </si>
  <si>
    <t>新規</t>
    <rPh sb="0" eb="2">
      <t>シンキ</t>
    </rPh>
    <phoneticPr fontId="10"/>
  </si>
  <si>
    <t>-</t>
    <phoneticPr fontId="11"/>
  </si>
  <si>
    <t>(新規作成)</t>
    <rPh sb="1" eb="5">
      <t>シンキサクセイ</t>
    </rPh>
    <phoneticPr fontId="10"/>
  </si>
  <si>
    <t>サンプルプロジェクト</t>
    <phoneticPr fontId="14"/>
  </si>
  <si>
    <t>サンプルシステム</t>
    <phoneticPr fontId="14"/>
  </si>
  <si>
    <t>-</t>
    <phoneticPr fontId="11"/>
  </si>
  <si>
    <t>出力情報</t>
    <rPh sb="0" eb="2">
      <t>シュツリョク</t>
    </rPh>
    <rPh sb="2" eb="4">
      <t>ジョウホウ</t>
    </rPh>
    <phoneticPr fontId="11"/>
  </si>
  <si>
    <t>情報取得元</t>
    <rPh sb="0" eb="2">
      <t>ジョウホウ</t>
    </rPh>
    <rPh sb="2" eb="4">
      <t>シュトク</t>
    </rPh>
    <rPh sb="4" eb="5">
      <t>モト</t>
    </rPh>
    <phoneticPr fontId="11"/>
  </si>
  <si>
    <t>なし。</t>
    <phoneticPr fontId="11"/>
  </si>
  <si>
    <t>No.</t>
    <phoneticPr fontId="11"/>
  </si>
  <si>
    <t>No.</t>
    <phoneticPr fontId="11"/>
  </si>
  <si>
    <t>情報取得元</t>
    <rPh sb="0" eb="2">
      <t>ジョウホウ</t>
    </rPh>
    <rPh sb="2" eb="4">
      <t>シュトク</t>
    </rPh>
    <rPh sb="4" eb="5">
      <t>モト</t>
    </rPh>
    <phoneticPr fontId="11"/>
  </si>
  <si>
    <t>-</t>
    <phoneticPr fontId="11"/>
  </si>
  <si>
    <t>-</t>
    <phoneticPr fontId="11"/>
  </si>
  <si>
    <t>終了する</t>
    <rPh sb="0" eb="2">
      <t>シュウリョウ</t>
    </rPh>
    <phoneticPr fontId="11"/>
  </si>
  <si>
    <t>2.3. 画面項目定義</t>
    <rPh sb="5" eb="7">
      <t>ガメン</t>
    </rPh>
    <rPh sb="7" eb="9">
      <t>コウモク</t>
    </rPh>
    <rPh sb="9" eb="11">
      <t>テイギ</t>
    </rPh>
    <phoneticPr fontId="11"/>
  </si>
  <si>
    <t>3.3. 画面項目定義</t>
    <rPh sb="5" eb="7">
      <t>ガメン</t>
    </rPh>
    <rPh sb="7" eb="9">
      <t>コウモク</t>
    </rPh>
    <rPh sb="9" eb="11">
      <t>テイギ</t>
    </rPh>
    <phoneticPr fontId="11"/>
  </si>
  <si>
    <t>4.3. 画面項目定義</t>
    <rPh sb="5" eb="7">
      <t>ガメン</t>
    </rPh>
    <rPh sb="7" eb="9">
      <t>コウモク</t>
    </rPh>
    <rPh sb="9" eb="11">
      <t>テイギ</t>
    </rPh>
    <phoneticPr fontId="11"/>
  </si>
  <si>
    <t>上記バリデーションにおいて一箇所でもエラーが発生した場合、後続の処理は実施しない。</t>
    <rPh sb="32" eb="34">
      <t>ショリ</t>
    </rPh>
    <phoneticPr fontId="11"/>
  </si>
  <si>
    <t>-</t>
    <phoneticPr fontId="11"/>
  </si>
  <si>
    <t>【内部設計情報】 画面項目名（物理）</t>
    <phoneticPr fontId="11"/>
  </si>
  <si>
    <t>(2) DBアクセス（登録、更新処理）</t>
    <rPh sb="11" eb="13">
      <t>トウロク</t>
    </rPh>
    <rPh sb="14" eb="16">
      <t>コウシン</t>
    </rPh>
    <rPh sb="16" eb="18">
      <t>ショリ</t>
    </rPh>
    <phoneticPr fontId="11"/>
  </si>
  <si>
    <t>リクエストスコープ</t>
    <phoneticPr fontId="11"/>
  </si>
  <si>
    <t>HTTPセッションストア</t>
    <phoneticPr fontId="11"/>
  </si>
  <si>
    <t>HIDDENストア</t>
    <phoneticPr fontId="11"/>
  </si>
  <si>
    <t>DBストア</t>
    <phoneticPr fontId="11"/>
  </si>
  <si>
    <t>サーバ通信有無</t>
    <rPh sb="3" eb="5">
      <t>ツウシン</t>
    </rPh>
    <rPh sb="5" eb="7">
      <t>ウム</t>
    </rPh>
    <phoneticPr fontId="11"/>
  </si>
  <si>
    <t>エラー発生時の
バリデーション
処理継続判定</t>
    <rPh sb="3" eb="5">
      <t>ハッセイ</t>
    </rPh>
    <rPh sb="5" eb="6">
      <t>ジ</t>
    </rPh>
    <rPh sb="16" eb="18">
      <t>ショリ</t>
    </rPh>
    <rPh sb="18" eb="20">
      <t>ケイゾク</t>
    </rPh>
    <rPh sb="20" eb="22">
      <t>ハンテイ</t>
    </rPh>
    <phoneticPr fontId="11"/>
  </si>
  <si>
    <t>（ドメイン別）</t>
    <phoneticPr fontId="11"/>
  </si>
  <si>
    <t>（ドメイン別）</t>
    <rPh sb="5" eb="6">
      <t>ベツ</t>
    </rPh>
    <phoneticPr fontId="11"/>
  </si>
  <si>
    <t>-</t>
    <phoneticPr fontId="11"/>
  </si>
  <si>
    <t>プロジェクト管理システム</t>
    <rPh sb="6" eb="8">
      <t>カンリ</t>
    </rPh>
    <phoneticPr fontId="14"/>
  </si>
  <si>
    <t>WA10201</t>
    <phoneticPr fontId="11"/>
  </si>
  <si>
    <t>プロジェクト登録</t>
    <phoneticPr fontId="11"/>
  </si>
  <si>
    <t>システム機能設計書（画面）
WA10201/プロジェクト登録</t>
    <rPh sb="4" eb="6">
      <t>キノウ</t>
    </rPh>
    <rPh sb="6" eb="9">
      <t>セッケイショ</t>
    </rPh>
    <rPh sb="10" eb="12">
      <t>ガメン</t>
    </rPh>
    <phoneticPr fontId="14"/>
  </si>
  <si>
    <t>マネージャーユーザ</t>
    <phoneticPr fontId="11"/>
  </si>
  <si>
    <t>3. WA1020102(プロジェクト登録確認画面)</t>
    <rPh sb="19" eb="21">
      <t>トウロク</t>
    </rPh>
    <rPh sb="21" eb="23">
      <t>カクニン</t>
    </rPh>
    <rPh sb="23" eb="25">
      <t>ガメン</t>
    </rPh>
    <phoneticPr fontId="11"/>
  </si>
  <si>
    <t>4. WA1020103(プロジェクト登録完了画面)</t>
    <rPh sb="19" eb="21">
      <t>トウロク</t>
    </rPh>
    <rPh sb="21" eb="23">
      <t>カンリョウ</t>
    </rPh>
    <rPh sb="23" eb="25">
      <t>ガメン</t>
    </rPh>
    <phoneticPr fontId="11"/>
  </si>
  <si>
    <t>2. WA1020101(プロジェクト登録画面)</t>
    <phoneticPr fontId="11"/>
  </si>
  <si>
    <t>プロジェクト名</t>
  </si>
  <si>
    <t>プロジェクト種別</t>
  </si>
  <si>
    <t>プロジェクト分類</t>
  </si>
  <si>
    <t>プロジェクト開始日付</t>
  </si>
  <si>
    <t>プロジェクト終了日付</t>
  </si>
  <si>
    <t>売上高</t>
  </si>
  <si>
    <t>日付</t>
  </si>
  <si>
    <t>-</t>
    <phoneticPr fontId="11"/>
  </si>
  <si>
    <t>ユーザ氏名（漢字）</t>
  </si>
  <si>
    <t>顧客</t>
  </si>
  <si>
    <t>顧客</t>
    <phoneticPr fontId="11"/>
  </si>
  <si>
    <t>-</t>
    <phoneticPr fontId="11"/>
  </si>
  <si>
    <t>project_name</t>
  </si>
  <si>
    <t>project_type</t>
  </si>
  <si>
    <t>project_class</t>
  </si>
  <si>
    <t>project_start_date</t>
  </si>
  <si>
    <t>project_end_date</t>
  </si>
  <si>
    <t>client_id</t>
  </si>
  <si>
    <t>project_manager</t>
  </si>
  <si>
    <t>project_leader</t>
  </si>
  <si>
    <t>note</t>
  </si>
  <si>
    <t>sales</t>
  </si>
  <si>
    <t>プロジェクト</t>
    <phoneticPr fontId="11"/>
  </si>
  <si>
    <t>事業部</t>
    <rPh sb="0" eb="3">
      <t>ジギョウブ</t>
    </rPh>
    <phoneticPr fontId="11"/>
  </si>
  <si>
    <t>部門</t>
  </si>
  <si>
    <t>部門</t>
    <rPh sb="0" eb="2">
      <t>ブモン</t>
    </rPh>
    <phoneticPr fontId="11"/>
  </si>
  <si>
    <t>組織</t>
    <phoneticPr fontId="11"/>
  </si>
  <si>
    <t>部門リスト取得</t>
    <rPh sb="0" eb="2">
      <t>ブモン</t>
    </rPh>
    <rPh sb="5" eb="7">
      <t>シュトク</t>
    </rPh>
    <phoneticPr fontId="11"/>
  </si>
  <si>
    <t>「事業部」プルダウン選択</t>
    <rPh sb="10" eb="12">
      <t>センタク</t>
    </rPh>
    <phoneticPr fontId="11"/>
  </si>
  <si>
    <t>選択された事業部をもとに、配下部門リストを「部門」プルダウンに設定する。</t>
    <rPh sb="0" eb="2">
      <t>センタク</t>
    </rPh>
    <rPh sb="5" eb="7">
      <t>ジギョウ</t>
    </rPh>
    <rPh sb="7" eb="8">
      <t>ブ</t>
    </rPh>
    <rPh sb="13" eb="15">
      <t>ハイカ</t>
    </rPh>
    <rPh sb="15" eb="17">
      <t>ブモン</t>
    </rPh>
    <rPh sb="22" eb="24">
      <t>ブモン</t>
    </rPh>
    <rPh sb="31" eb="33">
      <t>セッテイ</t>
    </rPh>
    <phoneticPr fontId="11"/>
  </si>
  <si>
    <t>-</t>
    <phoneticPr fontId="11"/>
  </si>
  <si>
    <t>顧客検索</t>
    <rPh sb="0" eb="2">
      <t>コキャク</t>
    </rPh>
    <rPh sb="2" eb="4">
      <t>ケンサク</t>
    </rPh>
    <phoneticPr fontId="11"/>
  </si>
  <si>
    <t>顧客検索画面を開く。</t>
    <rPh sb="4" eb="6">
      <t>ガメン</t>
    </rPh>
    <rPh sb="7" eb="8">
      <t>ヒラ</t>
    </rPh>
    <phoneticPr fontId="11"/>
  </si>
  <si>
    <t>プロジェクト登録確認</t>
    <rPh sb="6" eb="8">
      <t>トウロク</t>
    </rPh>
    <phoneticPr fontId="11"/>
  </si>
  <si>
    <t>入力内容のバリデーション処理を行い、プロジェクト登録確認を表示する。</t>
    <phoneticPr fontId="11"/>
  </si>
  <si>
    <t>プロジェクト登録画面を表示する。</t>
    <rPh sb="6" eb="8">
      <t>トウロク</t>
    </rPh>
    <rPh sb="8" eb="10">
      <t>ガメン</t>
    </rPh>
    <phoneticPr fontId="11"/>
  </si>
  <si>
    <t>(a) 組織検索条件</t>
    <rPh sb="4" eb="6">
      <t>ソシキ</t>
    </rPh>
    <rPh sb="6" eb="8">
      <t>ケンサク</t>
    </rPh>
    <rPh sb="8" eb="10">
      <t>ジョウケン</t>
    </rPh>
    <phoneticPr fontId="11"/>
  </si>
  <si>
    <t>組織</t>
    <rPh sb="0" eb="2">
      <t>ソシキ</t>
    </rPh>
    <phoneticPr fontId="11"/>
  </si>
  <si>
    <t>組織ID</t>
    <phoneticPr fontId="11"/>
  </si>
  <si>
    <t>組織名</t>
    <phoneticPr fontId="11"/>
  </si>
  <si>
    <t>組織.上位組織ID</t>
    <rPh sb="0" eb="2">
      <t>ソシキ</t>
    </rPh>
    <rPh sb="3" eb="5">
      <t>ジョウイ</t>
    </rPh>
    <rPh sb="5" eb="7">
      <t>ソシキ</t>
    </rPh>
    <phoneticPr fontId="11"/>
  </si>
  <si>
    <r>
      <t>N</t>
    </r>
    <r>
      <rPr>
        <sz val="9"/>
        <rFont val="ＭＳ 明朝"/>
        <family val="1"/>
        <charset val="128"/>
      </rPr>
      <t>ULL</t>
    </r>
    <phoneticPr fontId="11"/>
  </si>
  <si>
    <t>(a)「事業部」プルダウンを初期化する。</t>
    <rPh sb="4" eb="6">
      <t>ジギョウ</t>
    </rPh>
    <rPh sb="6" eb="7">
      <t>ブ</t>
    </rPh>
    <rPh sb="14" eb="17">
      <t>ショキカ</t>
    </rPh>
    <phoneticPr fontId="11"/>
  </si>
  <si>
    <t>2.6.2.部門リスト取得イベント</t>
    <rPh sb="6" eb="8">
      <t>ブモン</t>
    </rPh>
    <rPh sb="11" eb="13">
      <t>シュトク</t>
    </rPh>
    <phoneticPr fontId="11"/>
  </si>
  <si>
    <t>事業部（入力値）</t>
    <rPh sb="0" eb="2">
      <t>ジギョウ</t>
    </rPh>
    <rPh sb="2" eb="3">
      <t>ブ</t>
    </rPh>
    <phoneticPr fontId="11"/>
  </si>
  <si>
    <t>(a)「部門」プルダウンを初期化する。</t>
    <rPh sb="4" eb="6">
      <t>ブモン</t>
    </rPh>
    <rPh sb="13" eb="16">
      <t>ショキカ</t>
    </rPh>
    <phoneticPr fontId="11"/>
  </si>
  <si>
    <t>2.6.3.顧客検索イベント</t>
    <rPh sb="6" eb="8">
      <t>コキャク</t>
    </rPh>
    <rPh sb="8" eb="10">
      <t>ケンサク</t>
    </rPh>
    <phoneticPr fontId="11"/>
  </si>
  <si>
    <t>(2)　表示処理</t>
    <rPh sb="4" eb="6">
      <t>ヒョウジ</t>
    </rPh>
    <rPh sb="6" eb="8">
      <t>ショリ</t>
    </rPh>
    <phoneticPr fontId="11"/>
  </si>
  <si>
    <t>顧客検索画面</t>
    <phoneticPr fontId="11"/>
  </si>
  <si>
    <t>顧客検索画面をポップアップ画面として開く。</t>
    <rPh sb="13" eb="15">
      <t>ガメン</t>
    </rPh>
    <rPh sb="18" eb="19">
      <t>ヒラ</t>
    </rPh>
    <phoneticPr fontId="11"/>
  </si>
  <si>
    <t>プロジェクト登録完了</t>
    <rPh sb="6" eb="8">
      <t>トウロク</t>
    </rPh>
    <phoneticPr fontId="11"/>
  </si>
  <si>
    <t>プロジェクト登録</t>
    <phoneticPr fontId="11"/>
  </si>
  <si>
    <t>表示内容をデータベースに登録する。登録仕様については下記の通り。</t>
    <rPh sb="0" eb="2">
      <t>ヒョウジ</t>
    </rPh>
    <rPh sb="2" eb="4">
      <t>ナイヨウ</t>
    </rPh>
    <rPh sb="12" eb="14">
      <t>トウロク</t>
    </rPh>
    <rPh sb="17" eb="19">
      <t>トウロク</t>
    </rPh>
    <rPh sb="19" eb="21">
      <t>シヨウ</t>
    </rPh>
    <rPh sb="26" eb="28">
      <t>カキ</t>
    </rPh>
    <rPh sb="29" eb="30">
      <t>トオ</t>
    </rPh>
    <phoneticPr fontId="11"/>
  </si>
  <si>
    <t>プロジェクト登録画面</t>
    <rPh sb="6" eb="8">
      <t>トウロク</t>
    </rPh>
    <rPh sb="8" eb="10">
      <t>ガメン</t>
    </rPh>
    <phoneticPr fontId="11"/>
  </si>
  <si>
    <t>バージョン番号</t>
    <phoneticPr fontId="11"/>
  </si>
  <si>
    <t>-</t>
    <phoneticPr fontId="11"/>
  </si>
  <si>
    <t>「1」固定</t>
    <rPh sb="3" eb="5">
      <t>コテイ</t>
    </rPh>
    <phoneticPr fontId="11"/>
  </si>
  <si>
    <t>プロジェクトテーブル</t>
    <phoneticPr fontId="11"/>
  </si>
  <si>
    <t>2. WA1020101(プロジェクト登録画面)</t>
    <phoneticPr fontId="11"/>
  </si>
  <si>
    <t>4. WA1020103(プロジェクト登録完了画面)</t>
    <phoneticPr fontId="11"/>
  </si>
  <si>
    <t>領域名：プロジェクト情報入力</t>
    <phoneticPr fontId="11"/>
  </si>
  <si>
    <t>-</t>
    <phoneticPr fontId="11"/>
  </si>
  <si>
    <t>-</t>
    <phoneticPr fontId="11"/>
  </si>
  <si>
    <t>radio</t>
  </si>
  <si>
    <t>組織ID</t>
    <rPh sb="0" eb="2">
      <t>ソシキ</t>
    </rPh>
    <phoneticPr fontId="11"/>
  </si>
  <si>
    <t>組織ID</t>
    <phoneticPr fontId="11"/>
  </si>
  <si>
    <t>PM</t>
    <phoneticPr fontId="11"/>
  </si>
  <si>
    <t>「顧客選択」ボタン押下</t>
    <rPh sb="1" eb="3">
      <t>コキャク</t>
    </rPh>
    <rPh sb="3" eb="5">
      <t>センタク</t>
    </rPh>
    <rPh sb="9" eb="11">
      <t>オウカ</t>
    </rPh>
    <phoneticPr fontId="11"/>
  </si>
  <si>
    <t>確認</t>
    <rPh sb="0" eb="2">
      <t>カクニン</t>
    </rPh>
    <phoneticPr fontId="11"/>
  </si>
  <si>
    <t>「確認」ボタン押下</t>
    <rPh sb="1" eb="3">
      <t>カクニン</t>
    </rPh>
    <phoneticPr fontId="11"/>
  </si>
  <si>
    <t>2.6.5. 確認イベント</t>
    <rPh sb="7" eb="9">
      <t>カクニン</t>
    </rPh>
    <phoneticPr fontId="11"/>
  </si>
  <si>
    <t>3. WA1020102(プロジェクト登録確認画面)</t>
    <phoneticPr fontId="11"/>
  </si>
  <si>
    <t>DBによる自動採番</t>
    <rPh sb="5" eb="7">
      <t>ジドウ</t>
    </rPh>
    <rPh sb="7" eb="9">
      <t>サイバン</t>
    </rPh>
    <phoneticPr fontId="11"/>
  </si>
  <si>
    <t>プロジェクトID</t>
    <phoneticPr fontId="11"/>
  </si>
  <si>
    <t>PM</t>
    <phoneticPr fontId="11"/>
  </si>
  <si>
    <t>「次へ」ボタン押下</t>
    <rPh sb="1" eb="2">
      <t>ツギ</t>
    </rPh>
    <rPh sb="7" eb="9">
      <t>オウカ</t>
    </rPh>
    <phoneticPr fontId="11"/>
  </si>
  <si>
    <t>プロジェクトのデータ1件を登録する。</t>
    <phoneticPr fontId="11"/>
  </si>
  <si>
    <t>当画面に表示していた内容を登録画面に表示する。</t>
    <rPh sb="13" eb="15">
      <t>トウロク</t>
    </rPh>
    <phoneticPr fontId="11"/>
  </si>
  <si>
    <t>当画面に表示していた内容をデータベースに登録する。</t>
    <rPh sb="20" eb="22">
      <t>トウロク</t>
    </rPh>
    <phoneticPr fontId="11"/>
  </si>
  <si>
    <t>登録画面に入力した内容を登録確認画面に表示する。画面レイアウト、表示項目については「3. プロジェクト登録確認画面」を参照。</t>
    <rPh sb="0" eb="2">
      <t>トウロク</t>
    </rPh>
    <rPh sb="2" eb="4">
      <t>ガメン</t>
    </rPh>
    <rPh sb="5" eb="7">
      <t>ニュウリョク</t>
    </rPh>
    <rPh sb="9" eb="11">
      <t>ナイヨウ</t>
    </rPh>
    <rPh sb="12" eb="14">
      <t>トウロク</t>
    </rPh>
    <rPh sb="14" eb="16">
      <t>カクニン</t>
    </rPh>
    <rPh sb="16" eb="18">
      <t>ガメン</t>
    </rPh>
    <rPh sb="19" eb="21">
      <t>ヒョウジ</t>
    </rPh>
    <rPh sb="24" eb="26">
      <t>ガメン</t>
    </rPh>
    <rPh sb="32" eb="34">
      <t>ヒョウジ</t>
    </rPh>
    <rPh sb="34" eb="36">
      <t>コウモク</t>
    </rPh>
    <rPh sb="59" eb="61">
      <t>サンショウ</t>
    </rPh>
    <phoneticPr fontId="11"/>
  </si>
  <si>
    <t>「プロジェクト開始日付」と「プロジェクト終了日付」が両方入力されている場合、「プロジェクト開始日付」≦「プロジェクト終了日付」であること。</t>
    <phoneticPr fontId="11"/>
  </si>
  <si>
    <t>当画面に表示していた内容をプロジェクト登録画面に表示する。画面レイアウト、表示項目については「2. プロジェクト登録画面」を参照。</t>
    <rPh sb="0" eb="1">
      <t>トウ</t>
    </rPh>
    <rPh sb="1" eb="3">
      <t>ガメン</t>
    </rPh>
    <rPh sb="4" eb="6">
      <t>ヒョウジ</t>
    </rPh>
    <rPh sb="10" eb="12">
      <t>ナイヨウ</t>
    </rPh>
    <rPh sb="19" eb="21">
      <t>トウロク</t>
    </rPh>
    <rPh sb="21" eb="23">
      <t>ガメン</t>
    </rPh>
    <rPh sb="24" eb="26">
      <t>ヒョウジ</t>
    </rPh>
    <rPh sb="56" eb="58">
      <t>トウロク</t>
    </rPh>
    <phoneticPr fontId="11"/>
  </si>
  <si>
    <t>プロジェクト登録完了画面を表示する。画面レイアウト、表示項目については「4. プロジェクト登録完了画面」を参照。</t>
    <rPh sb="6" eb="8">
      <t>トウロク</t>
    </rPh>
    <rPh sb="8" eb="10">
      <t>カンリョウ</t>
    </rPh>
    <rPh sb="10" eb="12">
      <t>ガメン</t>
    </rPh>
    <rPh sb="13" eb="15">
      <t>ヒョウジ</t>
    </rPh>
    <rPh sb="45" eb="47">
      <t>トウロク</t>
    </rPh>
    <rPh sb="47" eb="49">
      <t>カンリョウ</t>
    </rPh>
    <rPh sb="49" eb="51">
      <t>ガメン</t>
    </rPh>
    <phoneticPr fontId="11"/>
  </si>
  <si>
    <t>プロジェクト登録画面へ遷移する。</t>
    <rPh sb="6" eb="8">
      <t>トウロク</t>
    </rPh>
    <rPh sb="8" eb="10">
      <t>ガメン</t>
    </rPh>
    <phoneticPr fontId="11"/>
  </si>
  <si>
    <t>プロジェクト登録</t>
    <phoneticPr fontId="11"/>
  </si>
  <si>
    <t>プロジェクト登録画面へ遷移する。</t>
    <rPh sb="8" eb="10">
      <t>ガメン</t>
    </rPh>
    <phoneticPr fontId="11"/>
  </si>
  <si>
    <t>登録開始</t>
    <rPh sb="0" eb="2">
      <t>トウロク</t>
    </rPh>
    <rPh sb="2" eb="4">
      <t>カイシ</t>
    </rPh>
    <phoneticPr fontId="11"/>
  </si>
  <si>
    <t>4.6.1 登録開始イベント</t>
    <phoneticPr fontId="11"/>
  </si>
  <si>
    <t>プロジェクト名</t>
    <phoneticPr fontId="11"/>
  </si>
  <si>
    <t>プロジェクト種別</t>
    <phoneticPr fontId="11"/>
  </si>
  <si>
    <t>プロジェクト分類</t>
    <phoneticPr fontId="11"/>
  </si>
  <si>
    <t>プロジェクトマネージャー</t>
    <phoneticPr fontId="11"/>
  </si>
  <si>
    <t>プロジェクトリーダー</t>
    <phoneticPr fontId="11"/>
  </si>
  <si>
    <r>
      <t>P</t>
    </r>
    <r>
      <rPr>
        <sz val="9"/>
        <rFont val="ＭＳ 明朝"/>
        <family val="1"/>
        <charset val="128"/>
      </rPr>
      <t>J名</t>
    </r>
    <rPh sb="2" eb="3">
      <t>メイ</t>
    </rPh>
    <phoneticPr fontId="11"/>
  </si>
  <si>
    <r>
      <t>P</t>
    </r>
    <r>
      <rPr>
        <sz val="9"/>
        <rFont val="ＭＳ 明朝"/>
        <family val="1"/>
        <charset val="128"/>
      </rPr>
      <t>J種別</t>
    </r>
    <rPh sb="2" eb="4">
      <t>シュベツ</t>
    </rPh>
    <phoneticPr fontId="11"/>
  </si>
  <si>
    <t>PJ分類</t>
    <rPh sb="2" eb="4">
      <t>ブンルイ</t>
    </rPh>
    <phoneticPr fontId="11"/>
  </si>
  <si>
    <t>PM</t>
    <phoneticPr fontId="11"/>
  </si>
  <si>
    <t>PL</t>
    <phoneticPr fontId="11"/>
  </si>
  <si>
    <t>divisionId</t>
    <phoneticPr fontId="11"/>
  </si>
  <si>
    <t>organizationId</t>
    <phoneticPr fontId="11"/>
  </si>
  <si>
    <t>projectName</t>
    <phoneticPr fontId="11"/>
  </si>
  <si>
    <t>projectType</t>
    <phoneticPr fontId="11"/>
  </si>
  <si>
    <t>projectClass</t>
    <phoneticPr fontId="11"/>
  </si>
  <si>
    <t>sales</t>
    <phoneticPr fontId="11"/>
  </si>
  <si>
    <t>clientId</t>
    <phoneticPr fontId="11"/>
  </si>
  <si>
    <t>projectManager</t>
    <phoneticPr fontId="11"/>
  </si>
  <si>
    <t>projectLeader</t>
    <phoneticPr fontId="11"/>
  </si>
  <si>
    <t>projectStartDate</t>
    <phoneticPr fontId="11"/>
  </si>
  <si>
    <t>projectEndDate</t>
    <phoneticPr fontId="11"/>
  </si>
  <si>
    <t>開始日</t>
    <phoneticPr fontId="11"/>
  </si>
  <si>
    <t>終了日</t>
    <phoneticPr fontId="11"/>
  </si>
  <si>
    <t>終了日付</t>
    <phoneticPr fontId="11"/>
  </si>
  <si>
    <t>部門ID</t>
    <phoneticPr fontId="11"/>
  </si>
  <si>
    <t>顧客ID</t>
    <phoneticPr fontId="11"/>
  </si>
  <si>
    <t>＜表示変換:10進数変換＞
3桁ごとにカンマ区切り
を表示する。</t>
    <phoneticPr fontId="11"/>
  </si>
  <si>
    <t>＜表示変換:日付変換＞
yyyy/MM/dd</t>
    <phoneticPr fontId="11"/>
  </si>
  <si>
    <t>＜コード値取得情報＞
ｺｰﾄﾞID　  ：C0200001
ｺｰﾄﾞ名称　：プロジェクト種別
ｺｰﾄﾞﾊﾟﾀｰﾝ ：1
表示名称 ：コード値名称
選択なしのオプション ：なし</t>
    <phoneticPr fontId="11"/>
  </si>
  <si>
    <t>＜コード値取得情報＞
ｺｰﾄﾞID　  ：C0300001
ｺｰﾄﾞ名称　：プロジェクト分類
ｺｰﾄﾞﾊﾟﾀｰﾝ ：1
表示名称 ：コード値名称
選択なしのオプション ：なし</t>
    <phoneticPr fontId="11"/>
  </si>
  <si>
    <t>改行が含まれる場合は改行を再現すること。</t>
    <phoneticPr fontId="11"/>
  </si>
  <si>
    <t>組織.組織ID</t>
    <rPh sb="0" eb="2">
      <t>ソシキ</t>
    </rPh>
    <rPh sb="3" eb="5">
      <t>ソシキ</t>
    </rPh>
    <phoneticPr fontId="11"/>
  </si>
  <si>
    <t>組織ID(Formから取得した組織ID)</t>
    <rPh sb="0" eb="2">
      <t>ソシキ</t>
    </rPh>
    <rPh sb="11" eb="13">
      <t>シュトク</t>
    </rPh>
    <rPh sb="15" eb="17">
      <t>ソシキ</t>
    </rPh>
    <phoneticPr fontId="11"/>
  </si>
  <si>
    <t>Formの事業部、部門には登録画面で選択された組織の組織IDが設定されている。</t>
    <phoneticPr fontId="11"/>
  </si>
  <si>
    <t>画面には組織IDに対する組織名を表示する必要があるので、下記クエリにより組織名を取得する。</t>
    <rPh sb="28" eb="30">
      <t>カキ</t>
    </rPh>
    <rPh sb="36" eb="39">
      <t>ソシキメイ</t>
    </rPh>
    <rPh sb="40" eb="42">
      <t>シュトク</t>
    </rPh>
    <phoneticPr fontId="11"/>
  </si>
  <si>
    <t>(b)Formに設定された顧客IDをパラメータとして、顧客管理システム．顧客詳細取得APIを実行し顧客名を取得する。</t>
    <rPh sb="8" eb="10">
      <t>セッテイ</t>
    </rPh>
    <rPh sb="13" eb="15">
      <t>コキャク</t>
    </rPh>
    <rPh sb="27" eb="29">
      <t>コキャク</t>
    </rPh>
    <rPh sb="29" eb="31">
      <t>カンリ</t>
    </rPh>
    <rPh sb="36" eb="38">
      <t>コキャク</t>
    </rPh>
    <rPh sb="38" eb="40">
      <t>ショウサイ</t>
    </rPh>
    <rPh sb="40" eb="42">
      <t>シュトク</t>
    </rPh>
    <rPh sb="46" eb="48">
      <t>ジッコウ</t>
    </rPh>
    <rPh sb="49" eb="51">
      <t>コキャク</t>
    </rPh>
    <rPh sb="51" eb="52">
      <t>メイ</t>
    </rPh>
    <rPh sb="53" eb="55">
      <t>シュトク</t>
    </rPh>
    <phoneticPr fontId="11"/>
  </si>
  <si>
    <t>上記バリデーションにおいて一箇所でもエラーが発生した場合、プロジェクト登録画面に指摘内容を表示し、後続の処理は実施しない。</t>
    <rPh sb="40" eb="44">
      <t>シテキナイヨウ</t>
    </rPh>
    <rPh sb="45" eb="47">
      <t>ヒョウジ</t>
    </rPh>
    <rPh sb="52" eb="54">
      <t>ショリ</t>
    </rPh>
    <phoneticPr fontId="11"/>
  </si>
  <si>
    <t>calendar</t>
  </si>
  <si>
    <t>calendar</t>
    <phoneticPr fontId="11"/>
  </si>
  <si>
    <t>hidden</t>
  </si>
  <si>
    <t>hidden</t>
    <phoneticPr fontId="11"/>
  </si>
  <si>
    <t>＜表示変換:日付変換＞
yyyy/MM/dd</t>
  </si>
  <si>
    <t>顧客検索画面で選択した顧客の顧客名</t>
    <rPh sb="7" eb="9">
      <t>センタク</t>
    </rPh>
    <rPh sb="11" eb="13">
      <t>コキャク</t>
    </rPh>
    <rPh sb="14" eb="16">
      <t>コキャク</t>
    </rPh>
    <rPh sb="16" eb="17">
      <t>メイ</t>
    </rPh>
    <phoneticPr fontId="11"/>
  </si>
  <si>
    <t>組織IDに対する組織名
※組織マスタに当該組織IDが存在しない場合は空白</t>
    <rPh sb="0" eb="2">
      <t>ソシキ</t>
    </rPh>
    <rPh sb="5" eb="6">
      <t>タイ</t>
    </rPh>
    <rPh sb="8" eb="11">
      <t>ソシキメイ</t>
    </rPh>
    <rPh sb="13" eb="15">
      <t>ソシキ</t>
    </rPh>
    <rPh sb="19" eb="21">
      <t>トウガイ</t>
    </rPh>
    <rPh sb="21" eb="23">
      <t>ソシキ</t>
    </rPh>
    <rPh sb="26" eb="28">
      <t>ソンザイ</t>
    </rPh>
    <rPh sb="31" eb="33">
      <t>バアイ</t>
    </rPh>
    <rPh sb="34" eb="36">
      <t>クウハク</t>
    </rPh>
    <phoneticPr fontId="11"/>
  </si>
  <si>
    <t>PJ種別コードに対するPJ種別名</t>
    <phoneticPr fontId="11"/>
  </si>
  <si>
    <t>PJ分類コードに対するPJ分類名</t>
    <phoneticPr fontId="11"/>
  </si>
  <si>
    <t>顧客IDに対する顧客名</t>
    <phoneticPr fontId="11"/>
  </si>
  <si>
    <t>PJ種別</t>
    <phoneticPr fontId="11"/>
  </si>
  <si>
    <t>PJ分類</t>
    <phoneticPr fontId="11"/>
  </si>
  <si>
    <t>売上高(千円)</t>
    <phoneticPr fontId="11"/>
  </si>
  <si>
    <t>金額</t>
    <rPh sb="0" eb="2">
      <t>キンガク</t>
    </rPh>
    <phoneticPr fontId="11"/>
  </si>
  <si>
    <t>・プルダウンの表示項目には組織名を、値には組織IDを使用する。</t>
    <phoneticPr fontId="11"/>
  </si>
  <si>
    <r>
      <t>P</t>
    </r>
    <r>
      <rPr>
        <sz val="9"/>
        <rFont val="ＭＳ 明朝"/>
        <family val="1"/>
        <charset val="128"/>
      </rPr>
      <t>J名</t>
    </r>
    <phoneticPr fontId="11"/>
  </si>
  <si>
    <r>
      <t>P</t>
    </r>
    <r>
      <rPr>
        <sz val="9"/>
        <rFont val="ＭＳ 明朝"/>
        <family val="1"/>
        <charset val="128"/>
      </rPr>
      <t>J種別</t>
    </r>
    <phoneticPr fontId="11"/>
  </si>
  <si>
    <r>
      <t>P</t>
    </r>
    <r>
      <rPr>
        <sz val="9"/>
        <rFont val="ＭＳ 明朝"/>
        <family val="1"/>
        <charset val="128"/>
      </rPr>
      <t>J分類</t>
    </r>
    <phoneticPr fontId="11"/>
  </si>
  <si>
    <r>
      <t>売上高</t>
    </r>
    <r>
      <rPr>
        <sz val="9"/>
        <rFont val="ＭＳ 明朝"/>
        <family val="1"/>
        <charset val="128"/>
      </rPr>
      <t>(千円)</t>
    </r>
    <phoneticPr fontId="11"/>
  </si>
  <si>
    <r>
      <t>P</t>
    </r>
    <r>
      <rPr>
        <sz val="9"/>
        <rFont val="ＭＳ 明朝"/>
        <family val="1"/>
        <charset val="128"/>
      </rPr>
      <t>L</t>
    </r>
    <phoneticPr fontId="11"/>
  </si>
  <si>
    <r>
      <rPr>
        <sz val="9"/>
        <rFont val="ＭＳ 明朝"/>
        <family val="1"/>
        <charset val="128"/>
      </rPr>
      <t>(3) 表示処理</t>
    </r>
    <rPh sb="4" eb="6">
      <t>ヒョウジ</t>
    </rPh>
    <rPh sb="6" eb="8">
      <t>ショリ</t>
    </rPh>
    <phoneticPr fontId="11"/>
  </si>
  <si>
    <t>登録</t>
    <rPh sb="0" eb="2">
      <t>トウロク</t>
    </rPh>
    <phoneticPr fontId="11"/>
  </si>
  <si>
    <r>
      <t>「</t>
    </r>
    <r>
      <rPr>
        <sz val="9"/>
        <rFont val="ＭＳ 明朝"/>
        <family val="1"/>
        <charset val="128"/>
      </rPr>
      <t>登録」ボタン押下</t>
    </r>
    <rPh sb="1" eb="3">
      <t>トウロク</t>
    </rPh>
    <phoneticPr fontId="11"/>
  </si>
  <si>
    <r>
      <t xml:space="preserve">3.6.1. </t>
    </r>
    <r>
      <rPr>
        <sz val="9"/>
        <rFont val="ＭＳ 明朝"/>
        <family val="1"/>
        <charset val="128"/>
      </rPr>
      <t>登録イベント</t>
    </r>
    <rPh sb="7" eb="9">
      <t>トウロク</t>
    </rPh>
    <phoneticPr fontId="11"/>
  </si>
  <si>
    <t>1.1版</t>
    <rPh sb="3" eb="4">
      <t>ハン</t>
    </rPh>
    <phoneticPr fontId="14"/>
  </si>
  <si>
    <t>変更</t>
    <rPh sb="0" eb="2">
      <t>ヘンコウ</t>
    </rPh>
    <phoneticPr fontId="14"/>
  </si>
  <si>
    <t>全体</t>
    <rPh sb="0" eb="2">
      <t>ゼンタイ</t>
    </rPh>
    <phoneticPr fontId="14"/>
  </si>
  <si>
    <t>TIS</t>
    <phoneticPr fontId="14"/>
  </si>
  <si>
    <r>
      <rPr>
        <sz val="9"/>
        <rFont val="ＭＳ 明朝"/>
        <family val="1"/>
        <charset val="128"/>
      </rPr>
      <t>・「(2) 検索処理」の検索結果の先頭にブランクオプションを追加して、「事業部」に設定する。</t>
    </r>
    <rPh sb="6" eb="8">
      <t>ケンサク</t>
    </rPh>
    <rPh sb="8" eb="10">
      <t>ショリ</t>
    </rPh>
    <rPh sb="12" eb="14">
      <t>ケンサク</t>
    </rPh>
    <rPh sb="14" eb="16">
      <t>ケッカ</t>
    </rPh>
    <rPh sb="17" eb="19">
      <t>セントウ</t>
    </rPh>
    <rPh sb="30" eb="32">
      <t>ツイカ</t>
    </rPh>
    <rPh sb="36" eb="38">
      <t>ジギョウ</t>
    </rPh>
    <rPh sb="38" eb="39">
      <t>ブ</t>
    </rPh>
    <rPh sb="41" eb="43">
      <t>セッテイ</t>
    </rPh>
    <phoneticPr fontId="11"/>
  </si>
  <si>
    <r>
      <rPr>
        <sz val="9"/>
        <rFont val="ＭＳ 明朝"/>
        <family val="1"/>
        <charset val="128"/>
      </rPr>
      <t>・「(2) 検索処理」の検索結果の先頭にブランクオプションを追加して、「部門」に設定する。</t>
    </r>
    <rPh sb="6" eb="8">
      <t>ケンサク</t>
    </rPh>
    <rPh sb="8" eb="10">
      <t>ショリ</t>
    </rPh>
    <rPh sb="12" eb="14">
      <t>ケンサク</t>
    </rPh>
    <rPh sb="14" eb="16">
      <t>ケッカ</t>
    </rPh>
    <rPh sb="17" eb="19">
      <t>セントウ</t>
    </rPh>
    <rPh sb="30" eb="32">
      <t>ツイカ</t>
    </rPh>
    <rPh sb="36" eb="38">
      <t>ブモン</t>
    </rPh>
    <rPh sb="40" eb="42">
      <t>セッテイ</t>
    </rPh>
    <phoneticPr fontId="11"/>
  </si>
  <si>
    <t>validator.periodConsistencyCheck.message.ProjectCreateForm</t>
    <phoneticPr fontId="11"/>
  </si>
  <si>
    <t>「2. WA1020101(プロジェクト登録画面) &gt; 2.6.5. 確認イベント &gt; (1) バリデーション処理」と同様のバリデーションを行う。</t>
    <phoneticPr fontId="11"/>
  </si>
  <si>
    <t>画面レイアウトの貼り替え</t>
    <rPh sb="0" eb="2">
      <t>ガメン</t>
    </rPh>
    <rPh sb="8" eb="9">
      <t>ハ</t>
    </rPh>
    <rPh sb="10" eb="11">
      <t>カ</t>
    </rPh>
    <phoneticPr fontId="14"/>
  </si>
  <si>
    <t>3. WA1020102</t>
    <phoneticPr fontId="14"/>
  </si>
  <si>
    <t>hiddenで値を持ち回るよう変更</t>
    <rPh sb="7" eb="8">
      <t>アタイ</t>
    </rPh>
    <rPh sb="9" eb="10">
      <t>モ</t>
    </rPh>
    <rPh sb="11" eb="12">
      <t>マワ</t>
    </rPh>
    <rPh sb="15" eb="17">
      <t>ヘンコウ</t>
    </rPh>
    <phoneticPr fontId="14"/>
  </si>
  <si>
    <t>1.2版</t>
    <rPh sb="3" eb="4">
      <t>ハン</t>
    </rPh>
    <phoneticPr fontId="14"/>
  </si>
  <si>
    <t>3. WA1020102、4. WA1020103</t>
    <phoneticPr fontId="14"/>
  </si>
  <si>
    <t>ドメイン情報をドメイン定義書に合わせて修正</t>
    <phoneticPr fontId="14"/>
  </si>
  <si>
    <t>第１．２版</t>
    <rPh sb="0" eb="1">
      <t>ダイ</t>
    </rPh>
    <rPh sb="4" eb="5">
      <t>ハン</t>
    </rPh>
    <phoneticPr fontId="2"/>
  </si>
  <si>
    <t>顧客名</t>
    <phoneticPr fontId="11"/>
  </si>
  <si>
    <t>全ての入力項目に対して、指定ドメインに応じたバリデーションおよび必須チェックを実施し、入力内容の妥当性を確認する。</t>
    <rPh sb="0" eb="1">
      <t>スベ</t>
    </rPh>
    <rPh sb="3" eb="5">
      <t>ニュウリョク</t>
    </rPh>
    <rPh sb="5" eb="7">
      <t>コウモク</t>
    </rPh>
    <rPh sb="8" eb="9">
      <t>タイ</t>
    </rPh>
    <rPh sb="12" eb="14">
      <t>シテイ</t>
    </rPh>
    <rPh sb="19" eb="20">
      <t>オウ</t>
    </rPh>
    <rPh sb="32" eb="34">
      <t>ヒッス</t>
    </rPh>
    <rPh sb="39" eb="41">
      <t>ジッシ</t>
    </rPh>
    <rPh sb="43" eb="45">
      <t>ニュウリョク</t>
    </rPh>
    <rPh sb="45" eb="47">
      <t>ナイヨウ</t>
    </rPh>
    <rPh sb="48" eb="50">
      <t>ダトウ</t>
    </rPh>
    <rPh sb="50" eb="51">
      <t>セイ</t>
    </rPh>
    <rPh sb="52" eb="54">
      <t>カクニン</t>
    </rPh>
    <phoneticPr fontId="11"/>
  </si>
  <si>
    <t>2. WA1020101</t>
    <phoneticPr fontId="14"/>
  </si>
  <si>
    <t>単項目バリデーションのバリデーション内容の説明を修正</t>
    <phoneticPr fontId="14"/>
  </si>
  <si>
    <t>ほげほげ</t>
    <phoneticPr fontId="14"/>
  </si>
  <si>
    <t>TIS</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</si>
</sst>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quot;第&quot;0.00&quot;版&quot;"/>
    <numFmt numFmtId="177" formatCode="yyyy/mm/dd"/>
  </numFmts>
  <fonts count="25">
    <font>
      <sz val="9"/>
      <name val="ＭＳ 明朝"/>
      <family val="1"/>
      <charset val="128"/>
    </font>
    <font>
      <sz val="9"/>
      <name val="ＭＳ 明朝"/>
      <family val="1"/>
      <charset val="128"/>
    </font>
    <font>
      <sz val="18"/>
      <name val="ＭＳ Ｐゴシック"/>
      <family val="3"/>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2"/>
      <name val="ＭＳ 明朝"/>
      <family val="1"/>
      <charset val="128"/>
    </font>
    <font>
      <sz val="10"/>
      <name val="ＭＳ 明朝"/>
      <family val="1"/>
      <charset val="128"/>
    </font>
    <font>
      <sz val="6"/>
      <name val="ＭＳ 明朝"/>
      <family val="1"/>
      <charset val="128"/>
    </font>
    <font>
      <sz val="13"/>
      <name val="ＭＳ 明朝"/>
      <family val="1"/>
      <charset val="128"/>
    </font>
    <font>
      <sz val="9"/>
      <name val="ＭＳ 明朝"/>
      <family val="1"/>
      <charset val="128"/>
    </font>
    <font>
      <sz val="6"/>
      <name val="ＭＳ Ｐゴシック"/>
      <family val="3"/>
      <charset val="128"/>
    </font>
    <font>
      <sz val="11"/>
      <name val="ＭＳ Ｐゴシック"/>
      <family val="3"/>
      <charset val="128"/>
    </font>
    <font>
      <sz val="9"/>
      <color theme="1"/>
      <name val="ＭＳ 明朝"/>
      <family val="1"/>
      <charset val="128"/>
    </font>
    <font>
      <i/>
      <sz val="9"/>
      <name val="ＭＳ 明朝"/>
      <family val="1"/>
      <charset val="128"/>
    </font>
    <font>
      <u/>
      <sz val="9"/>
      <color indexed="12"/>
      <name val="ＭＳ 明朝"/>
      <family val="1"/>
      <charset val="128"/>
    </font>
    <font>
      <b/>
      <sz val="9"/>
      <name val="ＭＳ 明朝"/>
      <family val="1"/>
      <charset val="128"/>
    </font>
    <font>
      <sz val="9"/>
      <color indexed="55"/>
      <name val="ＭＳ 明朝"/>
      <family val="1"/>
      <charset val="128"/>
    </font>
    <font>
      <sz val="10"/>
      <name val="ＭＳ ゴシック"/>
      <family val="3"/>
      <charset val="128"/>
    </font>
    <font>
      <sz val="9"/>
      <color rgb="FFFF0000"/>
      <name val="ＭＳ 明朝"/>
      <family val="1"/>
      <charset val="128"/>
    </font>
    <font>
      <sz val="9"/>
      <color indexed="81"/>
      <name val="MS P ゴシック"/>
      <family val="3"/>
      <charset val="128"/>
    </font>
    <font>
      <b/>
      <sz val="9"/>
      <color indexed="81"/>
      <name val="MS P ゴシック"/>
      <family val="3"/>
      <charset val="128"/>
    </font>
  </fonts>
  <fills count="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0" tint="-0.14999847407452621"/>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0"/>
      </right>
      <top style="thin">
        <color indexed="64"/>
      </top>
      <bottom style="thin">
        <color indexed="0"/>
      </bottom>
      <diagonal/>
    </border>
    <border>
      <left style="thin">
        <color rgb="FF000000"/>
      </left>
      <right style="thin">
        <color indexed="8"/>
      </right>
      <top style="thin">
        <color indexed="64"/>
      </top>
      <bottom style="thin">
        <color indexed="0"/>
      </bottom>
      <diagonal/>
    </border>
    <border>
      <left style="thin">
        <color rgb="FF000000"/>
      </left>
      <right style="thin">
        <color indexed="8"/>
      </right>
      <top style="thin">
        <color indexed="8"/>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0"/>
      </bottom>
      <diagonal/>
    </border>
    <border>
      <left style="thin">
        <color indexed="64"/>
      </left>
      <right/>
      <top style="thin">
        <color indexed="0"/>
      </top>
      <bottom style="thin">
        <color indexed="0"/>
      </bottom>
      <diagonal/>
    </border>
    <border>
      <left style="thin">
        <color indexed="64"/>
      </left>
      <right style="thin">
        <color indexed="64"/>
      </right>
      <top style="thin">
        <color indexed="64"/>
      </top>
      <bottom/>
      <diagonal/>
    </border>
    <border>
      <left style="thin">
        <color indexed="0"/>
      </left>
      <right/>
      <top style="thin">
        <color indexed="64"/>
      </top>
      <bottom style="thin">
        <color indexed="64"/>
      </bottom>
      <diagonal/>
    </border>
    <border>
      <left/>
      <right style="thin">
        <color indexed="0"/>
      </right>
      <top style="thin">
        <color indexed="64"/>
      </top>
      <bottom style="thin">
        <color indexed="64"/>
      </bottom>
      <diagonal/>
    </border>
    <border>
      <left style="thin">
        <color indexed="64"/>
      </left>
      <right style="thin">
        <color indexed="64"/>
      </right>
      <top/>
      <bottom/>
      <diagonal/>
    </border>
    <border>
      <left style="thin">
        <color indexed="0"/>
      </left>
      <right/>
      <top style="thin">
        <color indexed="64"/>
      </top>
      <bottom style="thin">
        <color indexed="0"/>
      </bottom>
      <diagonal/>
    </border>
    <border>
      <left style="thin">
        <color indexed="0"/>
      </left>
      <right/>
      <top style="thin">
        <color indexed="0"/>
      </top>
      <bottom style="thin">
        <color indexed="0"/>
      </bottom>
      <diagonal/>
    </border>
    <border>
      <left/>
      <right/>
      <top style="thin">
        <color indexed="0"/>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s>
  <cellStyleXfs count="12">
    <xf numFmtId="0" fontId="0" fillId="0" borderId="0"/>
    <xf numFmtId="0" fontId="1" fillId="0" borderId="0"/>
    <xf numFmtId="0" fontId="1" fillId="0" borderId="0"/>
    <xf numFmtId="0" fontId="1" fillId="0" borderId="0"/>
    <xf numFmtId="0" fontId="15" fillId="0" borderId="0"/>
    <xf numFmtId="0" fontId="18" fillId="0" borderId="0" applyNumberFormat="0" applyFill="0" applyBorder="0" applyAlignment="0" applyProtection="0">
      <alignment vertical="top"/>
      <protection locked="0"/>
    </xf>
    <xf numFmtId="9" fontId="1" fillId="0" borderId="0" applyFont="0" applyFill="0" applyBorder="0" applyAlignment="0" applyProtection="0"/>
    <xf numFmtId="0" fontId="1" fillId="0" borderId="0"/>
    <xf numFmtId="0" fontId="21" fillId="0" borderId="0"/>
    <xf numFmtId="0" fontId="10" fillId="0" borderId="0"/>
    <xf numFmtId="0" fontId="21" fillId="0" borderId="0"/>
    <xf numFmtId="0" fontId="15" fillId="0" borderId="0">
      <alignment vertical="center"/>
    </xf>
  </cellStyleXfs>
  <cellXfs count="421">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7" fillId="0" borderId="0" xfId="0" applyFont="1" applyAlignment="1">
      <alignment horizontal="center"/>
    </xf>
    <xf numFmtId="0" fontId="9" fillId="0" borderId="0" xfId="0" applyFont="1" applyAlignment="1">
      <alignment horizontal="center"/>
    </xf>
    <xf numFmtId="0" fontId="8" fillId="0" borderId="0" xfId="0" applyFont="1"/>
    <xf numFmtId="0" fontId="1" fillId="0" borderId="0" xfId="1"/>
    <xf numFmtId="0" fontId="1" fillId="0" borderId="0" xfId="1" applyAlignment="1">
      <alignment horizontal="right"/>
    </xf>
    <xf numFmtId="0" fontId="1" fillId="0" borderId="0" xfId="1" applyAlignment="1">
      <alignment vertical="top"/>
    </xf>
    <xf numFmtId="31" fontId="7" fillId="0" borderId="0" xfId="0" applyNumberFormat="1" applyFont="1"/>
    <xf numFmtId="0" fontId="8" fillId="0" borderId="0" xfId="1" applyFont="1"/>
    <xf numFmtId="176" fontId="8" fillId="0" borderId="0" xfId="1" quotePrefix="1" applyNumberFormat="1" applyFont="1" applyAlignment="1">
      <alignment horizontal="center"/>
    </xf>
    <xf numFmtId="0" fontId="13" fillId="0" borderId="0" xfId="0" applyFont="1"/>
    <xf numFmtId="0" fontId="1" fillId="0" borderId="0" xfId="0" applyFont="1"/>
    <xf numFmtId="0" fontId="13" fillId="0" borderId="0" xfId="1" applyFont="1" applyAlignment="1">
      <alignment vertical="top"/>
    </xf>
    <xf numFmtId="0" fontId="3" fillId="0" borderId="0" xfId="3" applyFont="1"/>
    <xf numFmtId="0" fontId="12" fillId="0" borderId="0" xfId="3" applyFont="1" applyAlignment="1">
      <alignment horizontal="center"/>
    </xf>
    <xf numFmtId="0" fontId="9" fillId="0" borderId="0" xfId="4" applyFont="1" applyAlignment="1">
      <alignment horizontal="center"/>
    </xf>
    <xf numFmtId="0" fontId="9" fillId="0" borderId="0" xfId="3" applyFont="1" applyAlignment="1">
      <alignment horizontal="center"/>
    </xf>
    <xf numFmtId="0" fontId="1" fillId="0" borderId="0" xfId="1" applyAlignment="1">
      <alignment horizontal="center" vertical="center"/>
    </xf>
    <xf numFmtId="0" fontId="1" fillId="0" borderId="0" xfId="1" quotePrefix="1" applyAlignment="1">
      <alignment vertical="center"/>
    </xf>
    <xf numFmtId="0" fontId="1" fillId="0" borderId="0" xfId="1" applyAlignment="1">
      <alignment vertical="center"/>
    </xf>
    <xf numFmtId="0" fontId="0" fillId="0" borderId="0" xfId="0" applyAlignment="1">
      <alignment horizontal="left"/>
    </xf>
    <xf numFmtId="0" fontId="0" fillId="0" borderId="0" xfId="0" applyAlignment="1">
      <alignment vertical="top"/>
    </xf>
    <xf numFmtId="177" fontId="1" fillId="0" borderId="0" xfId="0" applyNumberFormat="1" applyFont="1" applyAlignment="1">
      <alignment horizontal="right"/>
    </xf>
    <xf numFmtId="0" fontId="1" fillId="0" borderId="0" xfId="0" quotePrefix="1" applyFont="1"/>
    <xf numFmtId="0" fontId="1" fillId="0" borderId="0" xfId="0" applyFont="1" applyAlignment="1">
      <alignment vertical="top"/>
    </xf>
    <xf numFmtId="0" fontId="16" fillId="0" borderId="0" xfId="0" applyFont="1"/>
    <xf numFmtId="0" fontId="17" fillId="0" borderId="0" xfId="0" applyFont="1"/>
    <xf numFmtId="0" fontId="17" fillId="0" borderId="0" xfId="0" applyFont="1" applyAlignment="1">
      <alignment horizontal="right"/>
    </xf>
    <xf numFmtId="0" fontId="19" fillId="0" borderId="0" xfId="0" applyFont="1"/>
    <xf numFmtId="0" fontId="20" fillId="0" borderId="0" xfId="0" quotePrefix="1" applyFont="1" applyAlignment="1">
      <alignment horizontal="right"/>
    </xf>
    <xf numFmtId="0" fontId="19" fillId="0" borderId="0" xfId="0" applyFont="1" applyAlignment="1">
      <alignment horizontal="left"/>
    </xf>
    <xf numFmtId="0" fontId="20" fillId="0" borderId="0" xfId="0" quotePrefix="1" applyFont="1" applyAlignment="1">
      <alignment horizontal="right" vertical="center"/>
    </xf>
    <xf numFmtId="0" fontId="17" fillId="0" borderId="0" xfId="0" applyFont="1" applyAlignment="1">
      <alignment horizontal="right" vertical="center"/>
    </xf>
    <xf numFmtId="0" fontId="0" fillId="0" borderId="23" xfId="0" applyBorder="1" applyAlignment="1">
      <alignment horizontal="center" vertical="center"/>
    </xf>
    <xf numFmtId="0" fontId="0" fillId="0" borderId="0" xfId="1" applyFont="1" applyAlignment="1">
      <alignment horizontal="left" vertical="center"/>
    </xf>
    <xf numFmtId="0" fontId="0" fillId="0" borderId="11" xfId="0" applyBorder="1" applyAlignment="1">
      <alignment horizontal="center" vertical="top"/>
    </xf>
    <xf numFmtId="0" fontId="0" fillId="0" borderId="10" xfId="0" applyBorder="1" applyAlignment="1">
      <alignment horizontal="center" vertical="top"/>
    </xf>
    <xf numFmtId="0" fontId="0" fillId="0" borderId="0" xfId="0" quotePrefix="1"/>
    <xf numFmtId="0" fontId="0" fillId="0" borderId="0" xfId="0" applyAlignment="1">
      <alignment horizontal="right"/>
    </xf>
    <xf numFmtId="0" fontId="0" fillId="0" borderId="0" xfId="0" applyAlignment="1">
      <alignment horizontal="left" vertical="center"/>
    </xf>
    <xf numFmtId="0" fontId="0" fillId="0" borderId="0" xfId="5" applyFont="1" applyFill="1" applyBorder="1" applyAlignment="1" applyProtection="1"/>
    <xf numFmtId="0" fontId="0" fillId="0" borderId="0" xfId="0" quotePrefix="1" applyAlignment="1">
      <alignment horizontal="right"/>
    </xf>
    <xf numFmtId="0" fontId="0" fillId="0" borderId="0" xfId="5" applyFont="1" applyFill="1" applyAlignment="1" applyProtection="1">
      <alignment horizontal="left"/>
    </xf>
    <xf numFmtId="0" fontId="0" fillId="0" borderId="0" xfId="5" applyFont="1" applyFill="1" applyAlignment="1" applyProtection="1">
      <alignment horizontal="left" vertical="center"/>
    </xf>
    <xf numFmtId="0" fontId="0" fillId="0" borderId="0" xfId="0" quotePrefix="1" applyAlignment="1">
      <alignment horizontal="right" vertical="center"/>
    </xf>
    <xf numFmtId="0" fontId="0" fillId="0" borderId="0" xfId="0" applyAlignment="1">
      <alignment vertical="center"/>
    </xf>
    <xf numFmtId="0" fontId="0" fillId="0" borderId="0" xfId="0" applyAlignment="1">
      <alignment vertical="top" wrapText="1"/>
    </xf>
    <xf numFmtId="0" fontId="0" fillId="0" borderId="10" xfId="0" applyBorder="1"/>
    <xf numFmtId="0" fontId="0" fillId="2" borderId="10" xfId="0" applyFill="1" applyBorder="1"/>
    <xf numFmtId="0" fontId="0" fillId="2" borderId="1" xfId="0" applyFill="1" applyBorder="1"/>
    <xf numFmtId="0" fontId="0" fillId="5" borderId="10" xfId="0" applyFill="1" applyBorder="1"/>
    <xf numFmtId="0" fontId="0" fillId="0" borderId="1" xfId="0" applyBorder="1"/>
    <xf numFmtId="0" fontId="0" fillId="3" borderId="10" xfId="0" applyFill="1" applyBorder="1"/>
    <xf numFmtId="0" fontId="3" fillId="0" borderId="0" xfId="0" applyFont="1" applyAlignment="1">
      <alignment horizontal="center" vertical="center"/>
    </xf>
    <xf numFmtId="0" fontId="10" fillId="0" borderId="0" xfId="0" applyFont="1" applyAlignment="1">
      <alignment vertical="center"/>
    </xf>
    <xf numFmtId="0" fontId="0" fillId="0" borderId="0" xfId="1" applyFont="1" applyAlignment="1">
      <alignment vertical="center"/>
    </xf>
    <xf numFmtId="0" fontId="3" fillId="0" borderId="0" xfId="0" applyFont="1" applyAlignment="1">
      <alignment vertical="center"/>
    </xf>
    <xf numFmtId="0" fontId="0" fillId="0" borderId="0" xfId="1" applyFont="1"/>
    <xf numFmtId="0" fontId="1" fillId="0" borderId="0" xfId="0" applyFont="1" applyAlignment="1">
      <alignment horizontal="left"/>
    </xf>
    <xf numFmtId="0" fontId="1" fillId="0" borderId="0" xfId="0" applyFont="1" applyAlignment="1">
      <alignment vertical="center"/>
    </xf>
    <xf numFmtId="0" fontId="1" fillId="0" borderId="5" xfId="0" applyFont="1" applyBorder="1" applyAlignment="1">
      <alignment vertical="top"/>
    </xf>
    <xf numFmtId="0" fontId="1" fillId="0" borderId="6" xfId="0"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0" fontId="1" fillId="0" borderId="7" xfId="0" applyFont="1" applyBorder="1" applyAlignment="1">
      <alignment vertical="top"/>
    </xf>
    <xf numFmtId="0" fontId="1" fillId="0" borderId="8" xfId="0" applyFont="1" applyBorder="1" applyAlignment="1">
      <alignment vertical="top"/>
    </xf>
    <xf numFmtId="0" fontId="1" fillId="0" borderId="9" xfId="0" applyFont="1" applyBorder="1" applyAlignment="1">
      <alignment vertical="top"/>
    </xf>
    <xf numFmtId="0" fontId="0" fillId="0" borderId="1" xfId="0" applyBorder="1" applyAlignment="1">
      <alignment vertical="top"/>
    </xf>
    <xf numFmtId="0" fontId="1" fillId="0" borderId="2" xfId="0" applyFont="1" applyBorder="1" applyAlignment="1">
      <alignment vertical="top"/>
    </xf>
    <xf numFmtId="0" fontId="1" fillId="0" borderId="3" xfId="0" applyFont="1" applyBorder="1" applyAlignment="1">
      <alignment vertical="top"/>
    </xf>
    <xf numFmtId="0" fontId="1" fillId="0" borderId="0" xfId="0" applyFont="1" applyAlignment="1">
      <alignment vertical="center" wrapText="1"/>
    </xf>
    <xf numFmtId="0" fontId="1" fillId="3" borderId="0" xfId="0" applyFont="1" applyFill="1" applyAlignment="1">
      <alignment horizontal="left" vertical="center" wrapText="1"/>
    </xf>
    <xf numFmtId="0" fontId="1" fillId="3" borderId="0" xfId="0" applyFont="1" applyFill="1"/>
    <xf numFmtId="49" fontId="1" fillId="3" borderId="4" xfId="0" applyNumberFormat="1" applyFont="1" applyFill="1" applyBorder="1"/>
    <xf numFmtId="49" fontId="1" fillId="3" borderId="5" xfId="0" applyNumberFormat="1" applyFont="1" applyFill="1" applyBorder="1"/>
    <xf numFmtId="49" fontId="1" fillId="3" borderId="6" xfId="0" applyNumberFormat="1" applyFont="1" applyFill="1" applyBorder="1"/>
    <xf numFmtId="49" fontId="1" fillId="0" borderId="21" xfId="0" applyNumberFormat="1" applyFont="1" applyBorder="1" applyAlignment="1">
      <alignment horizontal="left" vertical="center"/>
    </xf>
    <xf numFmtId="49" fontId="1" fillId="0" borderId="0" xfId="0" applyNumberFormat="1" applyFont="1" applyAlignment="1">
      <alignment horizontal="left" vertical="center"/>
    </xf>
    <xf numFmtId="49" fontId="1" fillId="0" borderId="0" xfId="0" applyNumberFormat="1" applyFont="1"/>
    <xf numFmtId="49" fontId="1" fillId="0" borderId="0" xfId="0" applyNumberFormat="1" applyFont="1" applyAlignment="1">
      <alignment vertical="center"/>
    </xf>
    <xf numFmtId="49" fontId="1" fillId="0" borderId="22" xfId="0" applyNumberFormat="1" applyFont="1" applyBorder="1" applyAlignment="1">
      <alignment horizontal="left"/>
    </xf>
    <xf numFmtId="49" fontId="1" fillId="0" borderId="7" xfId="0" applyNumberFormat="1" applyFont="1" applyBorder="1" applyAlignment="1">
      <alignment horizontal="left" vertical="center"/>
    </xf>
    <xf numFmtId="49" fontId="1" fillId="0" borderId="8" xfId="0" applyNumberFormat="1" applyFont="1" applyBorder="1" applyAlignment="1">
      <alignment horizontal="left" vertical="center"/>
    </xf>
    <xf numFmtId="49" fontId="1" fillId="0" borderId="8" xfId="0" applyNumberFormat="1" applyFont="1" applyBorder="1"/>
    <xf numFmtId="49" fontId="1" fillId="0" borderId="8" xfId="0" applyNumberFormat="1" applyFont="1" applyBorder="1" applyAlignment="1">
      <alignment vertical="center"/>
    </xf>
    <xf numFmtId="49" fontId="1" fillId="0" borderId="9" xfId="0" applyNumberFormat="1" applyFont="1" applyBorder="1" applyAlignment="1">
      <alignment horizontal="left"/>
    </xf>
    <xf numFmtId="49" fontId="1" fillId="0" borderId="0" xfId="0" applyNumberFormat="1" applyFont="1" applyAlignment="1">
      <alignment horizontal="left"/>
    </xf>
    <xf numFmtId="0" fontId="1" fillId="0" borderId="0" xfId="0" applyFont="1" applyAlignment="1">
      <alignment horizontal="left" vertical="center"/>
    </xf>
    <xf numFmtId="0" fontId="19" fillId="0" borderId="0" xfId="0" applyFont="1" applyAlignment="1">
      <alignment horizontal="left" vertical="center"/>
    </xf>
    <xf numFmtId="0" fontId="1" fillId="0" borderId="21" xfId="0" applyFont="1" applyBorder="1"/>
    <xf numFmtId="0" fontId="1" fillId="0" borderId="0" xfId="0" applyFont="1" applyAlignment="1">
      <alignment horizontal="right" vertical="top"/>
    </xf>
    <xf numFmtId="0" fontId="1" fillId="0" borderId="0" xfId="0" applyFont="1" applyAlignment="1">
      <alignment horizontal="left" vertical="center" wrapText="1"/>
    </xf>
    <xf numFmtId="0" fontId="1" fillId="2" borderId="15" xfId="0" applyFont="1" applyFill="1" applyBorder="1" applyAlignment="1">
      <alignment vertical="center"/>
    </xf>
    <xf numFmtId="0" fontId="1" fillId="0" borderId="10" xfId="0" applyFont="1" applyBorder="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horizontal="left" vertical="top"/>
    </xf>
    <xf numFmtId="0" fontId="1" fillId="0" borderId="0" xfId="0" applyFont="1" applyAlignment="1">
      <alignment vertical="top" wrapText="1"/>
    </xf>
    <xf numFmtId="0" fontId="1" fillId="0" borderId="0" xfId="0" applyFont="1" applyAlignment="1">
      <alignment horizontal="left" vertical="top" wrapText="1"/>
    </xf>
    <xf numFmtId="0" fontId="1" fillId="0" borderId="10" xfId="0" applyFont="1" applyBorder="1"/>
    <xf numFmtId="0" fontId="1" fillId="0" borderId="10" xfId="0" applyFont="1" applyBorder="1" applyAlignment="1">
      <alignment horizontal="right" vertical="top"/>
    </xf>
    <xf numFmtId="49" fontId="1" fillId="0" borderId="0" xfId="0" applyNumberFormat="1" applyFont="1" applyAlignment="1">
      <alignment horizontal="left" vertical="center" wrapText="1"/>
    </xf>
    <xf numFmtId="0" fontId="1" fillId="4" borderId="1" xfId="0" applyFont="1" applyFill="1" applyBorder="1" applyAlignment="1">
      <alignment vertical="top"/>
    </xf>
    <xf numFmtId="0" fontId="1" fillId="4" borderId="2" xfId="0" applyFont="1" applyFill="1" applyBorder="1" applyAlignment="1">
      <alignment vertical="top"/>
    </xf>
    <xf numFmtId="0" fontId="1" fillId="4" borderId="10" xfId="0" applyFont="1" applyFill="1" applyBorder="1" applyAlignment="1">
      <alignment horizontal="center" vertical="top"/>
    </xf>
    <xf numFmtId="0" fontId="1" fillId="0" borderId="10" xfId="0" applyFont="1" applyBorder="1" applyAlignment="1">
      <alignment horizontal="right" vertical="center" wrapText="1"/>
    </xf>
    <xf numFmtId="0" fontId="1" fillId="0" borderId="1" xfId="0" applyFont="1" applyBorder="1" applyAlignment="1">
      <alignment horizontal="center" vertical="center"/>
    </xf>
    <xf numFmtId="0" fontId="1" fillId="2" borderId="12" xfId="0" applyFont="1" applyFill="1" applyBorder="1" applyAlignment="1">
      <alignment horizontal="left" vertical="top"/>
    </xf>
    <xf numFmtId="0" fontId="0" fillId="3" borderId="0" xfId="0" applyFill="1" applyAlignment="1">
      <alignment vertical="top" wrapText="1"/>
    </xf>
    <xf numFmtId="0" fontId="1" fillId="2" borderId="10" xfId="0" applyFont="1" applyFill="1" applyBorder="1" applyAlignment="1">
      <alignment vertical="top"/>
    </xf>
    <xf numFmtId="0" fontId="1" fillId="0" borderId="10" xfId="0" applyFont="1" applyBorder="1" applyAlignment="1">
      <alignment vertical="center"/>
    </xf>
    <xf numFmtId="0" fontId="1" fillId="0" borderId="0" xfId="0" applyFont="1" applyAlignment="1">
      <alignment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0" fillId="3" borderId="16" xfId="0" applyFill="1" applyBorder="1" applyAlignment="1">
      <alignment horizontal="right" vertical="top" wrapText="1"/>
    </xf>
    <xf numFmtId="0" fontId="1" fillId="3" borderId="0" xfId="0" applyFont="1" applyFill="1" applyAlignment="1">
      <alignment vertical="top" wrapText="1"/>
    </xf>
    <xf numFmtId="0" fontId="0" fillId="3" borderId="0" xfId="0" applyFill="1" applyAlignment="1">
      <alignment horizontal="right" vertical="top" wrapText="1"/>
    </xf>
    <xf numFmtId="0" fontId="0" fillId="0" borderId="16" xfId="0" applyBorder="1" applyAlignment="1">
      <alignment vertical="top" wrapText="1"/>
    </xf>
    <xf numFmtId="0" fontId="1" fillId="2" borderId="10" xfId="0" applyFont="1" applyFill="1" applyBorder="1" applyAlignment="1">
      <alignment horizontal="left" vertical="top"/>
    </xf>
    <xf numFmtId="0" fontId="0" fillId="0" borderId="0" xfId="0" applyAlignment="1">
      <alignment horizontal="left" vertical="center" wrapText="1"/>
    </xf>
    <xf numFmtId="0" fontId="1" fillId="3" borderId="8" xfId="0" applyFont="1" applyFill="1" applyBorder="1" applyAlignment="1">
      <alignment vertical="top" wrapText="1"/>
    </xf>
    <xf numFmtId="0" fontId="1" fillId="3" borderId="9" xfId="0" applyFont="1" applyFill="1" applyBorder="1" applyAlignment="1">
      <alignment vertical="top" wrapText="1"/>
    </xf>
    <xf numFmtId="0" fontId="0" fillId="0" borderId="4" xfId="0" applyBorder="1" applyAlignment="1">
      <alignment vertical="top"/>
    </xf>
    <xf numFmtId="0" fontId="0" fillId="0" borderId="21" xfId="0" applyBorder="1" applyAlignment="1">
      <alignment vertical="top"/>
    </xf>
    <xf numFmtId="0" fontId="0" fillId="0" borderId="10" xfId="0" applyBorder="1" applyAlignment="1">
      <alignment vertical="center" wrapText="1"/>
    </xf>
    <xf numFmtId="49" fontId="0" fillId="0" borderId="0" xfId="0" applyNumberFormat="1" applyAlignment="1">
      <alignment horizontal="left" vertical="center"/>
    </xf>
    <xf numFmtId="0" fontId="1" fillId="0" borderId="2" xfId="0" applyFont="1" applyBorder="1"/>
    <xf numFmtId="0" fontId="1" fillId="0" borderId="3" xfId="0" applyFont="1" applyBorder="1"/>
    <xf numFmtId="0" fontId="0" fillId="3" borderId="7" xfId="0" applyFill="1" applyBorder="1" applyAlignment="1">
      <alignment vertical="top" wrapText="1"/>
    </xf>
    <xf numFmtId="0" fontId="1" fillId="5" borderId="2" xfId="0" applyFont="1" applyFill="1" applyBorder="1" applyAlignment="1">
      <alignment horizontal="left" vertical="top"/>
    </xf>
    <xf numFmtId="0" fontId="1" fillId="5" borderId="3" xfId="0" applyFont="1" applyFill="1" applyBorder="1" applyAlignment="1">
      <alignment horizontal="left" vertical="top"/>
    </xf>
    <xf numFmtId="0" fontId="0" fillId="5" borderId="1" xfId="0" applyFill="1" applyBorder="1" applyAlignment="1">
      <alignment horizontal="left" vertical="top"/>
    </xf>
    <xf numFmtId="0" fontId="1" fillId="7" borderId="10" xfId="0" applyFont="1" applyFill="1" applyBorder="1" applyAlignment="1">
      <alignment horizontal="right" vertical="top"/>
    </xf>
    <xf numFmtId="0" fontId="22" fillId="0" borderId="0" xfId="0" applyFont="1"/>
    <xf numFmtId="0" fontId="22" fillId="0" borderId="0" xfId="0" applyFont="1" applyAlignment="1">
      <alignment horizontal="left"/>
    </xf>
    <xf numFmtId="0" fontId="0" fillId="0" borderId="10" xfId="0" applyBorder="1" applyAlignment="1">
      <alignment horizontal="center" vertical="center"/>
    </xf>
    <xf numFmtId="0" fontId="0" fillId="3" borderId="0" xfId="0" applyFill="1"/>
    <xf numFmtId="0" fontId="0" fillId="3" borderId="0" xfId="0" applyFill="1" applyAlignment="1">
      <alignment horizontal="left" vertical="center" wrapText="1"/>
    </xf>
    <xf numFmtId="49" fontId="0" fillId="3" borderId="4" xfId="0" applyNumberFormat="1" applyFill="1" applyBorder="1"/>
    <xf numFmtId="49" fontId="0" fillId="3" borderId="5" xfId="0" applyNumberFormat="1" applyFill="1" applyBorder="1"/>
    <xf numFmtId="49" fontId="0" fillId="3" borderId="6" xfId="0" applyNumberFormat="1" applyFill="1" applyBorder="1"/>
    <xf numFmtId="49" fontId="0" fillId="0" borderId="21" xfId="0" applyNumberFormat="1" applyBorder="1" applyAlignment="1">
      <alignment horizontal="left" vertical="center"/>
    </xf>
    <xf numFmtId="49" fontId="0" fillId="0" borderId="0" xfId="0" applyNumberFormat="1"/>
    <xf numFmtId="49" fontId="0" fillId="0" borderId="0" xfId="0" applyNumberFormat="1" applyAlignment="1">
      <alignment vertical="center"/>
    </xf>
    <xf numFmtId="49" fontId="0" fillId="0" borderId="22" xfId="0" applyNumberFormat="1" applyBorder="1" applyAlignment="1">
      <alignment horizontal="left"/>
    </xf>
    <xf numFmtId="49" fontId="0" fillId="0" borderId="7" xfId="0" applyNumberFormat="1" applyBorder="1" applyAlignment="1">
      <alignment horizontal="left" vertical="center"/>
    </xf>
    <xf numFmtId="49" fontId="0" fillId="0" borderId="8" xfId="0" applyNumberFormat="1" applyBorder="1" applyAlignment="1">
      <alignment horizontal="left" vertical="center"/>
    </xf>
    <xf numFmtId="49" fontId="0" fillId="0" borderId="8" xfId="0" applyNumberFormat="1" applyBorder="1"/>
    <xf numFmtId="49" fontId="0" fillId="0" borderId="8" xfId="0" applyNumberFormat="1" applyBorder="1" applyAlignment="1">
      <alignment vertical="center"/>
    </xf>
    <xf numFmtId="49" fontId="0" fillId="0" borderId="9" xfId="0" applyNumberFormat="1" applyBorder="1" applyAlignment="1">
      <alignment horizontal="left"/>
    </xf>
    <xf numFmtId="49" fontId="0" fillId="0" borderId="0" xfId="0" applyNumberFormat="1" applyAlignment="1">
      <alignment horizontal="left"/>
    </xf>
    <xf numFmtId="0" fontId="0" fillId="0" borderId="10" xfId="0" applyBorder="1" applyAlignment="1">
      <alignment horizontal="right" vertical="top"/>
    </xf>
    <xf numFmtId="31" fontId="8" fillId="0" borderId="0" xfId="3" quotePrefix="1" applyNumberFormat="1" applyFont="1" applyAlignment="1">
      <alignment horizontal="center" vertical="center"/>
    </xf>
    <xf numFmtId="14" fontId="1" fillId="0" borderId="1" xfId="1" applyNumberFormat="1" applyBorder="1" applyAlignment="1">
      <alignment horizontal="left" vertical="top"/>
    </xf>
    <xf numFmtId="14" fontId="1" fillId="0" borderId="2" xfId="1" applyNumberFormat="1" applyBorder="1" applyAlignment="1">
      <alignment horizontal="left" vertical="top"/>
    </xf>
    <xf numFmtId="14" fontId="1" fillId="0" borderId="3" xfId="1" applyNumberFormat="1" applyBorder="1" applyAlignment="1">
      <alignment horizontal="left" vertical="top"/>
    </xf>
    <xf numFmtId="0" fontId="1" fillId="0" borderId="36" xfId="0" applyFont="1" applyBorder="1" applyAlignment="1">
      <alignment horizontal="left" vertical="top" wrapText="1"/>
    </xf>
    <xf numFmtId="0" fontId="1" fillId="0" borderId="38" xfId="0" applyFont="1" applyBorder="1" applyAlignment="1">
      <alignment horizontal="left" vertical="top" wrapText="1"/>
    </xf>
    <xf numFmtId="0" fontId="1" fillId="0" borderId="37" xfId="0" applyFont="1" applyBorder="1" applyAlignment="1">
      <alignment horizontal="left" vertical="top" wrapText="1"/>
    </xf>
    <xf numFmtId="177" fontId="1" fillId="0" borderId="1" xfId="3" applyNumberFormat="1" applyBorder="1" applyAlignment="1">
      <alignment horizontal="right"/>
    </xf>
    <xf numFmtId="177" fontId="1" fillId="0" borderId="2" xfId="3" applyNumberFormat="1" applyBorder="1" applyAlignment="1">
      <alignment horizontal="right"/>
    </xf>
    <xf numFmtId="177" fontId="1" fillId="0" borderId="3" xfId="3" applyNumberFormat="1" applyBorder="1" applyAlignment="1">
      <alignment horizontal="right"/>
    </xf>
    <xf numFmtId="0" fontId="1" fillId="0" borderId="1" xfId="1" applyBorder="1" applyAlignment="1">
      <alignment horizontal="left" vertical="top"/>
    </xf>
    <xf numFmtId="0" fontId="1" fillId="0" borderId="2" xfId="1" applyBorder="1" applyAlignment="1">
      <alignment horizontal="left" vertical="top"/>
    </xf>
    <xf numFmtId="0" fontId="1" fillId="0" borderId="3" xfId="1" applyBorder="1" applyAlignment="1">
      <alignment horizontal="left" vertical="top"/>
    </xf>
    <xf numFmtId="14" fontId="0" fillId="0" borderId="1" xfId="1" applyNumberFormat="1" applyFont="1" applyBorder="1" applyAlignment="1">
      <alignment horizontal="left" vertical="top"/>
    </xf>
    <xf numFmtId="0" fontId="0" fillId="0" borderId="1"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24" xfId="0" applyBorder="1" applyAlignment="1">
      <alignment horizontal="center" vertical="center"/>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1" xfId="2" applyFont="1" applyBorder="1" applyAlignment="1">
      <alignment horizontal="left" vertical="top"/>
    </xf>
    <xf numFmtId="0" fontId="1" fillId="0" borderId="2" xfId="2" applyBorder="1" applyAlignment="1">
      <alignment horizontal="left" vertical="top"/>
    </xf>
    <xf numFmtId="0" fontId="1" fillId="0" borderId="3" xfId="2"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1" fillId="0" borderId="36" xfId="0" applyFont="1" applyBorder="1" applyAlignment="1">
      <alignment horizontal="left" vertical="top"/>
    </xf>
    <xf numFmtId="0" fontId="1" fillId="0" borderId="38" xfId="0" applyFont="1" applyBorder="1" applyAlignment="1">
      <alignment horizontal="left" vertical="top"/>
    </xf>
    <xf numFmtId="0" fontId="1" fillId="0" borderId="37" xfId="0" applyFont="1" applyBorder="1" applyAlignment="1">
      <alignment horizontal="left" vertical="top"/>
    </xf>
    <xf numFmtId="0" fontId="0" fillId="0" borderId="36" xfId="0" applyBorder="1" applyAlignment="1">
      <alignment horizontal="left" vertical="top"/>
    </xf>
    <xf numFmtId="0" fontId="0" fillId="0" borderId="4" xfId="1" applyFont="1" applyBorder="1" applyAlignment="1">
      <alignment horizontal="left" vertical="top" wrapText="1"/>
    </xf>
    <xf numFmtId="0" fontId="1" fillId="0" borderId="5" xfId="1" applyBorder="1" applyAlignment="1">
      <alignment horizontal="left" vertical="top"/>
    </xf>
    <xf numFmtId="0" fontId="1" fillId="0" borderId="6" xfId="1" applyBorder="1" applyAlignment="1">
      <alignment horizontal="left" vertical="top"/>
    </xf>
    <xf numFmtId="0" fontId="1" fillId="0" borderId="21" xfId="1" applyBorder="1" applyAlignment="1">
      <alignment horizontal="left" vertical="top"/>
    </xf>
    <xf numFmtId="0" fontId="1" fillId="0" borderId="0" xfId="1" applyAlignment="1">
      <alignment horizontal="left" vertical="top"/>
    </xf>
    <xf numFmtId="0" fontId="1" fillId="0" borderId="22" xfId="1" applyBorder="1" applyAlignment="1">
      <alignment horizontal="left" vertical="top"/>
    </xf>
    <xf numFmtId="0" fontId="1" fillId="0" borderId="7" xfId="1" applyBorder="1" applyAlignment="1">
      <alignment horizontal="left" vertical="top"/>
    </xf>
    <xf numFmtId="0" fontId="1" fillId="0" borderId="8" xfId="1" applyBorder="1" applyAlignment="1">
      <alignment horizontal="left" vertical="top"/>
    </xf>
    <xf numFmtId="0" fontId="1" fillId="0" borderId="9" xfId="1" applyBorder="1" applyAlignment="1">
      <alignment horizontal="left" vertical="top"/>
    </xf>
    <xf numFmtId="14" fontId="0" fillId="0" borderId="1" xfId="0" applyNumberFormat="1" applyBorder="1" applyAlignment="1">
      <alignment horizontal="center" vertical="top"/>
    </xf>
    <xf numFmtId="14" fontId="0" fillId="0" borderId="2" xfId="0" applyNumberFormat="1" applyBorder="1" applyAlignment="1">
      <alignment horizontal="center" vertical="top"/>
    </xf>
    <xf numFmtId="14" fontId="0" fillId="0" borderId="3" xfId="0" applyNumberFormat="1" applyBorder="1" applyAlignment="1">
      <alignment horizontal="center" vertical="top"/>
    </xf>
    <xf numFmtId="0" fontId="1" fillId="0" borderId="36" xfId="0" applyFont="1" applyBorder="1" applyAlignment="1">
      <alignment horizontal="center" vertical="top"/>
    </xf>
    <xf numFmtId="0" fontId="1" fillId="0" borderId="37" xfId="0" applyFont="1" applyBorder="1" applyAlignment="1">
      <alignment horizontal="center" vertical="top"/>
    </xf>
    <xf numFmtId="14" fontId="1" fillId="0" borderId="36" xfId="0" quotePrefix="1" applyNumberFormat="1" applyFont="1" applyBorder="1" applyAlignment="1">
      <alignment horizontal="center" vertical="top"/>
    </xf>
    <xf numFmtId="14" fontId="1" fillId="0" borderId="38" xfId="0" quotePrefix="1" applyNumberFormat="1" applyFont="1" applyBorder="1" applyAlignment="1">
      <alignment horizontal="center" vertical="top"/>
    </xf>
    <xf numFmtId="14" fontId="1" fillId="0" borderId="37" xfId="0" quotePrefix="1" applyNumberFormat="1" applyFont="1" applyBorder="1" applyAlignment="1">
      <alignment horizontal="center" vertical="top"/>
    </xf>
    <xf numFmtId="0" fontId="1" fillId="0" borderId="38" xfId="0" applyFont="1" applyBorder="1" applyAlignment="1">
      <alignment horizontal="center" vertical="top"/>
    </xf>
    <xf numFmtId="0" fontId="1" fillId="2" borderId="1" xfId="1" applyFill="1" applyBorder="1" applyAlignment="1">
      <alignment horizontal="left" vertical="top"/>
    </xf>
    <xf numFmtId="0" fontId="1" fillId="2" borderId="2" xfId="1" applyFill="1" applyBorder="1" applyAlignment="1">
      <alignment horizontal="left" vertical="top"/>
    </xf>
    <xf numFmtId="0" fontId="1" fillId="2" borderId="3" xfId="1" applyFill="1" applyBorder="1" applyAlignment="1">
      <alignment horizontal="left" vertical="top"/>
    </xf>
    <xf numFmtId="0" fontId="16" fillId="2" borderId="4" xfId="1" applyFont="1" applyFill="1" applyBorder="1" applyAlignment="1">
      <alignment horizontal="left" vertical="top"/>
    </xf>
    <xf numFmtId="0" fontId="16" fillId="2" borderId="5" xfId="1" applyFont="1" applyFill="1" applyBorder="1" applyAlignment="1">
      <alignment horizontal="left" vertical="top"/>
    </xf>
    <xf numFmtId="0" fontId="16" fillId="2" borderId="6" xfId="1" applyFont="1" applyFill="1" applyBorder="1" applyAlignment="1">
      <alignment horizontal="left" vertical="top"/>
    </xf>
    <xf numFmtId="0" fontId="16" fillId="2" borderId="21" xfId="1" applyFont="1" applyFill="1" applyBorder="1" applyAlignment="1">
      <alignment horizontal="left" vertical="top"/>
    </xf>
    <xf numFmtId="0" fontId="16" fillId="2" borderId="0" xfId="1" applyFont="1" applyFill="1" applyAlignment="1">
      <alignment horizontal="left" vertical="top"/>
    </xf>
    <xf numFmtId="0" fontId="16" fillId="2" borderId="22" xfId="1" applyFont="1" applyFill="1" applyBorder="1" applyAlignment="1">
      <alignment horizontal="left" vertical="top"/>
    </xf>
    <xf numFmtId="0" fontId="16" fillId="2" borderId="7" xfId="1" applyFont="1" applyFill="1" applyBorder="1" applyAlignment="1">
      <alignment horizontal="left" vertical="top"/>
    </xf>
    <xf numFmtId="0" fontId="16" fillId="2" borderId="8" xfId="1" applyFont="1" applyFill="1" applyBorder="1" applyAlignment="1">
      <alignment horizontal="left" vertical="top"/>
    </xf>
    <xf numFmtId="0" fontId="16" fillId="2" borderId="9" xfId="1" applyFont="1" applyFill="1" applyBorder="1" applyAlignment="1">
      <alignment horizontal="left" vertical="top"/>
    </xf>
    <xf numFmtId="0" fontId="1" fillId="2" borderId="1" xfId="1" applyFill="1" applyBorder="1" applyAlignment="1">
      <alignment horizontal="left"/>
    </xf>
    <xf numFmtId="0" fontId="1" fillId="2" borderId="3" xfId="1" applyFill="1" applyBorder="1" applyAlignment="1">
      <alignment horizontal="left"/>
    </xf>
    <xf numFmtId="177" fontId="1" fillId="0" borderId="1" xfId="0" applyNumberFormat="1" applyFont="1" applyBorder="1" applyAlignment="1">
      <alignment horizontal="right" vertical="top"/>
    </xf>
    <xf numFmtId="177" fontId="1" fillId="0" borderId="2" xfId="0" applyNumberFormat="1" applyFont="1" applyBorder="1" applyAlignment="1">
      <alignment horizontal="right" vertical="top"/>
    </xf>
    <xf numFmtId="177" fontId="1" fillId="0" borderId="3" xfId="0" applyNumberFormat="1" applyFont="1" applyBorder="1" applyAlignment="1">
      <alignment horizontal="right" vertical="top"/>
    </xf>
    <xf numFmtId="0" fontId="1" fillId="0" borderId="1" xfId="2" applyBorder="1" applyAlignment="1">
      <alignment horizontal="left" vertical="top"/>
    </xf>
    <xf numFmtId="0" fontId="1" fillId="0" borderId="4" xfId="1" applyBorder="1" applyAlignment="1">
      <alignment horizontal="left" vertical="top" wrapText="1"/>
    </xf>
    <xf numFmtId="0" fontId="1" fillId="0" borderId="5" xfId="1" applyBorder="1" applyAlignment="1">
      <alignment horizontal="left" vertical="top" wrapText="1"/>
    </xf>
    <xf numFmtId="0" fontId="1" fillId="0" borderId="6" xfId="1" applyBorder="1" applyAlignment="1">
      <alignment horizontal="left" vertical="top" wrapText="1"/>
    </xf>
    <xf numFmtId="0" fontId="1" fillId="0" borderId="21" xfId="1" applyBorder="1" applyAlignment="1">
      <alignment horizontal="left" vertical="top" wrapText="1"/>
    </xf>
    <xf numFmtId="0" fontId="1" fillId="0" borderId="0" xfId="1" applyAlignment="1">
      <alignment horizontal="left" vertical="top" wrapText="1"/>
    </xf>
    <xf numFmtId="0" fontId="1" fillId="0" borderId="22" xfId="1" applyBorder="1" applyAlignment="1">
      <alignment horizontal="left" vertical="top" wrapText="1"/>
    </xf>
    <xf numFmtId="0" fontId="1" fillId="0" borderId="7" xfId="1" applyBorder="1" applyAlignment="1">
      <alignment horizontal="left" vertical="top" wrapText="1"/>
    </xf>
    <xf numFmtId="0" fontId="1" fillId="0" borderId="8" xfId="1" applyBorder="1" applyAlignment="1">
      <alignment horizontal="left" vertical="top" wrapText="1"/>
    </xf>
    <xf numFmtId="0" fontId="1" fillId="0" borderId="9" xfId="1" applyBorder="1" applyAlignment="1">
      <alignment horizontal="left" vertical="top" wrapText="1"/>
    </xf>
    <xf numFmtId="0" fontId="1" fillId="2" borderId="10" xfId="0" applyFont="1" applyFill="1" applyBorder="1" applyAlignment="1">
      <alignment horizontal="left" vertical="top"/>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1" fillId="2" borderId="21" xfId="0" applyFont="1" applyFill="1" applyBorder="1" applyAlignment="1">
      <alignment horizontal="left" vertical="top"/>
    </xf>
    <xf numFmtId="0" fontId="1" fillId="2" borderId="0" xfId="0" applyFont="1" applyFill="1" applyAlignment="1">
      <alignment horizontal="left" vertical="top"/>
    </xf>
    <xf numFmtId="0" fontId="1" fillId="2" borderId="22" xfId="0" applyFont="1" applyFill="1" applyBorder="1" applyAlignment="1">
      <alignment horizontal="left" vertical="top"/>
    </xf>
    <xf numFmtId="0" fontId="1" fillId="2" borderId="7" xfId="0" applyFont="1" applyFill="1" applyBorder="1" applyAlignment="1">
      <alignment horizontal="left" vertical="top"/>
    </xf>
    <xf numFmtId="0" fontId="1" fillId="2" borderId="8" xfId="0" applyFont="1" applyFill="1" applyBorder="1" applyAlignment="1">
      <alignment horizontal="left" vertical="top"/>
    </xf>
    <xf numFmtId="0" fontId="1" fillId="2" borderId="9" xfId="0" applyFont="1" applyFill="1" applyBorder="1" applyAlignment="1">
      <alignment horizontal="left" vertical="top"/>
    </xf>
    <xf numFmtId="0" fontId="1" fillId="2" borderId="1" xfId="0" applyFont="1" applyFill="1" applyBorder="1" applyAlignment="1">
      <alignment vertical="top"/>
    </xf>
    <xf numFmtId="0" fontId="1" fillId="0" borderId="2" xfId="0" applyFont="1" applyBorder="1" applyAlignment="1">
      <alignment vertical="top"/>
    </xf>
    <xf numFmtId="0" fontId="1" fillId="0" borderId="3" xfId="0" applyFont="1" applyBorder="1" applyAlignment="1">
      <alignment vertical="top"/>
    </xf>
    <xf numFmtId="0" fontId="1" fillId="0" borderId="2" xfId="0" applyFont="1" applyBorder="1" applyAlignment="1">
      <alignment horizontal="left" vertical="top"/>
    </xf>
    <xf numFmtId="0" fontId="1" fillId="4" borderId="1" xfId="0" applyFont="1" applyFill="1" applyBorder="1" applyAlignment="1">
      <alignment horizontal="left" vertical="top"/>
    </xf>
    <xf numFmtId="0" fontId="1" fillId="4" borderId="2" xfId="0" applyFont="1" applyFill="1" applyBorder="1" applyAlignment="1">
      <alignment horizontal="left" vertical="top"/>
    </xf>
    <xf numFmtId="0" fontId="1" fillId="4" borderId="3" xfId="0" applyFont="1" applyFill="1" applyBorder="1" applyAlignment="1">
      <alignment horizontal="left" vertical="top"/>
    </xf>
    <xf numFmtId="0" fontId="1" fillId="0" borderId="3" xfId="0" applyFont="1" applyBorder="1" applyAlignment="1">
      <alignment horizontal="left" vertical="top"/>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49" fontId="0" fillId="0" borderId="10" xfId="0" applyNumberFormat="1" applyBorder="1" applyAlignment="1">
      <alignment vertical="center" wrapText="1"/>
    </xf>
    <xf numFmtId="0" fontId="1" fillId="2" borderId="30" xfId="0" applyFont="1" applyFill="1" applyBorder="1" applyAlignment="1">
      <alignment vertical="top"/>
    </xf>
    <xf numFmtId="0" fontId="1" fillId="2" borderId="2" xfId="0" applyFont="1" applyFill="1" applyBorder="1" applyAlignment="1">
      <alignment vertical="top"/>
    </xf>
    <xf numFmtId="0" fontId="1" fillId="2" borderId="31" xfId="0" applyFont="1" applyFill="1" applyBorder="1" applyAlignment="1">
      <alignment vertical="top"/>
    </xf>
    <xf numFmtId="0" fontId="1" fillId="2" borderId="3" xfId="0" applyFont="1" applyFill="1" applyBorder="1" applyAlignment="1">
      <alignment vertical="top"/>
    </xf>
    <xf numFmtId="49" fontId="0" fillId="0" borderId="10" xfId="0" applyNumberFormat="1" applyBorder="1" applyAlignment="1">
      <alignment horizontal="left" vertical="top" wrapText="1"/>
    </xf>
    <xf numFmtId="0" fontId="0" fillId="0" borderId="10" xfId="0" applyBorder="1" applyAlignment="1">
      <alignment horizontal="left" vertical="top" wrapText="1"/>
    </xf>
    <xf numFmtId="0" fontId="0" fillId="2" borderId="27" xfId="0" applyFill="1" applyBorder="1" applyAlignment="1">
      <alignment vertical="center" wrapText="1"/>
    </xf>
    <xf numFmtId="0" fontId="1" fillId="2" borderId="17" xfId="0" applyFont="1" applyFill="1" applyBorder="1" applyAlignment="1">
      <alignment vertical="center" wrapText="1"/>
    </xf>
    <xf numFmtId="0" fontId="1" fillId="2" borderId="18" xfId="0" applyFont="1" applyFill="1" applyBorder="1" applyAlignment="1">
      <alignment vertical="center" wrapText="1"/>
    </xf>
    <xf numFmtId="0" fontId="1" fillId="2" borderId="1" xfId="0" applyFont="1" applyFill="1" applyBorder="1" applyAlignment="1">
      <alignment horizontal="left" vertical="top"/>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1" fillId="0" borderId="28" xfId="0" applyFont="1" applyBorder="1" applyAlignment="1">
      <alignment vertical="top" wrapText="1"/>
    </xf>
    <xf numFmtId="0" fontId="1" fillId="0" borderId="19" xfId="0" applyFont="1" applyBorder="1" applyAlignment="1">
      <alignment vertical="top" wrapText="1"/>
    </xf>
    <xf numFmtId="0" fontId="1" fillId="0" borderId="20" xfId="0" applyFont="1" applyBorder="1" applyAlignment="1">
      <alignment vertical="top" wrapText="1"/>
    </xf>
    <xf numFmtId="0" fontId="1" fillId="5" borderId="1" xfId="0" applyFont="1" applyFill="1" applyBorder="1" applyAlignment="1">
      <alignment horizontal="left" vertical="top"/>
    </xf>
    <xf numFmtId="0" fontId="1" fillId="5" borderId="2" xfId="0" applyFont="1" applyFill="1" applyBorder="1" applyAlignment="1">
      <alignment horizontal="left" vertical="top"/>
    </xf>
    <xf numFmtId="0" fontId="1" fillId="5" borderId="3" xfId="0" applyFont="1" applyFill="1" applyBorder="1" applyAlignment="1">
      <alignment horizontal="left" vertical="top"/>
    </xf>
    <xf numFmtId="0" fontId="1" fillId="5" borderId="1" xfId="0" applyFont="1" applyFill="1" applyBorder="1"/>
    <xf numFmtId="0" fontId="1" fillId="5" borderId="2" xfId="0" applyFont="1" applyFill="1" applyBorder="1"/>
    <xf numFmtId="0" fontId="1" fillId="5" borderId="3" xfId="0" applyFont="1" applyFill="1" applyBorder="1"/>
    <xf numFmtId="0" fontId="1" fillId="4" borderId="29" xfId="0" applyFont="1" applyFill="1" applyBorder="1" applyAlignment="1">
      <alignment vertical="top" wrapText="1"/>
    </xf>
    <xf numFmtId="0" fontId="1" fillId="4" borderId="11" xfId="0" applyFont="1" applyFill="1" applyBorder="1" applyAlignment="1">
      <alignment vertical="top" wrapText="1"/>
    </xf>
    <xf numFmtId="0" fontId="1" fillId="4" borderId="4" xfId="0" applyFont="1" applyFill="1" applyBorder="1" applyAlignment="1">
      <alignment horizontal="left" vertical="top"/>
    </xf>
    <xf numFmtId="0" fontId="1" fillId="4" borderId="5" xfId="0" applyFont="1" applyFill="1" applyBorder="1" applyAlignment="1">
      <alignment horizontal="left" vertical="top"/>
    </xf>
    <xf numFmtId="0" fontId="1" fillId="4" borderId="6" xfId="0" applyFont="1" applyFill="1" applyBorder="1" applyAlignment="1">
      <alignment horizontal="left" vertical="top"/>
    </xf>
    <xf numFmtId="0" fontId="1" fillId="4" borderId="7" xfId="0" applyFont="1" applyFill="1" applyBorder="1" applyAlignment="1">
      <alignment horizontal="left" vertical="top"/>
    </xf>
    <xf numFmtId="0" fontId="1" fillId="4" borderId="8" xfId="0" applyFont="1" applyFill="1" applyBorder="1" applyAlignment="1">
      <alignment horizontal="left" vertical="top"/>
    </xf>
    <xf numFmtId="0" fontId="1" fillId="4" borderId="9" xfId="0" applyFont="1" applyFill="1" applyBorder="1" applyAlignment="1">
      <alignment horizontal="left" vertical="top"/>
    </xf>
    <xf numFmtId="0" fontId="1" fillId="4" borderId="1" xfId="0" applyFont="1" applyFill="1" applyBorder="1" applyAlignment="1">
      <alignment horizontal="center" vertical="top"/>
    </xf>
    <xf numFmtId="0" fontId="1" fillId="4" borderId="3" xfId="0" applyFont="1" applyFill="1" applyBorder="1" applyAlignment="1">
      <alignment horizontal="center" vertical="top"/>
    </xf>
    <xf numFmtId="0" fontId="16" fillId="0" borderId="1" xfId="0" applyFont="1" applyBorder="1" applyAlignment="1">
      <alignment vertical="top" wrapText="1"/>
    </xf>
    <xf numFmtId="0" fontId="16" fillId="0" borderId="2" xfId="0" applyFont="1" applyBorder="1" applyAlignment="1">
      <alignment vertical="top" wrapText="1"/>
    </xf>
    <xf numFmtId="0" fontId="16" fillId="0" borderId="3" xfId="0" applyFont="1" applyBorder="1" applyAlignment="1">
      <alignment vertical="top" wrapText="1"/>
    </xf>
    <xf numFmtId="0" fontId="0" fillId="0" borderId="1" xfId="0" applyBorder="1"/>
    <xf numFmtId="0" fontId="1" fillId="0" borderId="2" xfId="0" applyFont="1" applyBorder="1"/>
    <xf numFmtId="0" fontId="1" fillId="0" borderId="3" xfId="0" applyFont="1" applyBorder="1"/>
    <xf numFmtId="0" fontId="0" fillId="2" borderId="1" xfId="0" applyFill="1" applyBorder="1" applyAlignment="1">
      <alignment vertical="top" wrapText="1"/>
    </xf>
    <xf numFmtId="0" fontId="0" fillId="2" borderId="2" xfId="0" applyFill="1" applyBorder="1" applyAlignment="1">
      <alignment vertical="top" wrapText="1"/>
    </xf>
    <xf numFmtId="0" fontId="0" fillId="2" borderId="3" xfId="0" applyFill="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49" fontId="1" fillId="2" borderId="1" xfId="0" applyNumberFormat="1" applyFont="1" applyFill="1" applyBorder="1" applyAlignment="1">
      <alignment horizontal="left" vertical="top"/>
    </xf>
    <xf numFmtId="49" fontId="1" fillId="2" borderId="2" xfId="0" applyNumberFormat="1" applyFont="1" applyFill="1" applyBorder="1" applyAlignment="1">
      <alignment horizontal="left" vertical="top"/>
    </xf>
    <xf numFmtId="49" fontId="1" fillId="2" borderId="3" xfId="0" applyNumberFormat="1" applyFont="1" applyFill="1" applyBorder="1" applyAlignment="1">
      <alignment horizontal="left" vertical="top"/>
    </xf>
    <xf numFmtId="0" fontId="0" fillId="7" borderId="1" xfId="0" applyFill="1" applyBorder="1" applyAlignment="1">
      <alignment horizontal="left" vertical="top" wrapText="1"/>
    </xf>
    <xf numFmtId="0" fontId="1" fillId="7" borderId="2" xfId="0" applyFont="1" applyFill="1" applyBorder="1" applyAlignment="1">
      <alignment horizontal="left" vertical="top" wrapText="1"/>
    </xf>
    <xf numFmtId="0" fontId="1" fillId="7" borderId="3" xfId="0" applyFont="1" applyFill="1" applyBorder="1" applyAlignment="1">
      <alignment horizontal="left" vertical="top" wrapText="1"/>
    </xf>
    <xf numFmtId="0" fontId="1" fillId="7" borderId="28" xfId="0" applyFont="1" applyFill="1" applyBorder="1" applyAlignment="1">
      <alignment vertical="top" wrapText="1"/>
    </xf>
    <xf numFmtId="0" fontId="1" fillId="7" borderId="19" xfId="0" applyFont="1" applyFill="1" applyBorder="1" applyAlignment="1">
      <alignment vertical="top" wrapText="1"/>
    </xf>
    <xf numFmtId="0" fontId="1" fillId="7" borderId="20" xfId="0" applyFont="1" applyFill="1" applyBorder="1" applyAlignment="1">
      <alignment vertical="top" wrapText="1"/>
    </xf>
    <xf numFmtId="0" fontId="0" fillId="0" borderId="4" xfId="0"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21" xfId="0" applyFont="1" applyBorder="1" applyAlignment="1">
      <alignment horizontal="left" vertical="top"/>
    </xf>
    <xf numFmtId="0" fontId="1" fillId="0" borderId="0" xfId="0" applyFont="1" applyAlignment="1">
      <alignment horizontal="left" vertical="top"/>
    </xf>
    <xf numFmtId="0" fontId="1" fillId="0" borderId="22" xfId="0" applyFont="1" applyBorder="1" applyAlignment="1">
      <alignment horizontal="left" vertical="top"/>
    </xf>
    <xf numFmtId="0" fontId="1" fillId="4" borderId="29" xfId="0" applyFont="1" applyFill="1" applyBorder="1" applyAlignment="1">
      <alignment vertical="top"/>
    </xf>
    <xf numFmtId="0" fontId="1" fillId="4" borderId="11" xfId="0" applyFont="1" applyFill="1" applyBorder="1" applyAlignment="1">
      <alignment vertical="top"/>
    </xf>
    <xf numFmtId="0" fontId="1" fillId="0" borderId="1" xfId="0" applyFont="1" applyBorder="1" applyAlignment="1">
      <alignment vertical="top" wrapText="1"/>
    </xf>
    <xf numFmtId="0" fontId="1" fillId="0" borderId="1" xfId="0" applyFont="1" applyBorder="1" applyAlignment="1">
      <alignment vertical="top"/>
    </xf>
    <xf numFmtId="0" fontId="0" fillId="2" borderId="1" xfId="0" applyFill="1" applyBorder="1" applyAlignment="1">
      <alignment vertical="top"/>
    </xf>
    <xf numFmtId="0" fontId="1" fillId="0" borderId="1" xfId="0" applyFont="1" applyBorder="1" applyAlignment="1">
      <alignment horizontal="left" vertical="top" wrapText="1"/>
    </xf>
    <xf numFmtId="0" fontId="1" fillId="5" borderId="1" xfId="0" applyFont="1" applyFill="1" applyBorder="1" applyAlignment="1">
      <alignment vertical="top"/>
    </xf>
    <xf numFmtId="0" fontId="1" fillId="5" borderId="2" xfId="0" applyFont="1" applyFill="1" applyBorder="1" applyAlignment="1">
      <alignment vertical="top"/>
    </xf>
    <xf numFmtId="0" fontId="1" fillId="5" borderId="3" xfId="0" applyFont="1" applyFill="1" applyBorder="1" applyAlignment="1">
      <alignment vertical="top"/>
    </xf>
    <xf numFmtId="0" fontId="0" fillId="3" borderId="1" xfId="0" applyFill="1" applyBorder="1" applyAlignment="1">
      <alignment vertical="top" wrapText="1"/>
    </xf>
    <xf numFmtId="0" fontId="1" fillId="3" borderId="2" xfId="0" applyFont="1" applyFill="1" applyBorder="1" applyAlignment="1">
      <alignment vertical="top" wrapText="1"/>
    </xf>
    <xf numFmtId="0" fontId="1" fillId="3" borderId="3" xfId="0" applyFont="1" applyFill="1" applyBorder="1" applyAlignment="1">
      <alignment vertical="top" wrapText="1"/>
    </xf>
    <xf numFmtId="0" fontId="0" fillId="6" borderId="1" xfId="0" applyFill="1" applyBorder="1" applyAlignment="1">
      <alignment vertical="top" wrapText="1"/>
    </xf>
    <xf numFmtId="0" fontId="1" fillId="6" borderId="2" xfId="0" applyFont="1" applyFill="1" applyBorder="1" applyAlignment="1">
      <alignment vertical="top"/>
    </xf>
    <xf numFmtId="0" fontId="1" fillId="6" borderId="3" xfId="0" applyFont="1" applyFill="1" applyBorder="1" applyAlignment="1">
      <alignment vertical="top"/>
    </xf>
    <xf numFmtId="0" fontId="1" fillId="2" borderId="29" xfId="0" applyFont="1" applyFill="1" applyBorder="1" applyAlignment="1">
      <alignment horizontal="left" vertical="top"/>
    </xf>
    <xf numFmtId="0" fontId="1" fillId="2" borderId="32" xfId="0" applyFont="1" applyFill="1" applyBorder="1" applyAlignment="1">
      <alignment horizontal="left" vertical="top"/>
    </xf>
    <xf numFmtId="0" fontId="1" fillId="2" borderId="11" xfId="0" applyFont="1" applyFill="1" applyBorder="1" applyAlignment="1">
      <alignment horizontal="left" vertical="top"/>
    </xf>
    <xf numFmtId="177" fontId="1" fillId="0" borderId="1" xfId="0" applyNumberFormat="1" applyFont="1" applyBorder="1" applyAlignment="1">
      <alignment horizontal="right"/>
    </xf>
    <xf numFmtId="177" fontId="1" fillId="0" borderId="2" xfId="0" applyNumberFormat="1" applyFont="1" applyBorder="1" applyAlignment="1">
      <alignment horizontal="right"/>
    </xf>
    <xf numFmtId="177" fontId="1" fillId="0" borderId="3" xfId="0" applyNumberFormat="1" applyFont="1" applyBorder="1" applyAlignment="1">
      <alignment horizontal="right"/>
    </xf>
    <xf numFmtId="0" fontId="1" fillId="2" borderId="1" xfId="1" applyFill="1" applyBorder="1" applyAlignment="1">
      <alignment vertical="top"/>
    </xf>
    <xf numFmtId="0" fontId="1" fillId="2" borderId="2" xfId="1" applyFill="1" applyBorder="1" applyAlignment="1">
      <alignment vertical="top"/>
    </xf>
    <xf numFmtId="0" fontId="1" fillId="2" borderId="3" xfId="1" applyFill="1" applyBorder="1" applyAlignment="1">
      <alignment vertical="top"/>
    </xf>
    <xf numFmtId="0" fontId="1" fillId="2" borderId="14" xfId="0" applyFont="1" applyFill="1" applyBorder="1" applyAlignment="1">
      <alignment vertical="center"/>
    </xf>
    <xf numFmtId="0" fontId="0" fillId="3" borderId="13" xfId="0" applyFill="1" applyBorder="1" applyAlignment="1">
      <alignment vertical="top" wrapText="1"/>
    </xf>
    <xf numFmtId="0" fontId="1" fillId="3" borderId="13" xfId="0" applyFont="1" applyFill="1" applyBorder="1" applyAlignment="1">
      <alignment vertical="top" wrapText="1"/>
    </xf>
    <xf numFmtId="0" fontId="0" fillId="0" borderId="10" xfId="0" applyBorder="1" applyAlignment="1">
      <alignment vertical="top" wrapText="1"/>
    </xf>
    <xf numFmtId="0" fontId="0" fillId="2" borderId="4" xfId="0" applyFill="1"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0" borderId="13" xfId="0" applyFont="1" applyBorder="1" applyAlignment="1">
      <alignment vertical="top" wrapText="1"/>
    </xf>
    <xf numFmtId="0" fontId="0" fillId="0" borderId="13" xfId="0" applyBorder="1" applyAlignment="1">
      <alignment vertical="top" wrapText="1"/>
    </xf>
    <xf numFmtId="0" fontId="1" fillId="2" borderId="4" xfId="0" applyFont="1" applyFill="1" applyBorder="1" applyAlignment="1">
      <alignment horizontal="left" vertical="top" wrapText="1"/>
    </xf>
    <xf numFmtId="0" fontId="0" fillId="5" borderId="1" xfId="0" applyFill="1" applyBorder="1" applyAlignment="1">
      <alignment horizontal="left" vertical="top"/>
    </xf>
    <xf numFmtId="0" fontId="0" fillId="5" borderId="2" xfId="0" applyFill="1" applyBorder="1" applyAlignment="1">
      <alignment horizontal="left" vertical="top"/>
    </xf>
    <xf numFmtId="0" fontId="0" fillId="5" borderId="3" xfId="0" applyFill="1" applyBorder="1" applyAlignment="1">
      <alignment horizontal="left" vertical="top"/>
    </xf>
    <xf numFmtId="0" fontId="0" fillId="5" borderId="1" xfId="0" applyFill="1" applyBorder="1"/>
    <xf numFmtId="0" fontId="0" fillId="5" borderId="2" xfId="0" applyFill="1" applyBorder="1"/>
    <xf numFmtId="0" fontId="0" fillId="5" borderId="3" xfId="0" applyFill="1" applyBorder="1"/>
    <xf numFmtId="0" fontId="0" fillId="0" borderId="5" xfId="0" applyBorder="1" applyAlignment="1">
      <alignment horizontal="left" vertical="top"/>
    </xf>
    <xf numFmtId="0" fontId="0" fillId="0" borderId="6" xfId="0" applyBorder="1" applyAlignment="1">
      <alignment horizontal="left" vertical="top"/>
    </xf>
    <xf numFmtId="0" fontId="0" fillId="0" borderId="2" xfId="0" applyBorder="1"/>
    <xf numFmtId="0" fontId="0" fillId="0" borderId="3" xfId="0" applyBorder="1"/>
    <xf numFmtId="49" fontId="0" fillId="2" borderId="1" xfId="0" applyNumberFormat="1" applyFill="1" applyBorder="1" applyAlignment="1">
      <alignment horizontal="left" vertical="top"/>
    </xf>
    <xf numFmtId="49" fontId="0" fillId="2" borderId="2" xfId="0" applyNumberFormat="1" applyFill="1" applyBorder="1" applyAlignment="1">
      <alignment horizontal="left" vertical="top"/>
    </xf>
    <xf numFmtId="49" fontId="0" fillId="2" borderId="3" xfId="0" applyNumberFormat="1" applyFill="1" applyBorder="1" applyAlignment="1">
      <alignment horizontal="left" vertical="top"/>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vertical="top"/>
    </xf>
    <xf numFmtId="0" fontId="0" fillId="5" borderId="1" xfId="0" applyFill="1" applyBorder="1" applyAlignment="1">
      <alignment horizontal="center" vertical="top"/>
    </xf>
    <xf numFmtId="0" fontId="0" fillId="5" borderId="2" xfId="0" applyFill="1" applyBorder="1" applyAlignment="1">
      <alignment horizontal="center" vertical="top"/>
    </xf>
    <xf numFmtId="0" fontId="0" fillId="5" borderId="3" xfId="0" applyFill="1" applyBorder="1" applyAlignment="1">
      <alignment horizontal="center" vertical="top"/>
    </xf>
    <xf numFmtId="0" fontId="0" fillId="0" borderId="1" xfId="0"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 xfId="0" applyFont="1" applyBorder="1" applyAlignment="1">
      <alignment horizontal="left" vertical="center"/>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21" xfId="0" applyFill="1" applyBorder="1" applyAlignment="1">
      <alignment horizontal="left" vertical="top" wrapText="1"/>
    </xf>
    <xf numFmtId="0" fontId="0" fillId="3" borderId="0" xfId="0" applyFill="1" applyAlignment="1">
      <alignment horizontal="left" vertical="top" wrapText="1"/>
    </xf>
    <xf numFmtId="0" fontId="0" fillId="3" borderId="22" xfId="0" applyFill="1" applyBorder="1" applyAlignment="1">
      <alignment horizontal="left" vertical="top"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0" fillId="3" borderId="9" xfId="0" applyFill="1" applyBorder="1" applyAlignment="1">
      <alignment horizontal="left" vertical="top" wrapText="1"/>
    </xf>
    <xf numFmtId="0" fontId="1" fillId="0" borderId="28" xfId="0" applyFont="1" applyBorder="1" applyAlignment="1">
      <alignment horizontal="left" vertical="top" wrapText="1"/>
    </xf>
    <xf numFmtId="0" fontId="1" fillId="0" borderId="19" xfId="0" applyFont="1" applyBorder="1" applyAlignment="1">
      <alignment horizontal="left" vertical="top" wrapText="1"/>
    </xf>
    <xf numFmtId="0" fontId="1" fillId="0" borderId="20" xfId="0" applyFont="1" applyBorder="1" applyAlignment="1">
      <alignment horizontal="left" vertical="top" wrapText="1"/>
    </xf>
    <xf numFmtId="0" fontId="0" fillId="2" borderId="14" xfId="0" applyFill="1" applyBorder="1" applyAlignment="1">
      <alignment vertical="center"/>
    </xf>
    <xf numFmtId="0" fontId="1" fillId="2" borderId="33" xfId="0" applyFont="1" applyFill="1" applyBorder="1" applyAlignment="1">
      <alignment vertical="center"/>
    </xf>
    <xf numFmtId="0" fontId="1" fillId="2" borderId="17" xfId="0" applyFont="1" applyFill="1" applyBorder="1" applyAlignment="1">
      <alignment vertical="center"/>
    </xf>
    <xf numFmtId="0" fontId="1" fillId="2" borderId="18" xfId="0" applyFont="1" applyFill="1" applyBorder="1" applyAlignment="1">
      <alignment vertical="center"/>
    </xf>
    <xf numFmtId="0" fontId="1" fillId="0" borderId="34" xfId="0" applyFont="1" applyBorder="1" applyAlignment="1">
      <alignmen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29" xfId="0" applyFill="1" applyBorder="1" applyAlignment="1">
      <alignment horizontal="left" vertical="top"/>
    </xf>
    <xf numFmtId="0" fontId="0" fillId="2" borderId="32" xfId="0" applyFill="1" applyBorder="1" applyAlignment="1">
      <alignment horizontal="left" vertical="top"/>
    </xf>
    <xf numFmtId="0" fontId="0" fillId="2" borderId="11" xfId="0" applyFill="1" applyBorder="1" applyAlignment="1">
      <alignment horizontal="left" vertical="top"/>
    </xf>
    <xf numFmtId="49" fontId="1" fillId="0" borderId="10" xfId="0" applyNumberFormat="1" applyFont="1" applyBorder="1" applyAlignment="1">
      <alignment horizontal="left" vertical="top" wrapText="1"/>
    </xf>
    <xf numFmtId="0" fontId="1" fillId="0" borderId="10" xfId="0" applyFont="1" applyBorder="1" applyAlignment="1">
      <alignment horizontal="left" vertical="top" wrapText="1"/>
    </xf>
    <xf numFmtId="0" fontId="0" fillId="2" borderId="4" xfId="0" applyFill="1" applyBorder="1" applyAlignment="1">
      <alignment horizontal="left" vertical="top"/>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1" fillId="0" borderId="35" xfId="0" applyFont="1" applyBorder="1" applyAlignment="1">
      <alignment vertical="center" wrapTex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0" fillId="2" borderId="1" xfId="0"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27" xfId="0" applyFill="1" applyBorder="1" applyAlignment="1">
      <alignment horizontal="left" vertical="top" wrapText="1"/>
    </xf>
    <xf numFmtId="0" fontId="0" fillId="2" borderId="17" xfId="0" applyFill="1" applyBorder="1" applyAlignment="1">
      <alignment horizontal="left" vertical="top" wrapText="1"/>
    </xf>
    <xf numFmtId="0" fontId="0" fillId="2" borderId="18" xfId="0" applyFill="1" applyBorder="1" applyAlignment="1">
      <alignment horizontal="left" vertical="top" wrapText="1"/>
    </xf>
  </cellXfs>
  <cellStyles count="12">
    <cellStyle name="パーセント 2" xfId="6" xr:uid="{00000000-0005-0000-0000-000000000000}"/>
    <cellStyle name="ハイパーリンク" xfId="5" builtinId="8"/>
    <cellStyle name="標準" xfId="0" builtinId="0"/>
    <cellStyle name="標準 10" xfId="7" xr:uid="{00000000-0005-0000-0000-000003000000}"/>
    <cellStyle name="標準 2" xfId="3" xr:uid="{00000000-0005-0000-0000-000004000000}"/>
    <cellStyle name="標準 2 13" xfId="8" xr:uid="{00000000-0005-0000-0000-000005000000}"/>
    <cellStyle name="標準 2 2" xfId="10" xr:uid="{00000000-0005-0000-0000-000006000000}"/>
    <cellStyle name="標準 2 3" xfId="9" xr:uid="{00000000-0005-0000-0000-000007000000}"/>
    <cellStyle name="標準 3" xfId="11" xr:uid="{F88D970E-8251-4EF6-B2F9-7912D5DD4933}"/>
    <cellStyle name="標準_~6362950" xfId="4" xr:uid="{00000000-0005-0000-0000-000008000000}"/>
    <cellStyle name="標準_画面標準" xfId="1" xr:uid="{00000000-0005-0000-0000-000009000000}"/>
    <cellStyle name="標準_画面標準定義" xfId="2" xr:uid="{00000000-0005-0000-0000-00000A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AE66EF0E-289F-4402-A01D-7B28538AAF2C}">
      <tableStyleElement type="wholeTable" dxfId="1"/>
      <tableStyleElement type="headerRow" dxfId="0"/>
    </tableStyle>
  </tableStyles>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11355" name="Group 17">
          <a:extLst>
            <a:ext uri="{FF2B5EF4-FFF2-40B4-BE49-F238E27FC236}">
              <a16:creationId xmlns:a16="http://schemas.microsoft.com/office/drawing/2014/main" id="{00000000-0008-0000-0000-00005B2C0000}"/>
            </a:ext>
          </a:extLst>
        </xdr:cNvPr>
        <xdr:cNvGrpSpPr>
          <a:grpSpLocks/>
        </xdr:cNvGrpSpPr>
      </xdr:nvGrpSpPr>
      <xdr:grpSpPr bwMode="auto">
        <a:xfrm>
          <a:off x="7953375" y="285750"/>
          <a:ext cx="1400175" cy="590550"/>
          <a:chOff x="591" y="61"/>
          <a:chExt cx="147" cy="62"/>
        </a:xfrm>
      </xdr:grpSpPr>
      <xdr:sp macro="" textlink="">
        <xdr:nvSpPr>
          <xdr:cNvPr id="11276" name="Text Box 12">
            <a:extLst>
              <a:ext uri="{FF2B5EF4-FFF2-40B4-BE49-F238E27FC236}">
                <a16:creationId xmlns:a16="http://schemas.microsoft.com/office/drawing/2014/main" id="{00000000-0008-0000-0000-00000C2C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11277" name="Text Box 13">
            <a:extLst>
              <a:ext uri="{FF2B5EF4-FFF2-40B4-BE49-F238E27FC236}">
                <a16:creationId xmlns:a16="http://schemas.microsoft.com/office/drawing/2014/main" id="{00000000-0008-0000-0000-00000D2C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11282" name="Text Box 18">
          <a:extLst>
            <a:ext uri="{FF2B5EF4-FFF2-40B4-BE49-F238E27FC236}">
              <a16:creationId xmlns:a16="http://schemas.microsoft.com/office/drawing/2014/main" id="{00000000-0008-0000-0000-0000122C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endParaRPr lang="en-US" altLang="ja-JP" sz="1800" b="1" i="0" u="none" strike="noStrike" baseline="0">
            <a:solidFill>
              <a:srgbClr val="000000"/>
            </a:solidFill>
            <a:latin typeface="ＭＳ 明朝"/>
            <a:ea typeface="ＭＳ 明朝"/>
          </a:endParaRP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システム機能設計書（画面）</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プロジェクト管理システム/プロジェクト登録</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66675</xdr:colOff>
      <xdr:row>6</xdr:row>
      <xdr:rowOff>104775</xdr:rowOff>
    </xdr:from>
    <xdr:to>
      <xdr:col>31</xdr:col>
      <xdr:colOff>196215</xdr:colOff>
      <xdr:row>40</xdr:row>
      <xdr:rowOff>43815</xdr:rowOff>
    </xdr:to>
    <xdr:pic>
      <xdr:nvPicPr>
        <xdr:cNvPr id="2" name="図 1">
          <a:extLst>
            <a:ext uri="{FF2B5EF4-FFF2-40B4-BE49-F238E27FC236}">
              <a16:creationId xmlns:a16="http://schemas.microsoft.com/office/drawing/2014/main" id="{7D39E7EC-4107-4782-B8B3-73F4EEFB3ED9}"/>
            </a:ext>
          </a:extLst>
        </xdr:cNvPr>
        <xdr:cNvPicPr>
          <a:picLocks noChangeAspect="1"/>
        </xdr:cNvPicPr>
      </xdr:nvPicPr>
      <xdr:blipFill>
        <a:blip xmlns:r="http://schemas.openxmlformats.org/officeDocument/2006/relationships" r:embed="rId1"/>
        <a:stretch>
          <a:fillRect/>
        </a:stretch>
      </xdr:blipFill>
      <xdr:spPr>
        <a:xfrm>
          <a:off x="895350" y="990600"/>
          <a:ext cx="7863840" cy="5120640"/>
        </a:xfrm>
        <a:prstGeom prst="rect">
          <a:avLst/>
        </a:prstGeom>
      </xdr:spPr>
    </xdr:pic>
    <xdr:clientData/>
  </xdr:twoCellAnchor>
  <xdr:twoCellAnchor>
    <xdr:from>
      <xdr:col>8</xdr:col>
      <xdr:colOff>28575</xdr:colOff>
      <xdr:row>11</xdr:row>
      <xdr:rowOff>142875</xdr:rowOff>
    </xdr:from>
    <xdr:to>
      <xdr:col>31</xdr:col>
      <xdr:colOff>152400</xdr:colOff>
      <xdr:row>39</xdr:row>
      <xdr:rowOff>9525</xdr:rowOff>
    </xdr:to>
    <xdr:sp macro="" textlink="">
      <xdr:nvSpPr>
        <xdr:cNvPr id="5" name="AutoShape 2">
          <a:extLst>
            <a:ext uri="{FF2B5EF4-FFF2-40B4-BE49-F238E27FC236}">
              <a16:creationId xmlns:a16="http://schemas.microsoft.com/office/drawing/2014/main" id="{00000000-0008-0000-0400-000005000000}"/>
            </a:ext>
          </a:extLst>
        </xdr:cNvPr>
        <xdr:cNvSpPr>
          <a:spLocks noChangeArrowheads="1"/>
        </xdr:cNvSpPr>
      </xdr:nvSpPr>
      <xdr:spPr bwMode="auto">
        <a:xfrm>
          <a:off x="2238375" y="1790700"/>
          <a:ext cx="6477000" cy="4133850"/>
        </a:xfrm>
        <a:prstGeom prst="roundRect">
          <a:avLst>
            <a:gd name="adj" fmla="val 3742"/>
          </a:avLst>
        </a:prstGeom>
        <a:noFill/>
        <a:ln w="25400" algn="ctr">
          <a:solidFill>
            <a:srgbClr val="0000FF"/>
          </a:solidFill>
          <a:prstDash val="dash"/>
          <a:round/>
          <a:headEnd/>
          <a:tailEnd/>
        </a:ln>
        <a:effectLst/>
      </xdr:spPr>
      <xdr:txBody>
        <a:bodyPr/>
        <a:lstStyle/>
        <a:p>
          <a:endParaRPr lang="ja-JP" altLang="en-US">
            <a:latin typeface="ＭＳ 明朝"/>
            <a:ea typeface="ＭＳ 明朝"/>
          </a:endParaRPr>
        </a:p>
      </xdr:txBody>
    </xdr:sp>
    <xdr:clientData/>
  </xdr:twoCellAnchor>
  <xdr:twoCellAnchor>
    <xdr:from>
      <xdr:col>29</xdr:col>
      <xdr:colOff>238124</xdr:colOff>
      <xdr:row>9</xdr:row>
      <xdr:rowOff>38100</xdr:rowOff>
    </xdr:from>
    <xdr:to>
      <xdr:col>34</xdr:col>
      <xdr:colOff>161924</xdr:colOff>
      <xdr:row>12</xdr:row>
      <xdr:rowOff>66675</xdr:rowOff>
    </xdr:to>
    <xdr:sp macro="" textlink="">
      <xdr:nvSpPr>
        <xdr:cNvPr id="6" name="AutoShape 3">
          <a:extLst>
            <a:ext uri="{FF2B5EF4-FFF2-40B4-BE49-F238E27FC236}">
              <a16:creationId xmlns:a16="http://schemas.microsoft.com/office/drawing/2014/main" id="{00000000-0008-0000-0400-000006000000}"/>
            </a:ext>
          </a:extLst>
        </xdr:cNvPr>
        <xdr:cNvSpPr>
          <a:spLocks/>
        </xdr:cNvSpPr>
      </xdr:nvSpPr>
      <xdr:spPr bwMode="auto">
        <a:xfrm>
          <a:off x="8248649" y="1381125"/>
          <a:ext cx="1304925" cy="485775"/>
        </a:xfrm>
        <a:prstGeom prst="borderCallout1">
          <a:avLst>
            <a:gd name="adj1" fmla="val 58899"/>
            <a:gd name="adj2" fmla="val -2387"/>
            <a:gd name="adj3" fmla="val 120000"/>
            <a:gd name="adj4" fmla="val -57093"/>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18000" tIns="7200" rIns="18000" bIns="7200" anchor="t" upright="1"/>
        <a:lstStyle/>
        <a:p>
          <a:pPr algn="l" rtl="0">
            <a:defRPr sz="1000"/>
          </a:pPr>
          <a:r>
            <a:rPr lang="ja-JP" altLang="en-US" sz="900" b="0" i="0" u="none" strike="noStrike" baseline="0">
              <a:solidFill>
                <a:srgbClr val="000000"/>
              </a:solidFill>
              <a:latin typeface="ＭＳ 明朝"/>
              <a:ea typeface="ＭＳ 明朝"/>
            </a:rPr>
            <a:t>領域名：プロジェクト情報入力</a:t>
          </a:r>
          <a:endParaRPr lang="ja-JP" altLang="en-US">
            <a:latin typeface="ＭＳ 明朝"/>
            <a:ea typeface="ＭＳ 明朝"/>
          </a:endParaRPr>
        </a:p>
      </xdr:txBody>
    </xdr:sp>
    <xdr:clientData/>
  </xdr:twoCellAnchor>
  <xdr:twoCellAnchor>
    <xdr:from>
      <xdr:col>38</xdr:col>
      <xdr:colOff>47625</xdr:colOff>
      <xdr:row>80</xdr:row>
      <xdr:rowOff>76200</xdr:rowOff>
    </xdr:from>
    <xdr:to>
      <xdr:col>43</xdr:col>
      <xdr:colOff>133350</xdr:colOff>
      <xdr:row>83</xdr:row>
      <xdr:rowOff>333375</xdr:rowOff>
    </xdr:to>
    <xdr:sp macro="" textlink="">
      <xdr:nvSpPr>
        <xdr:cNvPr id="7" name="AutoShape 3">
          <a:extLst>
            <a:ext uri="{FF2B5EF4-FFF2-40B4-BE49-F238E27FC236}">
              <a16:creationId xmlns:a16="http://schemas.microsoft.com/office/drawing/2014/main" id="{00000000-0008-0000-0400-000007000000}"/>
            </a:ext>
          </a:extLst>
        </xdr:cNvPr>
        <xdr:cNvSpPr>
          <a:spLocks/>
        </xdr:cNvSpPr>
      </xdr:nvSpPr>
      <xdr:spPr bwMode="auto">
        <a:xfrm>
          <a:off x="10544175" y="12211050"/>
          <a:ext cx="1466850" cy="685800"/>
        </a:xfrm>
        <a:prstGeom prst="borderCallout1">
          <a:avLst>
            <a:gd name="adj1" fmla="val 58899"/>
            <a:gd name="adj2" fmla="val -2387"/>
            <a:gd name="adj3" fmla="val 120000"/>
            <a:gd name="adj4" fmla="val -57093"/>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18000" tIns="7200" rIns="18000" bIns="7200" anchor="t" upright="1"/>
        <a:lstStyle/>
        <a:p>
          <a:pPr algn="l" rtl="0">
            <a:defRPr sz="1000"/>
          </a:pPr>
          <a:r>
            <a:rPr lang="en-US" altLang="ja-JP" sz="900" b="0" i="0" u="none" strike="noStrike" baseline="0">
              <a:solidFill>
                <a:srgbClr val="000000"/>
              </a:solidFill>
              <a:latin typeface="ＭＳ 明朝"/>
              <a:ea typeface="ＭＳ 明朝"/>
            </a:rPr>
            <a:t>2022</a:t>
          </a:r>
          <a:r>
            <a:rPr lang="ja-JP" altLang="en-US" sz="900" b="0" i="0" u="none" strike="noStrike" baseline="0">
              <a:solidFill>
                <a:srgbClr val="000000"/>
              </a:solidFill>
              <a:latin typeface="ＭＳ 明朝"/>
              <a:ea typeface="ＭＳ 明朝"/>
            </a:rPr>
            <a:t>年</a:t>
          </a:r>
          <a:r>
            <a:rPr lang="en-US" altLang="ja-JP" sz="900" b="0" i="0" u="none" strike="noStrike" baseline="0">
              <a:solidFill>
                <a:srgbClr val="000000"/>
              </a:solidFill>
              <a:latin typeface="ＭＳ 明朝"/>
              <a:ea typeface="ＭＳ 明朝"/>
            </a:rPr>
            <a:t>9</a:t>
          </a:r>
          <a:r>
            <a:rPr lang="ja-JP" altLang="en-US" sz="900" b="0" i="0" u="none" strike="noStrike" baseline="0">
              <a:solidFill>
                <a:srgbClr val="000000"/>
              </a:solidFill>
              <a:latin typeface="ＭＳ 明朝"/>
              <a:ea typeface="ＭＳ 明朝"/>
            </a:rPr>
            <a:t>月版では未実装</a:t>
          </a:r>
        </a:p>
      </xdr:txBody>
    </xdr:sp>
    <xdr:clientData/>
  </xdr:twoCellAnchor>
  <xdr:twoCellAnchor>
    <xdr:from>
      <xdr:col>38</xdr:col>
      <xdr:colOff>38100</xdr:colOff>
      <xdr:row>115</xdr:row>
      <xdr:rowOff>133350</xdr:rowOff>
    </xdr:from>
    <xdr:to>
      <xdr:col>43</xdr:col>
      <xdr:colOff>123825</xdr:colOff>
      <xdr:row>120</xdr:row>
      <xdr:rowOff>104775</xdr:rowOff>
    </xdr:to>
    <xdr:sp macro="" textlink="">
      <xdr:nvSpPr>
        <xdr:cNvPr id="8" name="AutoShape 3">
          <a:extLst>
            <a:ext uri="{FF2B5EF4-FFF2-40B4-BE49-F238E27FC236}">
              <a16:creationId xmlns:a16="http://schemas.microsoft.com/office/drawing/2014/main" id="{00000000-0008-0000-0400-000008000000}"/>
            </a:ext>
          </a:extLst>
        </xdr:cNvPr>
        <xdr:cNvSpPr>
          <a:spLocks/>
        </xdr:cNvSpPr>
      </xdr:nvSpPr>
      <xdr:spPr bwMode="auto">
        <a:xfrm>
          <a:off x="10534650" y="18126075"/>
          <a:ext cx="1466850" cy="685800"/>
        </a:xfrm>
        <a:prstGeom prst="borderCallout1">
          <a:avLst>
            <a:gd name="adj1" fmla="val 58899"/>
            <a:gd name="adj2" fmla="val -2387"/>
            <a:gd name="adj3" fmla="val 120000"/>
            <a:gd name="adj4" fmla="val -57093"/>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18000" tIns="7200" rIns="18000" bIns="7200" anchor="t" upright="1"/>
        <a:lstStyle/>
        <a:p>
          <a:pPr algn="l" rtl="0">
            <a:defRPr sz="1000"/>
          </a:pPr>
          <a:r>
            <a:rPr lang="en-US" altLang="ja-JP" sz="900" b="0" i="0" u="none" strike="noStrike" baseline="0">
              <a:solidFill>
                <a:srgbClr val="000000"/>
              </a:solidFill>
              <a:latin typeface="ＭＳ 明朝"/>
              <a:ea typeface="ＭＳ 明朝"/>
            </a:rPr>
            <a:t>2022</a:t>
          </a:r>
          <a:r>
            <a:rPr lang="ja-JP" altLang="en-US" sz="900" b="0" i="0" u="none" strike="noStrike" baseline="0">
              <a:solidFill>
                <a:srgbClr val="000000"/>
              </a:solidFill>
              <a:latin typeface="ＭＳ 明朝"/>
              <a:ea typeface="ＭＳ 明朝"/>
            </a:rPr>
            <a:t>年</a:t>
          </a:r>
          <a:r>
            <a:rPr lang="en-US" altLang="ja-JP" sz="900" b="0" i="0" u="none" strike="noStrike" baseline="0">
              <a:solidFill>
                <a:srgbClr val="000000"/>
              </a:solidFill>
              <a:latin typeface="ＭＳ 明朝"/>
              <a:ea typeface="ＭＳ 明朝"/>
            </a:rPr>
            <a:t>9</a:t>
          </a:r>
          <a:r>
            <a:rPr lang="ja-JP" altLang="en-US" sz="900" b="0" i="0" u="none" strike="noStrike" baseline="0">
              <a:solidFill>
                <a:srgbClr val="000000"/>
              </a:solidFill>
              <a:latin typeface="ＭＳ 明朝"/>
              <a:ea typeface="ＭＳ 明朝"/>
            </a:rPr>
            <a:t>月版では未実装</a:t>
          </a:r>
        </a:p>
      </xdr:txBody>
    </xdr:sp>
    <xdr:clientData/>
  </xdr:twoCellAnchor>
  <xdr:twoCellAnchor>
    <xdr:from>
      <xdr:col>2</xdr:col>
      <xdr:colOff>114300</xdr:colOff>
      <xdr:row>116</xdr:row>
      <xdr:rowOff>19051</xdr:rowOff>
    </xdr:from>
    <xdr:to>
      <xdr:col>27</xdr:col>
      <xdr:colOff>28575</xdr:colOff>
      <xdr:row>140</xdr:row>
      <xdr:rowOff>95251</xdr:rowOff>
    </xdr:to>
    <xdr:sp macro="" textlink="">
      <xdr:nvSpPr>
        <xdr:cNvPr id="9" name="AutoShape 2">
          <a:extLst>
            <a:ext uri="{FF2B5EF4-FFF2-40B4-BE49-F238E27FC236}">
              <a16:creationId xmlns:a16="http://schemas.microsoft.com/office/drawing/2014/main" id="{00000000-0008-0000-0400-000009000000}"/>
            </a:ext>
          </a:extLst>
        </xdr:cNvPr>
        <xdr:cNvSpPr>
          <a:spLocks noChangeArrowheads="1"/>
        </xdr:cNvSpPr>
      </xdr:nvSpPr>
      <xdr:spPr bwMode="auto">
        <a:xfrm>
          <a:off x="671146" y="20849493"/>
          <a:ext cx="6874852" cy="3739662"/>
        </a:xfrm>
        <a:prstGeom prst="roundRect">
          <a:avLst>
            <a:gd name="adj" fmla="val 3742"/>
          </a:avLst>
        </a:prstGeom>
        <a:noFill/>
        <a:ln w="25400" algn="ctr">
          <a:solidFill>
            <a:srgbClr val="0000FF"/>
          </a:solidFill>
          <a:prstDash val="dash"/>
          <a:round/>
          <a:headEnd/>
          <a:tailEnd/>
        </a:ln>
        <a:effectLst/>
      </xdr:spPr>
      <xdr:txBody>
        <a:bodyPr/>
        <a:lstStyle/>
        <a:p>
          <a:endParaRPr lang="ja-JP" altLang="en-US">
            <a:latin typeface="ＭＳ 明朝"/>
            <a:ea typeface="ＭＳ 明朝"/>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28575</xdr:colOff>
      <xdr:row>7</xdr:row>
      <xdr:rowOff>66675</xdr:rowOff>
    </xdr:from>
    <xdr:to>
      <xdr:col>29</xdr:col>
      <xdr:colOff>192405</xdr:colOff>
      <xdr:row>35</xdr:row>
      <xdr:rowOff>51435</xdr:rowOff>
    </xdr:to>
    <xdr:pic>
      <xdr:nvPicPr>
        <xdr:cNvPr id="4" name="図 3">
          <a:extLst>
            <a:ext uri="{FF2B5EF4-FFF2-40B4-BE49-F238E27FC236}">
              <a16:creationId xmlns:a16="http://schemas.microsoft.com/office/drawing/2014/main" id="{C4405AD0-35F0-435A-81D6-49C3341A0191}"/>
            </a:ext>
          </a:extLst>
        </xdr:cNvPr>
        <xdr:cNvPicPr>
          <a:picLocks noChangeAspect="1"/>
        </xdr:cNvPicPr>
      </xdr:nvPicPr>
      <xdr:blipFill>
        <a:blip xmlns:r="http://schemas.openxmlformats.org/officeDocument/2006/relationships" r:embed="rId1"/>
        <a:stretch>
          <a:fillRect/>
        </a:stretch>
      </xdr:blipFill>
      <xdr:spPr>
        <a:xfrm>
          <a:off x="857250" y="1104900"/>
          <a:ext cx="7345680" cy="4251960"/>
        </a:xfrm>
        <a:prstGeom prst="rect">
          <a:avLst/>
        </a:prstGeom>
      </xdr:spPr>
    </xdr:pic>
    <xdr:clientData/>
  </xdr:twoCellAnchor>
  <xdr:twoCellAnchor>
    <xdr:from>
      <xdr:col>7</xdr:col>
      <xdr:colOff>142875</xdr:colOff>
      <xdr:row>11</xdr:row>
      <xdr:rowOff>113506</xdr:rowOff>
    </xdr:from>
    <xdr:to>
      <xdr:col>27</xdr:col>
      <xdr:colOff>152400</xdr:colOff>
      <xdr:row>34</xdr:row>
      <xdr:rowOff>28575</xdr:rowOff>
    </xdr:to>
    <xdr:sp macro="" textlink="">
      <xdr:nvSpPr>
        <xdr:cNvPr id="3" name="AutoShape 2">
          <a:extLst>
            <a:ext uri="{FF2B5EF4-FFF2-40B4-BE49-F238E27FC236}">
              <a16:creationId xmlns:a16="http://schemas.microsoft.com/office/drawing/2014/main" id="{00000000-0008-0000-0500-000003000000}"/>
            </a:ext>
          </a:extLst>
        </xdr:cNvPr>
        <xdr:cNvSpPr>
          <a:spLocks noChangeArrowheads="1"/>
        </xdr:cNvSpPr>
      </xdr:nvSpPr>
      <xdr:spPr bwMode="auto">
        <a:xfrm>
          <a:off x="2076450" y="1761331"/>
          <a:ext cx="5534025" cy="3420269"/>
        </a:xfrm>
        <a:prstGeom prst="roundRect">
          <a:avLst>
            <a:gd name="adj" fmla="val 3742"/>
          </a:avLst>
        </a:prstGeom>
        <a:noFill/>
        <a:ln w="25400" algn="ctr">
          <a:solidFill>
            <a:srgbClr val="0000FF"/>
          </a:solidFill>
          <a:prstDash val="dash"/>
          <a:round/>
          <a:headEnd/>
          <a:tailEnd/>
        </a:ln>
        <a:effectLst/>
      </xdr:spPr>
      <xdr:txBody>
        <a:bodyPr/>
        <a:lstStyle/>
        <a:p>
          <a:endParaRPr lang="ja-JP" altLang="en-US">
            <a:latin typeface="ＭＳ 明朝"/>
            <a:ea typeface="ＭＳ 明朝"/>
          </a:endParaRPr>
        </a:p>
      </xdr:txBody>
    </xdr:sp>
    <xdr:clientData/>
  </xdr:twoCellAnchor>
  <xdr:twoCellAnchor>
    <xdr:from>
      <xdr:col>28</xdr:col>
      <xdr:colOff>169252</xdr:colOff>
      <xdr:row>11</xdr:row>
      <xdr:rowOff>2198</xdr:rowOff>
    </xdr:from>
    <xdr:to>
      <xdr:col>33</xdr:col>
      <xdr:colOff>112662</xdr:colOff>
      <xdr:row>14</xdr:row>
      <xdr:rowOff>44219</xdr:rowOff>
    </xdr:to>
    <xdr:sp macro="" textlink="">
      <xdr:nvSpPr>
        <xdr:cNvPr id="12" name="AutoShape 3">
          <a:extLst>
            <a:ext uri="{FF2B5EF4-FFF2-40B4-BE49-F238E27FC236}">
              <a16:creationId xmlns:a16="http://schemas.microsoft.com/office/drawing/2014/main" id="{00000000-0008-0000-0500-00000C000000}"/>
            </a:ext>
          </a:extLst>
        </xdr:cNvPr>
        <xdr:cNvSpPr>
          <a:spLocks/>
        </xdr:cNvSpPr>
      </xdr:nvSpPr>
      <xdr:spPr bwMode="auto">
        <a:xfrm>
          <a:off x="7965098" y="1672736"/>
          <a:ext cx="1335526" cy="503618"/>
        </a:xfrm>
        <a:prstGeom prst="borderCallout1">
          <a:avLst>
            <a:gd name="adj1" fmla="val 58899"/>
            <a:gd name="adj2" fmla="val -2387"/>
            <a:gd name="adj3" fmla="val 120000"/>
            <a:gd name="adj4" fmla="val -57093"/>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18000" tIns="7200" rIns="18000" bIns="7200" anchor="t" upright="1"/>
        <a:lstStyle/>
        <a:p>
          <a:pPr algn="l" rtl="0">
            <a:defRPr sz="1000"/>
          </a:pPr>
          <a:r>
            <a:rPr lang="ja-JP" altLang="en-US" sz="900" b="0" i="0" u="none" strike="noStrike" baseline="0">
              <a:solidFill>
                <a:srgbClr val="000000"/>
              </a:solidFill>
              <a:latin typeface="ＭＳ 明朝"/>
              <a:ea typeface="ＭＳ 明朝"/>
            </a:rPr>
            <a:t>領域名：プロジェクト情報確認</a:t>
          </a:r>
          <a:endParaRPr lang="ja-JP" altLang="en-US">
            <a:latin typeface="ＭＳ 明朝"/>
            <a:ea typeface="ＭＳ 明朝"/>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85725</xdr:colOff>
      <xdr:row>7</xdr:row>
      <xdr:rowOff>142875</xdr:rowOff>
    </xdr:from>
    <xdr:to>
      <xdr:col>31</xdr:col>
      <xdr:colOff>91440</xdr:colOff>
      <xdr:row>26</xdr:row>
      <xdr:rowOff>112395</xdr:rowOff>
    </xdr:to>
    <xdr:pic>
      <xdr:nvPicPr>
        <xdr:cNvPr id="2" name="図 1">
          <a:extLst>
            <a:ext uri="{FF2B5EF4-FFF2-40B4-BE49-F238E27FC236}">
              <a16:creationId xmlns:a16="http://schemas.microsoft.com/office/drawing/2014/main" id="{271809AB-786D-4970-BEF7-7D8F7E8A3637}"/>
            </a:ext>
          </a:extLst>
        </xdr:cNvPr>
        <xdr:cNvPicPr>
          <a:picLocks noChangeAspect="1"/>
        </xdr:cNvPicPr>
      </xdr:nvPicPr>
      <xdr:blipFill>
        <a:blip xmlns:r="http://schemas.openxmlformats.org/officeDocument/2006/relationships" r:embed="rId1"/>
        <a:stretch>
          <a:fillRect/>
        </a:stretch>
      </xdr:blipFill>
      <xdr:spPr>
        <a:xfrm>
          <a:off x="638175" y="1181100"/>
          <a:ext cx="8016240" cy="28651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 dT="2026-03-26T04:02:24.09" personId="{00000000-0000-0000-0000-000000000000}" id="{4539A737-6C5D-416E-BD4C-C3AC186843BD}">
    <text>*
実施日:2026/03/13
開始:11:00
終了:13:00
レビュー時間:110</text>
  </threadedComment>
  <threadedComment ref="A5" dT="2026-03-30T04:13:05.79" personId="{00000000-0000-0000-0000-000000000000}" id="{DDDE9BE5-49A5-41F0-8070-6C26F7841434}" parentId="{4539A737-6C5D-416E-BD4C-C3AC186843BD}">
    <text>日時の例です。日時コメントを複数記載した場合は最後に読み込まれた値が採用されます。</text>
  </threadedComment>
  <threadedComment ref="B15" dT="2026-03-30T04:17:54.58" personId="{00000000-0000-0000-0000-000000000000}" id="{AF5E3721-62F2-4BAC-8C77-84161DAD1BAD}">
    <text>11
レビュー指摘コメントの例。
メモ機能のコメント同様１行目に指摘分類、２行目以降にコメントを記載します。</text>
  </threadedComment>
  <threadedComment ref="B15" dT="2026-03-30T04:18:22.51" personId="{00000000-0000-0000-0000-000000000000}" id="{9EDE4952-A7A6-4218-921B-E995E1948725}" parentId="{AF5E3721-62F2-4BAC-8C77-84161DAD1BAD}">
    <text>対応内容はコメントの返信として入力できます。</text>
  </threadedComment>
  <threadedComment ref="B27" dT="2026-03-30T04:19:12.83" personId="{00000000-0000-0000-0000-000000000000}" id="{66F960A9-9436-4783-9492-9D1B2CEF7D12}" done="1">
    <text>12
対応内容を確認し、指摘をクローズする場合は「スレッドを解決する」で解決済みとマークします。</text>
  </threadedComment>
  <threadedComment ref="B27" dT="2026-03-30T04:20:26.56" personId="{00000000-0000-0000-0000-000000000000}" id="{9837EDE3-DE10-47AA-892B-3E19F23541DC}" parentId="{66F960A9-9436-4783-9492-9D1B2CEF7D12}">
    <text>確認日と確認者は最後のコメントの投稿日時・投稿者が採用されます。</text>
  </threadedComment>
  <threadedComment ref="B34" dT="2026-03-30T04:21:27.08" personId="{00000000-0000-0000-0000-000000000000}" id="{9B9A5636-3B11-44B8-BA07-FE34743466A4}">
    <text>最初の1行目が"*"でも指摘分類でもない場合は抽出対象外となり無視されます。</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S513"/>
  <sheetViews>
    <sheetView showGridLines="0" view="pageBreakPreview" zoomScaleNormal="100" zoomScaleSheetLayoutView="100" workbookViewId="0"/>
  </sheetViews>
  <sheetFormatPr defaultColWidth="8.83203125" defaultRowHeight="13.5"/>
  <cols>
    <col min="1" max="16384" width="8.83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2" ht="13.5" customHeight="1"/>
    <row r="18" spans="6:12" ht="13.5" customHeight="1"/>
    <row r="19" spans="6:12" ht="13.5" customHeight="1"/>
    <row r="20" spans="6:12" ht="13.5" customHeight="1"/>
    <row r="21" spans="6:12" ht="13.5" customHeight="1"/>
    <row r="22" spans="6:12" ht="13.5" customHeight="1">
      <c r="F22" s="5"/>
      <c r="H22" s="5"/>
    </row>
    <row r="23" spans="6:12" ht="17.25" customHeight="1">
      <c r="F23" s="5"/>
      <c r="G23" s="5"/>
      <c r="H23" s="5"/>
      <c r="I23" s="18"/>
      <c r="J23" s="14" t="s">
        <v>346</v>
      </c>
      <c r="K23" s="18"/>
      <c r="L23" s="18"/>
    </row>
    <row r="24" spans="6:12" ht="13.5" customHeight="1">
      <c r="F24" s="5"/>
      <c r="G24" s="5"/>
      <c r="H24" s="5"/>
      <c r="I24" s="18"/>
      <c r="J24" s="18"/>
      <c r="K24" s="18"/>
      <c r="L24" s="18"/>
    </row>
    <row r="25" spans="6:12" ht="18" customHeight="1">
      <c r="F25" s="5"/>
      <c r="G25" s="5"/>
      <c r="H25" s="5"/>
      <c r="I25" s="159">
        <f ca="1">IF(INDIRECT("変更履歴!D8")="","",MAX(INDIRECT("変更履歴!D8"):INDIRECT("変更履歴!F33")))</f>
        <v>44908</v>
      </c>
      <c r="J25" s="159"/>
      <c r="K25" s="159"/>
      <c r="L25" s="18"/>
    </row>
    <row r="26" spans="6:12" ht="13.5" customHeight="1">
      <c r="F26" s="5"/>
      <c r="G26" s="5"/>
      <c r="H26" s="5"/>
      <c r="I26" s="18"/>
      <c r="J26" s="18"/>
      <c r="K26" s="18"/>
      <c r="L26" s="18"/>
    </row>
    <row r="27" spans="6:12" ht="13.5" customHeight="1">
      <c r="F27" s="5"/>
      <c r="G27" s="5"/>
      <c r="H27" s="5"/>
      <c r="I27" s="18"/>
      <c r="J27" s="18"/>
      <c r="K27" s="18"/>
      <c r="L27" s="18"/>
    </row>
    <row r="28" spans="6:12" ht="13.5" customHeight="1">
      <c r="F28" s="6"/>
      <c r="G28" s="5"/>
      <c r="H28" s="5"/>
      <c r="I28" s="18"/>
      <c r="J28" s="18"/>
      <c r="K28" s="18"/>
      <c r="L28" s="18"/>
    </row>
    <row r="29" spans="6:12" ht="15" customHeight="1">
      <c r="F29" s="5"/>
      <c r="H29" s="5"/>
      <c r="I29" s="18"/>
      <c r="J29" s="18"/>
      <c r="K29" s="18"/>
      <c r="L29" s="18"/>
    </row>
    <row r="30" spans="6:12" ht="13.5" customHeight="1">
      <c r="F30" s="5"/>
      <c r="G30" s="12"/>
      <c r="H30" s="5"/>
      <c r="I30" s="18"/>
      <c r="J30" s="18"/>
      <c r="K30" s="18"/>
      <c r="L30" s="18"/>
    </row>
    <row r="31" spans="6:12" ht="18.75" customHeight="1">
      <c r="F31" s="5"/>
      <c r="G31" s="12"/>
      <c r="H31" s="5"/>
      <c r="I31" s="18"/>
      <c r="J31" s="18"/>
      <c r="K31" s="18"/>
      <c r="L31" s="18"/>
    </row>
    <row r="32" spans="6:12" ht="18.75">
      <c r="F32" s="5"/>
      <c r="G32" s="12"/>
      <c r="H32" s="5"/>
      <c r="I32" s="18"/>
      <c r="J32" s="19"/>
      <c r="K32" s="18"/>
      <c r="L32" s="18"/>
    </row>
    <row r="33" spans="6:19" ht="18.75">
      <c r="F33" s="5"/>
      <c r="H33" s="5"/>
      <c r="I33" s="18"/>
      <c r="J33" s="20"/>
      <c r="K33" s="18"/>
      <c r="L33" s="21"/>
      <c r="M33" s="8"/>
      <c r="N33" s="7"/>
      <c r="O33" s="7"/>
      <c r="P33" s="7"/>
    </row>
    <row r="34" spans="6:19" ht="18.75">
      <c r="F34" s="5"/>
      <c r="H34" s="5"/>
      <c r="I34" s="18"/>
      <c r="J34" s="19"/>
      <c r="K34" s="18"/>
      <c r="L34" s="21"/>
      <c r="M34" s="7"/>
      <c r="N34" s="7"/>
      <c r="O34" s="7"/>
      <c r="P34" s="7"/>
      <c r="Q34" s="59"/>
      <c r="R34" s="60"/>
      <c r="S34" s="60"/>
    </row>
    <row r="35" spans="6:19" ht="13.5" customHeight="1">
      <c r="O35" s="7"/>
      <c r="P35" s="7"/>
      <c r="Q35" s="60"/>
      <c r="R35" s="60"/>
      <c r="S35" s="60"/>
    </row>
    <row r="36" spans="6:19" ht="13.5" customHeight="1">
      <c r="O36" s="61"/>
      <c r="P36" s="60"/>
      <c r="Q36" s="61"/>
      <c r="R36" s="60"/>
      <c r="S36" s="58"/>
    </row>
    <row r="37" spans="6:19" ht="13.5" customHeight="1">
      <c r="P37" s="62"/>
      <c r="R37" s="62"/>
    </row>
    <row r="38" spans="6:19" ht="13.5" customHeight="1">
      <c r="O38" s="62"/>
      <c r="P38" s="62"/>
      <c r="Q38" s="62"/>
      <c r="R38" s="62"/>
      <c r="S38" s="62"/>
    </row>
    <row r="39" spans="6:19" ht="13.5" customHeight="1">
      <c r="O39" s="62"/>
      <c r="P39" s="62"/>
      <c r="Q39" s="62"/>
      <c r="R39" s="62"/>
      <c r="S39" s="62"/>
    </row>
    <row r="40" spans="6:19" ht="13.5" customHeight="1"/>
    <row r="41" spans="6:19" ht="13.5" customHeight="1"/>
    <row r="42" spans="6:19" ht="13.5" customHeight="1"/>
    <row r="43" spans="6:19" ht="13.5" customHeight="1"/>
    <row r="44" spans="6:19" ht="13.5" customHeight="1"/>
    <row r="45" spans="6:19" ht="13.5" customHeight="1"/>
    <row r="46" spans="6:19" ht="13.5" customHeight="1"/>
    <row r="47" spans="6:19" ht="13.5" customHeight="1"/>
    <row r="48" spans="6:19"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N34"/>
  <sheetViews>
    <sheetView showGridLines="0" view="pageBreakPreview" zoomScaleNormal="100" zoomScaleSheetLayoutView="100" workbookViewId="0">
      <selection sqref="A1:D1"/>
    </sheetView>
  </sheetViews>
  <sheetFormatPr defaultColWidth="4.83203125" defaultRowHeight="11.25"/>
  <sheetData>
    <row r="1" spans="1:40" s="11" customFormat="1">
      <c r="A1" s="210" t="s">
        <v>0</v>
      </c>
      <c r="B1" s="211"/>
      <c r="C1" s="211"/>
      <c r="D1" s="212"/>
      <c r="E1" s="179" t="s">
        <v>147</v>
      </c>
      <c r="F1" s="180"/>
      <c r="G1" s="180"/>
      <c r="H1" s="180"/>
      <c r="I1" s="180"/>
      <c r="J1" s="180"/>
      <c r="K1" s="180"/>
      <c r="L1" s="180"/>
      <c r="M1" s="180"/>
      <c r="N1" s="181"/>
      <c r="O1" s="213" t="s">
        <v>34</v>
      </c>
      <c r="P1" s="214"/>
      <c r="Q1" s="214"/>
      <c r="R1" s="215"/>
      <c r="S1" s="192" t="s">
        <v>178</v>
      </c>
      <c r="T1" s="193"/>
      <c r="U1" s="193"/>
      <c r="V1" s="193"/>
      <c r="W1" s="193"/>
      <c r="X1" s="193"/>
      <c r="Y1" s="193"/>
      <c r="Z1" s="194"/>
      <c r="AA1" s="210" t="s">
        <v>35</v>
      </c>
      <c r="AB1" s="212"/>
      <c r="AC1" s="160" t="str">
        <f>IF(AF8="","",AF8)</f>
        <v>TIS</v>
      </c>
      <c r="AD1" s="161"/>
      <c r="AE1" s="161"/>
      <c r="AF1" s="162"/>
      <c r="AG1" s="166">
        <f>IF(D8="","",D8)</f>
        <v>43598</v>
      </c>
      <c r="AH1" s="167"/>
      <c r="AI1" s="168"/>
      <c r="AJ1" s="9"/>
      <c r="AK1" s="9"/>
      <c r="AL1" s="9"/>
      <c r="AM1" s="9"/>
      <c r="AN1" s="10"/>
    </row>
    <row r="2" spans="1:40" s="11" customFormat="1">
      <c r="A2" s="210" t="s">
        <v>1</v>
      </c>
      <c r="B2" s="211"/>
      <c r="C2" s="211"/>
      <c r="D2" s="212"/>
      <c r="E2" s="179" t="s">
        <v>148</v>
      </c>
      <c r="F2" s="180"/>
      <c r="G2" s="180"/>
      <c r="H2" s="180"/>
      <c r="I2" s="180"/>
      <c r="J2" s="180"/>
      <c r="K2" s="180"/>
      <c r="L2" s="180"/>
      <c r="M2" s="180"/>
      <c r="N2" s="181"/>
      <c r="O2" s="216"/>
      <c r="P2" s="217"/>
      <c r="Q2" s="217"/>
      <c r="R2" s="218"/>
      <c r="S2" s="195"/>
      <c r="T2" s="196"/>
      <c r="U2" s="196"/>
      <c r="V2" s="196"/>
      <c r="W2" s="196"/>
      <c r="X2" s="196"/>
      <c r="Y2" s="196"/>
      <c r="Z2" s="197"/>
      <c r="AA2" s="210" t="s">
        <v>36</v>
      </c>
      <c r="AB2" s="212"/>
      <c r="AC2" s="169" t="str">
        <f ca="1">IF(COUNTA(AF9:AF33)&lt;&gt;0,INDIRECT("AF"&amp;(COUNTA(AF9:AF33)+8)),"")</f>
        <v>TIS</v>
      </c>
      <c r="AD2" s="170"/>
      <c r="AE2" s="170"/>
      <c r="AF2" s="171"/>
      <c r="AG2" s="166">
        <f>IF(D9="","",MAX(D9:F33))</f>
        <v>44908</v>
      </c>
      <c r="AH2" s="167"/>
      <c r="AI2" s="168"/>
      <c r="AJ2" s="9"/>
      <c r="AK2" s="9"/>
      <c r="AL2" s="9"/>
      <c r="AM2" s="9"/>
      <c r="AN2" s="9"/>
    </row>
    <row r="3" spans="1:40" s="11" customFormat="1">
      <c r="A3" s="210" t="s">
        <v>2</v>
      </c>
      <c r="B3" s="211"/>
      <c r="C3" s="211"/>
      <c r="D3" s="212"/>
      <c r="E3" s="179" t="s">
        <v>175</v>
      </c>
      <c r="F3" s="180"/>
      <c r="G3" s="180"/>
      <c r="H3" s="180"/>
      <c r="I3" s="180"/>
      <c r="J3" s="180"/>
      <c r="K3" s="180"/>
      <c r="L3" s="180"/>
      <c r="M3" s="180"/>
      <c r="N3" s="181"/>
      <c r="O3" s="219"/>
      <c r="P3" s="220"/>
      <c r="Q3" s="220"/>
      <c r="R3" s="221"/>
      <c r="S3" s="198"/>
      <c r="T3" s="199"/>
      <c r="U3" s="199"/>
      <c r="V3" s="199"/>
      <c r="W3" s="199"/>
      <c r="X3" s="199"/>
      <c r="Y3" s="199"/>
      <c r="Z3" s="200"/>
      <c r="AA3" s="222"/>
      <c r="AB3" s="223"/>
      <c r="AC3" s="172"/>
      <c r="AD3" s="161"/>
      <c r="AE3" s="161"/>
      <c r="AF3" s="162"/>
      <c r="AG3" s="166"/>
      <c r="AH3" s="167"/>
      <c r="AI3" s="168"/>
      <c r="AJ3" s="9"/>
      <c r="AK3" s="9"/>
      <c r="AL3" s="9"/>
      <c r="AM3" s="9"/>
      <c r="AN3" s="9"/>
    </row>
    <row r="4" spans="1:40" s="15" customFormat="1">
      <c r="A4" t="s">
        <v>351</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pans="1:40" s="17" customFormat="1" ht="22.5" customHeight="1">
      <c r="A5" s="11"/>
      <c r="B5" s="11"/>
      <c r="C5" s="11"/>
      <c r="D5" s="11"/>
      <c r="E5" s="11"/>
      <c r="F5" s="11"/>
      <c r="G5" s="11"/>
      <c r="H5" s="11"/>
      <c r="I5" s="11"/>
      <c r="J5" s="11"/>
      <c r="K5" s="11"/>
      <c r="L5" s="11"/>
      <c r="M5" s="11"/>
      <c r="N5" s="13" t="s">
        <v>5</v>
      </c>
      <c r="O5" s="11"/>
      <c r="P5" s="11"/>
      <c r="Q5" s="11"/>
      <c r="R5" s="11"/>
      <c r="S5" s="11"/>
      <c r="T5" s="11"/>
      <c r="U5" s="11"/>
      <c r="V5" s="11"/>
      <c r="W5" s="11"/>
      <c r="X5" s="11"/>
      <c r="Y5" s="11"/>
      <c r="Z5" s="11"/>
      <c r="AA5" s="22"/>
      <c r="AB5" s="22"/>
      <c r="AC5" s="23"/>
      <c r="AD5" s="24"/>
      <c r="AE5" s="24"/>
      <c r="AF5" s="24"/>
      <c r="AG5" s="22"/>
      <c r="AH5" s="22"/>
      <c r="AI5" s="22"/>
      <c r="AJ5" s="11"/>
      <c r="AK5" s="11"/>
      <c r="AL5" s="11"/>
      <c r="AM5" s="11"/>
      <c r="AN5" s="11"/>
    </row>
    <row r="6" spans="1:40" s="17" customFormat="1" ht="15" customHeight="1">
      <c r="A6" s="11"/>
      <c r="B6" s="11"/>
      <c r="C6" s="11"/>
      <c r="D6" s="11"/>
      <c r="E6" s="11"/>
      <c r="F6" s="11"/>
      <c r="G6" s="11"/>
      <c r="H6" s="11"/>
      <c r="I6" s="11"/>
      <c r="J6" s="11"/>
      <c r="K6" s="11"/>
      <c r="L6" s="11"/>
      <c r="M6" s="11"/>
      <c r="N6" s="13"/>
      <c r="O6" s="11"/>
      <c r="P6" s="11"/>
      <c r="Q6" s="11"/>
      <c r="R6" s="11"/>
      <c r="S6" s="11"/>
      <c r="T6" s="11"/>
      <c r="U6" s="11"/>
      <c r="V6" s="11"/>
      <c r="W6" s="11"/>
      <c r="X6" s="11"/>
      <c r="Y6" s="11"/>
      <c r="Z6" s="11"/>
      <c r="AA6" s="22"/>
      <c r="AB6" s="22"/>
      <c r="AC6" s="23"/>
      <c r="AD6" s="24"/>
      <c r="AE6" s="24"/>
      <c r="AF6" s="24"/>
      <c r="AG6" s="22"/>
      <c r="AH6" s="22"/>
      <c r="AI6" s="22"/>
      <c r="AJ6" s="11"/>
      <c r="AK6" s="11"/>
      <c r="AL6" s="11"/>
      <c r="AM6" s="11"/>
      <c r="AN6" s="11"/>
    </row>
    <row r="7" spans="1:40" s="39" customFormat="1" ht="15" customHeight="1" thickBot="1">
      <c r="A7" s="38" t="s">
        <v>28</v>
      </c>
      <c r="B7" s="176" t="s">
        <v>6</v>
      </c>
      <c r="C7" s="178"/>
      <c r="D7" s="176" t="s">
        <v>7</v>
      </c>
      <c r="E7" s="177"/>
      <c r="F7" s="178"/>
      <c r="G7" s="176" t="s">
        <v>8</v>
      </c>
      <c r="H7" s="177"/>
      <c r="I7" s="178"/>
      <c r="J7" s="176" t="s">
        <v>86</v>
      </c>
      <c r="K7" s="177"/>
      <c r="L7" s="177"/>
      <c r="M7" s="177"/>
      <c r="N7" s="177"/>
      <c r="O7" s="177"/>
      <c r="P7" s="178"/>
      <c r="Q7" s="176" t="s">
        <v>9</v>
      </c>
      <c r="R7" s="177"/>
      <c r="S7" s="177"/>
      <c r="T7" s="177"/>
      <c r="U7" s="177"/>
      <c r="V7" s="177"/>
      <c r="W7" s="177"/>
      <c r="X7" s="177"/>
      <c r="Y7" s="177"/>
      <c r="Z7" s="177"/>
      <c r="AA7" s="177"/>
      <c r="AB7" s="177"/>
      <c r="AC7" s="177"/>
      <c r="AD7" s="177"/>
      <c r="AE7" s="178"/>
      <c r="AF7" s="176" t="s">
        <v>10</v>
      </c>
      <c r="AG7" s="177"/>
      <c r="AH7" s="177"/>
      <c r="AI7" s="178"/>
    </row>
    <row r="8" spans="1:40" s="39" customFormat="1" ht="15" customHeight="1" thickTop="1">
      <c r="A8" s="40">
        <v>1</v>
      </c>
      <c r="B8" s="204" t="s">
        <v>143</v>
      </c>
      <c r="C8" s="205"/>
      <c r="D8" s="206">
        <v>43598</v>
      </c>
      <c r="E8" s="207"/>
      <c r="F8" s="208"/>
      <c r="G8" s="204" t="s">
        <v>144</v>
      </c>
      <c r="H8" s="209"/>
      <c r="I8" s="205"/>
      <c r="J8" s="188" t="s">
        <v>145</v>
      </c>
      <c r="K8" s="189"/>
      <c r="L8" s="189"/>
      <c r="M8" s="189"/>
      <c r="N8" s="189"/>
      <c r="O8" s="189"/>
      <c r="P8" s="190"/>
      <c r="Q8" s="163" t="s">
        <v>146</v>
      </c>
      <c r="R8" s="164"/>
      <c r="S8" s="164"/>
      <c r="T8" s="164"/>
      <c r="U8" s="164"/>
      <c r="V8" s="164"/>
      <c r="W8" s="164"/>
      <c r="X8" s="164"/>
      <c r="Y8" s="164"/>
      <c r="Z8" s="164"/>
      <c r="AA8" s="164"/>
      <c r="AB8" s="164"/>
      <c r="AC8" s="164"/>
      <c r="AD8" s="164"/>
      <c r="AE8" s="165"/>
      <c r="AF8" s="191" t="s">
        <v>352</v>
      </c>
      <c r="AG8" s="189"/>
      <c r="AH8" s="189"/>
      <c r="AI8" s="190"/>
    </row>
    <row r="9" spans="1:40" s="39" customFormat="1" ht="15" customHeight="1">
      <c r="A9" s="41">
        <v>2</v>
      </c>
      <c r="B9" s="173" t="s">
        <v>332</v>
      </c>
      <c r="C9" s="175"/>
      <c r="D9" s="201">
        <v>44701</v>
      </c>
      <c r="E9" s="202"/>
      <c r="F9" s="203"/>
      <c r="G9" s="173" t="s">
        <v>333</v>
      </c>
      <c r="H9" s="174"/>
      <c r="I9" s="175"/>
      <c r="J9" s="185" t="s">
        <v>334</v>
      </c>
      <c r="K9" s="186"/>
      <c r="L9" s="186"/>
      <c r="M9" s="186"/>
      <c r="N9" s="186"/>
      <c r="O9" s="186"/>
      <c r="P9" s="187"/>
      <c r="Q9" s="182" t="s">
        <v>340</v>
      </c>
      <c r="R9" s="183"/>
      <c r="S9" s="183"/>
      <c r="T9" s="183"/>
      <c r="U9" s="183"/>
      <c r="V9" s="183"/>
      <c r="W9" s="183"/>
      <c r="X9" s="183"/>
      <c r="Y9" s="183"/>
      <c r="Z9" s="183"/>
      <c r="AA9" s="183"/>
      <c r="AB9" s="183"/>
      <c r="AC9" s="183"/>
      <c r="AD9" s="183"/>
      <c r="AE9" s="184"/>
      <c r="AF9" s="185" t="s">
        <v>335</v>
      </c>
      <c r="AG9" s="186"/>
      <c r="AH9" s="186"/>
      <c r="AI9" s="187"/>
    </row>
    <row r="10" spans="1:40" s="39" customFormat="1" ht="15" customHeight="1">
      <c r="A10" s="41"/>
      <c r="B10" s="173"/>
      <c r="C10" s="175"/>
      <c r="D10" s="201"/>
      <c r="E10" s="202"/>
      <c r="F10" s="203"/>
      <c r="G10" s="173"/>
      <c r="H10" s="174"/>
      <c r="I10" s="175"/>
      <c r="J10" s="185" t="s">
        <v>341</v>
      </c>
      <c r="K10" s="186"/>
      <c r="L10" s="186"/>
      <c r="M10" s="186"/>
      <c r="N10" s="186"/>
      <c r="O10" s="186"/>
      <c r="P10" s="187"/>
      <c r="Q10" s="182" t="s">
        <v>342</v>
      </c>
      <c r="R10" s="183"/>
      <c r="S10" s="183"/>
      <c r="T10" s="183"/>
      <c r="U10" s="183"/>
      <c r="V10" s="183"/>
      <c r="W10" s="183"/>
      <c r="X10" s="183"/>
      <c r="Y10" s="183"/>
      <c r="Z10" s="183"/>
      <c r="AA10" s="183"/>
      <c r="AB10" s="183"/>
      <c r="AC10" s="183"/>
      <c r="AD10" s="183"/>
      <c r="AE10" s="184"/>
      <c r="AF10" s="185" t="s">
        <v>335</v>
      </c>
      <c r="AG10" s="186"/>
      <c r="AH10" s="186"/>
      <c r="AI10" s="187"/>
    </row>
    <row r="11" spans="1:40" s="39" customFormat="1" ht="15" customHeight="1">
      <c r="A11" s="41">
        <v>3</v>
      </c>
      <c r="B11" s="173" t="s">
        <v>343</v>
      </c>
      <c r="C11" s="175"/>
      <c r="D11" s="201">
        <v>44907</v>
      </c>
      <c r="E11" s="202"/>
      <c r="F11" s="203"/>
      <c r="G11" s="173" t="s">
        <v>333</v>
      </c>
      <c r="H11" s="174"/>
      <c r="I11" s="175"/>
      <c r="J11" s="185" t="s">
        <v>344</v>
      </c>
      <c r="K11" s="186"/>
      <c r="L11" s="186"/>
      <c r="M11" s="186"/>
      <c r="N11" s="186"/>
      <c r="O11" s="186"/>
      <c r="P11" s="187"/>
      <c r="Q11" s="182" t="s">
        <v>345</v>
      </c>
      <c r="R11" s="183"/>
      <c r="S11" s="183"/>
      <c r="T11" s="183"/>
      <c r="U11" s="183"/>
      <c r="V11" s="183"/>
      <c r="W11" s="183"/>
      <c r="X11" s="183"/>
      <c r="Y11" s="183"/>
      <c r="Z11" s="183"/>
      <c r="AA11" s="183"/>
      <c r="AB11" s="183"/>
      <c r="AC11" s="183"/>
      <c r="AD11" s="183"/>
      <c r="AE11" s="184"/>
      <c r="AF11" s="185" t="s">
        <v>335</v>
      </c>
      <c r="AG11" s="186"/>
      <c r="AH11" s="186"/>
      <c r="AI11" s="187"/>
    </row>
    <row r="12" spans="1:40" s="39" customFormat="1" ht="15" customHeight="1">
      <c r="A12" s="41">
        <v>4</v>
      </c>
      <c r="B12" s="173" t="s">
        <v>343</v>
      </c>
      <c r="C12" s="175"/>
      <c r="D12" s="201">
        <v>44908</v>
      </c>
      <c r="E12" s="202"/>
      <c r="F12" s="203"/>
      <c r="G12" s="173" t="s">
        <v>333</v>
      </c>
      <c r="H12" s="174"/>
      <c r="I12" s="175"/>
      <c r="J12" s="185" t="s">
        <v>349</v>
      </c>
      <c r="K12" s="186"/>
      <c r="L12" s="186"/>
      <c r="M12" s="186"/>
      <c r="N12" s="186"/>
      <c r="O12" s="186"/>
      <c r="P12" s="187"/>
      <c r="Q12" s="182" t="s">
        <v>350</v>
      </c>
      <c r="R12" s="183"/>
      <c r="S12" s="183"/>
      <c r="T12" s="183"/>
      <c r="U12" s="183"/>
      <c r="V12" s="183"/>
      <c r="W12" s="183"/>
      <c r="X12" s="183"/>
      <c r="Y12" s="183"/>
      <c r="Z12" s="183"/>
      <c r="AA12" s="183"/>
      <c r="AB12" s="183"/>
      <c r="AC12" s="183"/>
      <c r="AD12" s="183"/>
      <c r="AE12" s="184"/>
      <c r="AF12" s="185" t="s">
        <v>335</v>
      </c>
      <c r="AG12" s="186"/>
      <c r="AH12" s="186"/>
      <c r="AI12" s="187"/>
    </row>
    <row r="13" spans="1:40" s="39" customFormat="1" ht="15" customHeight="1">
      <c r="A13" s="41"/>
      <c r="B13" s="173"/>
      <c r="C13" s="175"/>
      <c r="D13" s="201"/>
      <c r="E13" s="202"/>
      <c r="F13" s="203"/>
      <c r="G13" s="173"/>
      <c r="H13" s="174"/>
      <c r="I13" s="175"/>
      <c r="J13" s="185"/>
      <c r="K13" s="186"/>
      <c r="L13" s="186"/>
      <c r="M13" s="186"/>
      <c r="N13" s="186"/>
      <c r="O13" s="186"/>
      <c r="P13" s="187"/>
      <c r="Q13" s="182"/>
      <c r="R13" s="183"/>
      <c r="S13" s="183"/>
      <c r="T13" s="183"/>
      <c r="U13" s="183"/>
      <c r="V13" s="183"/>
      <c r="W13" s="183"/>
      <c r="X13" s="183"/>
      <c r="Y13" s="183"/>
      <c r="Z13" s="183"/>
      <c r="AA13" s="183"/>
      <c r="AB13" s="183"/>
      <c r="AC13" s="183"/>
      <c r="AD13" s="183"/>
      <c r="AE13" s="184"/>
      <c r="AF13" s="185"/>
      <c r="AG13" s="186"/>
      <c r="AH13" s="186"/>
      <c r="AI13" s="187"/>
    </row>
    <row r="14" spans="1:40" s="39" customFormat="1" ht="15" customHeight="1">
      <c r="A14" s="41"/>
      <c r="B14" s="173"/>
      <c r="C14" s="175"/>
      <c r="D14" s="201"/>
      <c r="E14" s="202"/>
      <c r="F14" s="203"/>
      <c r="G14" s="173"/>
      <c r="H14" s="174"/>
      <c r="I14" s="175"/>
      <c r="J14" s="185"/>
      <c r="K14" s="186"/>
      <c r="L14" s="186"/>
      <c r="M14" s="186"/>
      <c r="N14" s="186"/>
      <c r="O14" s="186"/>
      <c r="P14" s="187"/>
      <c r="Q14" s="182"/>
      <c r="R14" s="183"/>
      <c r="S14" s="183"/>
      <c r="T14" s="183"/>
      <c r="U14" s="183"/>
      <c r="V14" s="183"/>
      <c r="W14" s="183"/>
      <c r="X14" s="183"/>
      <c r="Y14" s="183"/>
      <c r="Z14" s="183"/>
      <c r="AA14" s="183"/>
      <c r="AB14" s="183"/>
      <c r="AC14" s="183"/>
      <c r="AD14" s="183"/>
      <c r="AE14" s="184"/>
      <c r="AF14" s="185"/>
      <c r="AG14" s="186"/>
      <c r="AH14" s="186"/>
      <c r="AI14" s="187"/>
    </row>
    <row r="15" spans="1:40" s="39" customFormat="1" ht="15" customHeight="1">
      <c r="A15" s="41"/>
      <c r="B15" s="173"/>
      <c r="C15" s="175"/>
      <c r="D15" s="201"/>
      <c r="E15" s="202"/>
      <c r="F15" s="203"/>
      <c r="G15" s="173"/>
      <c r="H15" s="174"/>
      <c r="I15" s="175"/>
      <c r="J15" s="185"/>
      <c r="K15" s="186"/>
      <c r="L15" s="186"/>
      <c r="M15" s="186"/>
      <c r="N15" s="186"/>
      <c r="O15" s="186"/>
      <c r="P15" s="187"/>
      <c r="Q15" s="182"/>
      <c r="R15" s="183"/>
      <c r="S15" s="183"/>
      <c r="T15" s="183"/>
      <c r="U15" s="183"/>
      <c r="V15" s="183"/>
      <c r="W15" s="183"/>
      <c r="X15" s="183"/>
      <c r="Y15" s="183"/>
      <c r="Z15" s="183"/>
      <c r="AA15" s="183"/>
      <c r="AB15" s="183"/>
      <c r="AC15" s="183"/>
      <c r="AD15" s="183"/>
      <c r="AE15" s="184"/>
      <c r="AF15" s="185"/>
      <c r="AG15" s="186"/>
      <c r="AH15" s="186"/>
      <c r="AI15" s="187"/>
    </row>
    <row r="16" spans="1:40" s="39" customFormat="1" ht="15" customHeight="1">
      <c r="A16" s="41"/>
      <c r="B16" s="173"/>
      <c r="C16" s="175"/>
      <c r="D16" s="201"/>
      <c r="E16" s="202"/>
      <c r="F16" s="203"/>
      <c r="G16" s="173"/>
      <c r="H16" s="174"/>
      <c r="I16" s="175"/>
      <c r="J16" s="185"/>
      <c r="K16" s="186"/>
      <c r="L16" s="186"/>
      <c r="M16" s="186"/>
      <c r="N16" s="186"/>
      <c r="O16" s="186"/>
      <c r="P16" s="187"/>
      <c r="Q16" s="182"/>
      <c r="R16" s="183"/>
      <c r="S16" s="183"/>
      <c r="T16" s="183"/>
      <c r="U16" s="183"/>
      <c r="V16" s="183"/>
      <c r="W16" s="183"/>
      <c r="X16" s="183"/>
      <c r="Y16" s="183"/>
      <c r="Z16" s="183"/>
      <c r="AA16" s="183"/>
      <c r="AB16" s="183"/>
      <c r="AC16" s="183"/>
      <c r="AD16" s="183"/>
      <c r="AE16" s="184"/>
      <c r="AF16" s="185"/>
      <c r="AG16" s="186"/>
      <c r="AH16" s="186"/>
      <c r="AI16" s="187"/>
    </row>
    <row r="17" spans="1:35" s="39" customFormat="1" ht="15" customHeight="1">
      <c r="A17" s="41"/>
      <c r="B17" s="173"/>
      <c r="C17" s="175"/>
      <c r="D17" s="201"/>
      <c r="E17" s="202"/>
      <c r="F17" s="203"/>
      <c r="G17" s="173"/>
      <c r="H17" s="174"/>
      <c r="I17" s="175"/>
      <c r="J17" s="185"/>
      <c r="K17" s="186"/>
      <c r="L17" s="186"/>
      <c r="M17" s="186"/>
      <c r="N17" s="186"/>
      <c r="O17" s="186"/>
      <c r="P17" s="187"/>
      <c r="Q17" s="182"/>
      <c r="R17" s="183"/>
      <c r="S17" s="183"/>
      <c r="T17" s="183"/>
      <c r="U17" s="183"/>
      <c r="V17" s="183"/>
      <c r="W17" s="183"/>
      <c r="X17" s="183"/>
      <c r="Y17" s="183"/>
      <c r="Z17" s="183"/>
      <c r="AA17" s="183"/>
      <c r="AB17" s="183"/>
      <c r="AC17" s="183"/>
      <c r="AD17" s="183"/>
      <c r="AE17" s="184"/>
      <c r="AF17" s="185"/>
      <c r="AG17" s="186"/>
      <c r="AH17" s="186"/>
      <c r="AI17" s="187"/>
    </row>
    <row r="18" spans="1:35" s="39" customFormat="1" ht="15" customHeight="1">
      <c r="A18" s="41"/>
      <c r="B18" s="173"/>
      <c r="C18" s="175"/>
      <c r="D18" s="201"/>
      <c r="E18" s="202"/>
      <c r="F18" s="203"/>
      <c r="G18" s="173"/>
      <c r="H18" s="174"/>
      <c r="I18" s="175"/>
      <c r="J18" s="185"/>
      <c r="K18" s="186"/>
      <c r="L18" s="186"/>
      <c r="M18" s="186"/>
      <c r="N18" s="186"/>
      <c r="O18" s="186"/>
      <c r="P18" s="187"/>
      <c r="Q18" s="182"/>
      <c r="R18" s="183"/>
      <c r="S18" s="183"/>
      <c r="T18" s="183"/>
      <c r="U18" s="183"/>
      <c r="V18" s="183"/>
      <c r="W18" s="183"/>
      <c r="X18" s="183"/>
      <c r="Y18" s="183"/>
      <c r="Z18" s="183"/>
      <c r="AA18" s="183"/>
      <c r="AB18" s="183"/>
      <c r="AC18" s="183"/>
      <c r="AD18" s="183"/>
      <c r="AE18" s="184"/>
      <c r="AF18" s="185"/>
      <c r="AG18" s="186"/>
      <c r="AH18" s="186"/>
      <c r="AI18" s="187"/>
    </row>
    <row r="19" spans="1:35" s="39" customFormat="1" ht="15" customHeight="1">
      <c r="A19" s="41"/>
      <c r="B19" s="173"/>
      <c r="C19" s="175"/>
      <c r="D19" s="201"/>
      <c r="E19" s="202"/>
      <c r="F19" s="203"/>
      <c r="G19" s="173"/>
      <c r="H19" s="174"/>
      <c r="I19" s="175"/>
      <c r="J19" s="185"/>
      <c r="K19" s="186"/>
      <c r="L19" s="186"/>
      <c r="M19" s="186"/>
      <c r="N19" s="186"/>
      <c r="O19" s="186"/>
      <c r="P19" s="187"/>
      <c r="Q19" s="182"/>
      <c r="R19" s="183"/>
      <c r="S19" s="183"/>
      <c r="T19" s="183"/>
      <c r="U19" s="183"/>
      <c r="V19" s="183"/>
      <c r="W19" s="183"/>
      <c r="X19" s="183"/>
      <c r="Y19" s="183"/>
      <c r="Z19" s="183"/>
      <c r="AA19" s="183"/>
      <c r="AB19" s="183"/>
      <c r="AC19" s="183"/>
      <c r="AD19" s="183"/>
      <c r="AE19" s="184"/>
      <c r="AF19" s="185"/>
      <c r="AG19" s="186"/>
      <c r="AH19" s="186"/>
      <c r="AI19" s="187"/>
    </row>
    <row r="20" spans="1:35" s="39" customFormat="1" ht="15" customHeight="1">
      <c r="A20" s="41"/>
      <c r="B20" s="173"/>
      <c r="C20" s="175"/>
      <c r="D20" s="201"/>
      <c r="E20" s="202"/>
      <c r="F20" s="203"/>
      <c r="G20" s="173"/>
      <c r="H20" s="174"/>
      <c r="I20" s="175"/>
      <c r="J20" s="185"/>
      <c r="K20" s="186"/>
      <c r="L20" s="186"/>
      <c r="M20" s="186"/>
      <c r="N20" s="186"/>
      <c r="O20" s="186"/>
      <c r="P20" s="187"/>
      <c r="Q20" s="182"/>
      <c r="R20" s="183"/>
      <c r="S20" s="183"/>
      <c r="T20" s="183"/>
      <c r="U20" s="183"/>
      <c r="V20" s="183"/>
      <c r="W20" s="183"/>
      <c r="X20" s="183"/>
      <c r="Y20" s="183"/>
      <c r="Z20" s="183"/>
      <c r="AA20" s="183"/>
      <c r="AB20" s="183"/>
      <c r="AC20" s="183"/>
      <c r="AD20" s="183"/>
      <c r="AE20" s="184"/>
      <c r="AF20" s="185"/>
      <c r="AG20" s="186"/>
      <c r="AH20" s="186"/>
      <c r="AI20" s="187"/>
    </row>
    <row r="21" spans="1:35" s="39" customFormat="1" ht="15" customHeight="1">
      <c r="A21" s="41"/>
      <c r="B21" s="173"/>
      <c r="C21" s="175"/>
      <c r="D21" s="201"/>
      <c r="E21" s="202"/>
      <c r="F21" s="203"/>
      <c r="G21" s="173"/>
      <c r="H21" s="174"/>
      <c r="I21" s="175"/>
      <c r="J21" s="185"/>
      <c r="K21" s="186"/>
      <c r="L21" s="186"/>
      <c r="M21" s="186"/>
      <c r="N21" s="186"/>
      <c r="O21" s="186"/>
      <c r="P21" s="187"/>
      <c r="Q21" s="182"/>
      <c r="R21" s="183"/>
      <c r="S21" s="183"/>
      <c r="T21" s="183"/>
      <c r="U21" s="183"/>
      <c r="V21" s="183"/>
      <c r="W21" s="183"/>
      <c r="X21" s="183"/>
      <c r="Y21" s="183"/>
      <c r="Z21" s="183"/>
      <c r="AA21" s="183"/>
      <c r="AB21" s="183"/>
      <c r="AC21" s="183"/>
      <c r="AD21" s="183"/>
      <c r="AE21" s="184"/>
      <c r="AF21" s="185"/>
      <c r="AG21" s="186"/>
      <c r="AH21" s="186"/>
      <c r="AI21" s="187"/>
    </row>
    <row r="22" spans="1:35" s="39" customFormat="1" ht="15" customHeight="1">
      <c r="A22" s="41"/>
      <c r="B22" s="173"/>
      <c r="C22" s="175"/>
      <c r="D22" s="201"/>
      <c r="E22" s="202"/>
      <c r="F22" s="203"/>
      <c r="G22" s="173"/>
      <c r="H22" s="174"/>
      <c r="I22" s="175"/>
      <c r="J22" s="185"/>
      <c r="K22" s="186"/>
      <c r="L22" s="186"/>
      <c r="M22" s="186"/>
      <c r="N22" s="186"/>
      <c r="O22" s="186"/>
      <c r="P22" s="187"/>
      <c r="Q22" s="182"/>
      <c r="R22" s="183"/>
      <c r="S22" s="183"/>
      <c r="T22" s="183"/>
      <c r="U22" s="183"/>
      <c r="V22" s="183"/>
      <c r="W22" s="183"/>
      <c r="X22" s="183"/>
      <c r="Y22" s="183"/>
      <c r="Z22" s="183"/>
      <c r="AA22" s="183"/>
      <c r="AB22" s="183"/>
      <c r="AC22" s="183"/>
      <c r="AD22" s="183"/>
      <c r="AE22" s="184"/>
      <c r="AF22" s="185"/>
      <c r="AG22" s="186"/>
      <c r="AH22" s="186"/>
      <c r="AI22" s="187"/>
    </row>
    <row r="23" spans="1:35" s="39" customFormat="1" ht="15" customHeight="1">
      <c r="A23" s="41"/>
      <c r="B23" s="173"/>
      <c r="C23" s="175"/>
      <c r="D23" s="201"/>
      <c r="E23" s="202"/>
      <c r="F23" s="203"/>
      <c r="G23" s="173"/>
      <c r="H23" s="174"/>
      <c r="I23" s="175"/>
      <c r="J23" s="185"/>
      <c r="K23" s="186"/>
      <c r="L23" s="186"/>
      <c r="M23" s="186"/>
      <c r="N23" s="186"/>
      <c r="O23" s="186"/>
      <c r="P23" s="187"/>
      <c r="Q23" s="182"/>
      <c r="R23" s="183"/>
      <c r="S23" s="183"/>
      <c r="T23" s="183"/>
      <c r="U23" s="183"/>
      <c r="V23" s="183"/>
      <c r="W23" s="183"/>
      <c r="X23" s="183"/>
      <c r="Y23" s="183"/>
      <c r="Z23" s="183"/>
      <c r="AA23" s="183"/>
      <c r="AB23" s="183"/>
      <c r="AC23" s="183"/>
      <c r="AD23" s="183"/>
      <c r="AE23" s="184"/>
      <c r="AF23" s="185"/>
      <c r="AG23" s="186"/>
      <c r="AH23" s="186"/>
      <c r="AI23" s="187"/>
    </row>
    <row r="24" spans="1:35" s="39" customFormat="1" ht="15" customHeight="1">
      <c r="A24" s="41"/>
      <c r="B24" s="173"/>
      <c r="C24" s="175"/>
      <c r="D24" s="201"/>
      <c r="E24" s="202"/>
      <c r="F24" s="203"/>
      <c r="G24" s="173"/>
      <c r="H24" s="174"/>
      <c r="I24" s="175"/>
      <c r="J24" s="185"/>
      <c r="K24" s="186"/>
      <c r="L24" s="186"/>
      <c r="M24" s="186"/>
      <c r="N24" s="186"/>
      <c r="O24" s="186"/>
      <c r="P24" s="187"/>
      <c r="Q24" s="182"/>
      <c r="R24" s="183"/>
      <c r="S24" s="183"/>
      <c r="T24" s="183"/>
      <c r="U24" s="183"/>
      <c r="V24" s="183"/>
      <c r="W24" s="183"/>
      <c r="X24" s="183"/>
      <c r="Y24" s="183"/>
      <c r="Z24" s="183"/>
      <c r="AA24" s="183"/>
      <c r="AB24" s="183"/>
      <c r="AC24" s="183"/>
      <c r="AD24" s="183"/>
      <c r="AE24" s="184"/>
      <c r="AF24" s="185"/>
      <c r="AG24" s="186"/>
      <c r="AH24" s="186"/>
      <c r="AI24" s="187"/>
    </row>
    <row r="25" spans="1:35" s="39" customFormat="1" ht="15" customHeight="1">
      <c r="A25" s="41"/>
      <c r="B25" s="173"/>
      <c r="C25" s="175"/>
      <c r="D25" s="201"/>
      <c r="E25" s="202"/>
      <c r="F25" s="203"/>
      <c r="G25" s="173"/>
      <c r="H25" s="174"/>
      <c r="I25" s="175"/>
      <c r="J25" s="185"/>
      <c r="K25" s="186"/>
      <c r="L25" s="186"/>
      <c r="M25" s="186"/>
      <c r="N25" s="186"/>
      <c r="O25" s="186"/>
      <c r="P25" s="187"/>
      <c r="Q25" s="182"/>
      <c r="R25" s="183"/>
      <c r="S25" s="183"/>
      <c r="T25" s="183"/>
      <c r="U25" s="183"/>
      <c r="V25" s="183"/>
      <c r="W25" s="183"/>
      <c r="X25" s="183"/>
      <c r="Y25" s="183"/>
      <c r="Z25" s="183"/>
      <c r="AA25" s="183"/>
      <c r="AB25" s="183"/>
      <c r="AC25" s="183"/>
      <c r="AD25" s="183"/>
      <c r="AE25" s="184"/>
      <c r="AF25" s="185"/>
      <c r="AG25" s="186"/>
      <c r="AH25" s="186"/>
      <c r="AI25" s="187"/>
    </row>
    <row r="26" spans="1:35" s="39" customFormat="1" ht="15" customHeight="1">
      <c r="A26" s="41"/>
      <c r="B26" s="173"/>
      <c r="C26" s="175"/>
      <c r="D26" s="201"/>
      <c r="E26" s="202"/>
      <c r="F26" s="203"/>
      <c r="G26" s="173"/>
      <c r="H26" s="174"/>
      <c r="I26" s="175"/>
      <c r="J26" s="185"/>
      <c r="K26" s="186"/>
      <c r="L26" s="186"/>
      <c r="M26" s="186"/>
      <c r="N26" s="186"/>
      <c r="O26" s="186"/>
      <c r="P26" s="187"/>
      <c r="Q26" s="182"/>
      <c r="R26" s="183"/>
      <c r="S26" s="183"/>
      <c r="T26" s="183"/>
      <c r="U26" s="183"/>
      <c r="V26" s="183"/>
      <c r="W26" s="183"/>
      <c r="X26" s="183"/>
      <c r="Y26" s="183"/>
      <c r="Z26" s="183"/>
      <c r="AA26" s="183"/>
      <c r="AB26" s="183"/>
      <c r="AC26" s="183"/>
      <c r="AD26" s="183"/>
      <c r="AE26" s="184"/>
      <c r="AF26" s="185"/>
      <c r="AG26" s="186"/>
      <c r="AH26" s="186"/>
      <c r="AI26" s="187"/>
    </row>
    <row r="27" spans="1:35" s="39" customFormat="1" ht="15" customHeight="1">
      <c r="A27" s="41"/>
      <c r="B27" s="173"/>
      <c r="C27" s="175"/>
      <c r="D27" s="201"/>
      <c r="E27" s="202"/>
      <c r="F27" s="203"/>
      <c r="G27" s="173"/>
      <c r="H27" s="174"/>
      <c r="I27" s="175"/>
      <c r="J27" s="185"/>
      <c r="K27" s="186"/>
      <c r="L27" s="186"/>
      <c r="M27" s="186"/>
      <c r="N27" s="186"/>
      <c r="O27" s="186"/>
      <c r="P27" s="187"/>
      <c r="Q27" s="182"/>
      <c r="R27" s="183"/>
      <c r="S27" s="183"/>
      <c r="T27" s="183"/>
      <c r="U27" s="183"/>
      <c r="V27" s="183"/>
      <c r="W27" s="183"/>
      <c r="X27" s="183"/>
      <c r="Y27" s="183"/>
      <c r="Z27" s="183"/>
      <c r="AA27" s="183"/>
      <c r="AB27" s="183"/>
      <c r="AC27" s="183"/>
      <c r="AD27" s="183"/>
      <c r="AE27" s="184"/>
      <c r="AF27" s="185"/>
      <c r="AG27" s="186"/>
      <c r="AH27" s="186"/>
      <c r="AI27" s="187"/>
    </row>
    <row r="28" spans="1:35" s="39" customFormat="1" ht="15" customHeight="1">
      <c r="A28" s="41"/>
      <c r="B28" s="173"/>
      <c r="C28" s="175"/>
      <c r="D28" s="201"/>
      <c r="E28" s="202"/>
      <c r="F28" s="203"/>
      <c r="G28" s="173"/>
      <c r="H28" s="174"/>
      <c r="I28" s="175"/>
      <c r="J28" s="185"/>
      <c r="K28" s="186"/>
      <c r="L28" s="186"/>
      <c r="M28" s="186"/>
      <c r="N28" s="186"/>
      <c r="O28" s="186"/>
      <c r="P28" s="187"/>
      <c r="Q28" s="182"/>
      <c r="R28" s="183"/>
      <c r="S28" s="183"/>
      <c r="T28" s="183"/>
      <c r="U28" s="183"/>
      <c r="V28" s="183"/>
      <c r="W28" s="183"/>
      <c r="X28" s="183"/>
      <c r="Y28" s="183"/>
      <c r="Z28" s="183"/>
      <c r="AA28" s="183"/>
      <c r="AB28" s="183"/>
      <c r="AC28" s="183"/>
      <c r="AD28" s="183"/>
      <c r="AE28" s="184"/>
      <c r="AF28" s="185"/>
      <c r="AG28" s="186"/>
      <c r="AH28" s="186"/>
      <c r="AI28" s="187"/>
    </row>
    <row r="29" spans="1:35" s="39" customFormat="1" ht="15" customHeight="1">
      <c r="A29" s="41"/>
      <c r="B29" s="173"/>
      <c r="C29" s="175"/>
      <c r="D29" s="201"/>
      <c r="E29" s="202"/>
      <c r="F29" s="203"/>
      <c r="G29" s="173"/>
      <c r="H29" s="174"/>
      <c r="I29" s="175"/>
      <c r="J29" s="185"/>
      <c r="K29" s="186"/>
      <c r="L29" s="186"/>
      <c r="M29" s="186"/>
      <c r="N29" s="186"/>
      <c r="O29" s="186"/>
      <c r="P29" s="187"/>
      <c r="Q29" s="182"/>
      <c r="R29" s="183"/>
      <c r="S29" s="183"/>
      <c r="T29" s="183"/>
      <c r="U29" s="183"/>
      <c r="V29" s="183"/>
      <c r="W29" s="183"/>
      <c r="X29" s="183"/>
      <c r="Y29" s="183"/>
      <c r="Z29" s="183"/>
      <c r="AA29" s="183"/>
      <c r="AB29" s="183"/>
      <c r="AC29" s="183"/>
      <c r="AD29" s="183"/>
      <c r="AE29" s="184"/>
      <c r="AF29" s="185"/>
      <c r="AG29" s="186"/>
      <c r="AH29" s="186"/>
      <c r="AI29" s="187"/>
    </row>
    <row r="30" spans="1:35" s="39" customFormat="1" ht="15" customHeight="1">
      <c r="A30" s="41"/>
      <c r="B30" s="173"/>
      <c r="C30" s="175"/>
      <c r="D30" s="201"/>
      <c r="E30" s="202"/>
      <c r="F30" s="203"/>
      <c r="G30" s="173"/>
      <c r="H30" s="174"/>
      <c r="I30" s="175"/>
      <c r="J30" s="185"/>
      <c r="K30" s="186"/>
      <c r="L30" s="186"/>
      <c r="M30" s="186"/>
      <c r="N30" s="186"/>
      <c r="O30" s="186"/>
      <c r="P30" s="187"/>
      <c r="Q30" s="182"/>
      <c r="R30" s="183"/>
      <c r="S30" s="183"/>
      <c r="T30" s="183"/>
      <c r="U30" s="183"/>
      <c r="V30" s="183"/>
      <c r="W30" s="183"/>
      <c r="X30" s="183"/>
      <c r="Y30" s="183"/>
      <c r="Z30" s="183"/>
      <c r="AA30" s="183"/>
      <c r="AB30" s="183"/>
      <c r="AC30" s="183"/>
      <c r="AD30" s="183"/>
      <c r="AE30" s="184"/>
      <c r="AF30" s="185"/>
      <c r="AG30" s="186"/>
      <c r="AH30" s="186"/>
      <c r="AI30" s="187"/>
    </row>
    <row r="31" spans="1:35" s="39" customFormat="1" ht="15" customHeight="1">
      <c r="A31" s="41"/>
      <c r="B31" s="173"/>
      <c r="C31" s="175"/>
      <c r="D31" s="201"/>
      <c r="E31" s="202"/>
      <c r="F31" s="203"/>
      <c r="G31" s="173"/>
      <c r="H31" s="174"/>
      <c r="I31" s="175"/>
      <c r="J31" s="185"/>
      <c r="K31" s="186"/>
      <c r="L31" s="186"/>
      <c r="M31" s="186"/>
      <c r="N31" s="186"/>
      <c r="O31" s="186"/>
      <c r="P31" s="187"/>
      <c r="Q31" s="182"/>
      <c r="R31" s="183"/>
      <c r="S31" s="183"/>
      <c r="T31" s="183"/>
      <c r="U31" s="183"/>
      <c r="V31" s="183"/>
      <c r="W31" s="183"/>
      <c r="X31" s="183"/>
      <c r="Y31" s="183"/>
      <c r="Z31" s="183"/>
      <c r="AA31" s="183"/>
      <c r="AB31" s="183"/>
      <c r="AC31" s="183"/>
      <c r="AD31" s="183"/>
      <c r="AE31" s="184"/>
      <c r="AF31" s="185"/>
      <c r="AG31" s="186"/>
      <c r="AH31" s="186"/>
      <c r="AI31" s="187"/>
    </row>
    <row r="32" spans="1:35" s="39" customFormat="1" ht="15" customHeight="1">
      <c r="A32" s="41"/>
      <c r="B32" s="173"/>
      <c r="C32" s="175"/>
      <c r="D32" s="201"/>
      <c r="E32" s="202"/>
      <c r="F32" s="203"/>
      <c r="G32" s="173"/>
      <c r="H32" s="174"/>
      <c r="I32" s="175"/>
      <c r="J32" s="185"/>
      <c r="K32" s="186"/>
      <c r="L32" s="186"/>
      <c r="M32" s="186"/>
      <c r="N32" s="186"/>
      <c r="O32" s="186"/>
      <c r="P32" s="187"/>
      <c r="Q32" s="182"/>
      <c r="R32" s="183"/>
      <c r="S32" s="183"/>
      <c r="T32" s="183"/>
      <c r="U32" s="183"/>
      <c r="V32" s="183"/>
      <c r="W32" s="183"/>
      <c r="X32" s="183"/>
      <c r="Y32" s="183"/>
      <c r="Z32" s="183"/>
      <c r="AA32" s="183"/>
      <c r="AB32" s="183"/>
      <c r="AC32" s="183"/>
      <c r="AD32" s="183"/>
      <c r="AE32" s="184"/>
      <c r="AF32" s="185"/>
      <c r="AG32" s="186"/>
      <c r="AH32" s="186"/>
      <c r="AI32" s="187"/>
    </row>
    <row r="33" spans="1:35" s="39" customFormat="1" ht="15" customHeight="1">
      <c r="A33" s="41"/>
      <c r="B33" s="173"/>
      <c r="C33" s="175"/>
      <c r="D33" s="201"/>
      <c r="E33" s="202"/>
      <c r="F33" s="203"/>
      <c r="G33" s="173"/>
      <c r="H33" s="174"/>
      <c r="I33" s="175"/>
      <c r="J33" s="185"/>
      <c r="K33" s="186"/>
      <c r="L33" s="186"/>
      <c r="M33" s="186"/>
      <c r="N33" s="186"/>
      <c r="O33" s="186"/>
      <c r="P33" s="187"/>
      <c r="Q33" s="182"/>
      <c r="R33" s="183"/>
      <c r="S33" s="183"/>
      <c r="T33" s="183"/>
      <c r="U33" s="183"/>
      <c r="V33" s="183"/>
      <c r="W33" s="183"/>
      <c r="X33" s="183"/>
      <c r="Y33" s="183"/>
      <c r="Z33" s="183"/>
      <c r="AA33" s="183"/>
      <c r="AB33" s="183"/>
      <c r="AC33" s="183"/>
      <c r="AD33" s="183"/>
      <c r="AE33" s="184"/>
      <c r="AF33" s="185"/>
      <c r="AG33" s="186"/>
      <c r="AH33" s="186"/>
      <c r="AI33" s="187"/>
    </row>
    <row r="34" spans="1:35" s="39" customFormat="1" ht="15" customHeight="1">
      <c r="A34"/>
      <c r="B34"/>
      <c r="C34"/>
      <c r="D34"/>
      <c r="E34"/>
      <c r="F34"/>
      <c r="G34"/>
      <c r="H34"/>
      <c r="I34"/>
      <c r="J34"/>
      <c r="K34"/>
      <c r="L34"/>
      <c r="M34"/>
      <c r="N34"/>
      <c r="O34"/>
      <c r="P34"/>
      <c r="Q34"/>
      <c r="R34"/>
      <c r="S34"/>
      <c r="T34"/>
      <c r="U34"/>
      <c r="V34"/>
      <c r="W34"/>
      <c r="X34"/>
      <c r="Y34"/>
      <c r="Z34"/>
      <c r="AA34"/>
      <c r="AB34"/>
      <c r="AC34"/>
      <c r="AD34"/>
      <c r="AE34"/>
      <c r="AF34"/>
      <c r="AG34"/>
      <c r="AH34"/>
      <c r="AI34"/>
    </row>
  </sheetData>
  <mergeCells count="179">
    <mergeCell ref="A1:D1"/>
    <mergeCell ref="A2:D2"/>
    <mergeCell ref="A3:D3"/>
    <mergeCell ref="O1:R3"/>
    <mergeCell ref="AA1:AB1"/>
    <mergeCell ref="AA2:AB2"/>
    <mergeCell ref="AA3:AB3"/>
    <mergeCell ref="Q30:AE30"/>
    <mergeCell ref="AF30:AI30"/>
    <mergeCell ref="Q26:AE26"/>
    <mergeCell ref="AF26:AI26"/>
    <mergeCell ref="J27:P27"/>
    <mergeCell ref="Q27:AE27"/>
    <mergeCell ref="AF27:AI27"/>
    <mergeCell ref="J28:P28"/>
    <mergeCell ref="Q28:AE28"/>
    <mergeCell ref="AF28:AI28"/>
    <mergeCell ref="J29:P29"/>
    <mergeCell ref="Q29:AE29"/>
    <mergeCell ref="AF29:AI29"/>
    <mergeCell ref="Q22:AE22"/>
    <mergeCell ref="AF22:AI22"/>
    <mergeCell ref="J23:P23"/>
    <mergeCell ref="Q23:AE23"/>
    <mergeCell ref="AF23:AI23"/>
    <mergeCell ref="J24:P24"/>
    <mergeCell ref="Q24:AE24"/>
    <mergeCell ref="AF24:AI24"/>
    <mergeCell ref="J25:P25"/>
    <mergeCell ref="Q25:AE25"/>
    <mergeCell ref="AF25:AI25"/>
    <mergeCell ref="J17:P17"/>
    <mergeCell ref="Q17:AE17"/>
    <mergeCell ref="AF17:AI17"/>
    <mergeCell ref="J18:P18"/>
    <mergeCell ref="Q18:AE18"/>
    <mergeCell ref="AF18:AI18"/>
    <mergeCell ref="J19:P19"/>
    <mergeCell ref="Q19:AE19"/>
    <mergeCell ref="AF19:AI19"/>
    <mergeCell ref="B27:C27"/>
    <mergeCell ref="D27:F27"/>
    <mergeCell ref="G27:I27"/>
    <mergeCell ref="B28:C28"/>
    <mergeCell ref="D28:F28"/>
    <mergeCell ref="G28:I28"/>
    <mergeCell ref="D29:F29"/>
    <mergeCell ref="G29:I29"/>
    <mergeCell ref="B30:C30"/>
    <mergeCell ref="D30:F30"/>
    <mergeCell ref="G30:I30"/>
    <mergeCell ref="B33:C33"/>
    <mergeCell ref="B31:C31"/>
    <mergeCell ref="D31:F31"/>
    <mergeCell ref="G31:I31"/>
    <mergeCell ref="B32:C32"/>
    <mergeCell ref="D32:F32"/>
    <mergeCell ref="G32:I32"/>
    <mergeCell ref="J31:P31"/>
    <mergeCell ref="B29:C29"/>
    <mergeCell ref="J30:P30"/>
    <mergeCell ref="Q31:AE31"/>
    <mergeCell ref="AF31:AI31"/>
    <mergeCell ref="J32:P32"/>
    <mergeCell ref="Q32:AE32"/>
    <mergeCell ref="AF32:AI32"/>
    <mergeCell ref="J33:P33"/>
    <mergeCell ref="Q33:AE33"/>
    <mergeCell ref="AF33:AI33"/>
    <mergeCell ref="D33:F33"/>
    <mergeCell ref="G33:I33"/>
    <mergeCell ref="D22:F22"/>
    <mergeCell ref="G23:I23"/>
    <mergeCell ref="B25:C25"/>
    <mergeCell ref="D25:F25"/>
    <mergeCell ref="G25:I25"/>
    <mergeCell ref="J20:P20"/>
    <mergeCell ref="D24:F24"/>
    <mergeCell ref="G24:I24"/>
    <mergeCell ref="B26:C26"/>
    <mergeCell ref="D26:F26"/>
    <mergeCell ref="B23:C23"/>
    <mergeCell ref="D23:F23"/>
    <mergeCell ref="G26:I26"/>
    <mergeCell ref="B22:C22"/>
    <mergeCell ref="G22:I22"/>
    <mergeCell ref="J22:P22"/>
    <mergeCell ref="J26:P26"/>
    <mergeCell ref="B21:C21"/>
    <mergeCell ref="D21:F21"/>
    <mergeCell ref="B24:C24"/>
    <mergeCell ref="B19:C19"/>
    <mergeCell ref="D19:F19"/>
    <mergeCell ref="G19:I19"/>
    <mergeCell ref="G21:I21"/>
    <mergeCell ref="Q20:AE20"/>
    <mergeCell ref="AF20:AI20"/>
    <mergeCell ref="J21:P21"/>
    <mergeCell ref="Q21:AE21"/>
    <mergeCell ref="AF21:AI21"/>
    <mergeCell ref="G20:I20"/>
    <mergeCell ref="B20:C20"/>
    <mergeCell ref="D20:F20"/>
    <mergeCell ref="B17:C17"/>
    <mergeCell ref="D17:F17"/>
    <mergeCell ref="G17:I17"/>
    <mergeCell ref="B18:C18"/>
    <mergeCell ref="D18:F18"/>
    <mergeCell ref="G18:I18"/>
    <mergeCell ref="G16:I16"/>
    <mergeCell ref="B15:C15"/>
    <mergeCell ref="D15:F15"/>
    <mergeCell ref="G15:I15"/>
    <mergeCell ref="B16:C16"/>
    <mergeCell ref="D16:F16"/>
    <mergeCell ref="J14:P14"/>
    <mergeCell ref="Q14:AE14"/>
    <mergeCell ref="AF14:AI14"/>
    <mergeCell ref="J15:P15"/>
    <mergeCell ref="Q15:AE15"/>
    <mergeCell ref="AF15:AI15"/>
    <mergeCell ref="J16:P16"/>
    <mergeCell ref="B13:C13"/>
    <mergeCell ref="D13:F13"/>
    <mergeCell ref="G13:I13"/>
    <mergeCell ref="B14:C14"/>
    <mergeCell ref="D14:F14"/>
    <mergeCell ref="G14:I14"/>
    <mergeCell ref="J13:P13"/>
    <mergeCell ref="Q13:AE13"/>
    <mergeCell ref="AF13:AI13"/>
    <mergeCell ref="Q16:AE16"/>
    <mergeCell ref="AF16:AI16"/>
    <mergeCell ref="B11:C11"/>
    <mergeCell ref="D11:F11"/>
    <mergeCell ref="G11:I11"/>
    <mergeCell ref="B12:C12"/>
    <mergeCell ref="D12:F12"/>
    <mergeCell ref="G12:I12"/>
    <mergeCell ref="J12:P12"/>
    <mergeCell ref="Q12:AE12"/>
    <mergeCell ref="AF12:AI12"/>
    <mergeCell ref="J11:P11"/>
    <mergeCell ref="Q11:AE11"/>
    <mergeCell ref="AF11:AI11"/>
    <mergeCell ref="B9:C9"/>
    <mergeCell ref="D9:F9"/>
    <mergeCell ref="G9:I9"/>
    <mergeCell ref="B10:C10"/>
    <mergeCell ref="D10:F10"/>
    <mergeCell ref="B7:C7"/>
    <mergeCell ref="D7:F7"/>
    <mergeCell ref="G7:I7"/>
    <mergeCell ref="J7:P7"/>
    <mergeCell ref="B8:C8"/>
    <mergeCell ref="D8:F8"/>
    <mergeCell ref="G8:I8"/>
    <mergeCell ref="J9:P9"/>
    <mergeCell ref="J10:P10"/>
    <mergeCell ref="AC1:AF1"/>
    <mergeCell ref="Q8:AE8"/>
    <mergeCell ref="AG1:AI1"/>
    <mergeCell ref="AC2:AF2"/>
    <mergeCell ref="AG2:AI2"/>
    <mergeCell ref="AC3:AF3"/>
    <mergeCell ref="AG3:AI3"/>
    <mergeCell ref="G10:I10"/>
    <mergeCell ref="Q7:AE7"/>
    <mergeCell ref="AF7:AI7"/>
    <mergeCell ref="E1:N1"/>
    <mergeCell ref="E2:N2"/>
    <mergeCell ref="E3:N3"/>
    <mergeCell ref="Q9:AE9"/>
    <mergeCell ref="AF9:AI9"/>
    <mergeCell ref="Q10:AE10"/>
    <mergeCell ref="AF10:AI10"/>
    <mergeCell ref="J8:P8"/>
    <mergeCell ref="AF8:AI8"/>
    <mergeCell ref="S1:Z3"/>
  </mergeCells>
  <phoneticPr fontId="14"/>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I49"/>
  <sheetViews>
    <sheetView showGridLines="0" view="pageBreakPreview" zoomScaleNormal="100" zoomScaleSheetLayoutView="100" workbookViewId="0">
      <selection sqref="A1:D1"/>
    </sheetView>
  </sheetViews>
  <sheetFormatPr defaultColWidth="4.83203125" defaultRowHeight="15" customHeight="1"/>
  <cols>
    <col min="1" max="16" width="4.83203125" style="44" customWidth="1"/>
    <col min="17" max="17" width="4.83203125" style="37" customWidth="1"/>
    <col min="18" max="33" width="4.83203125" style="44" customWidth="1"/>
    <col min="34" max="34" width="4.83203125" style="37" customWidth="1"/>
    <col min="35" max="256" width="4.83203125" style="44"/>
    <col min="257" max="290" width="4.83203125" style="44" customWidth="1"/>
    <col min="291" max="512" width="4.83203125" style="44"/>
    <col min="513" max="546" width="4.83203125" style="44" customWidth="1"/>
    <col min="547" max="768" width="4.83203125" style="44"/>
    <col min="769" max="802" width="4.83203125" style="44" customWidth="1"/>
    <col min="803" max="1024" width="4.83203125" style="44"/>
    <col min="1025" max="1058" width="4.83203125" style="44" customWidth="1"/>
    <col min="1059" max="1280" width="4.83203125" style="44"/>
    <col min="1281" max="1314" width="4.83203125" style="44" customWidth="1"/>
    <col min="1315" max="1536" width="4.83203125" style="44"/>
    <col min="1537" max="1570" width="4.83203125" style="44" customWidth="1"/>
    <col min="1571" max="1792" width="4.83203125" style="44"/>
    <col min="1793" max="1826" width="4.83203125" style="44" customWidth="1"/>
    <col min="1827" max="2048" width="4.83203125" style="44"/>
    <col min="2049" max="2082" width="4.83203125" style="44" customWidth="1"/>
    <col min="2083" max="2304" width="4.83203125" style="44"/>
    <col min="2305" max="2338" width="4.83203125" style="44" customWidth="1"/>
    <col min="2339" max="2560" width="4.83203125" style="44"/>
    <col min="2561" max="2594" width="4.83203125" style="44" customWidth="1"/>
    <col min="2595" max="2816" width="4.83203125" style="44"/>
    <col min="2817" max="2850" width="4.83203125" style="44" customWidth="1"/>
    <col min="2851" max="3072" width="4.83203125" style="44"/>
    <col min="3073" max="3106" width="4.83203125" style="44" customWidth="1"/>
    <col min="3107" max="3328" width="4.83203125" style="44"/>
    <col min="3329" max="3362" width="4.83203125" style="44" customWidth="1"/>
    <col min="3363" max="3584" width="4.83203125" style="44"/>
    <col min="3585" max="3618" width="4.83203125" style="44" customWidth="1"/>
    <col min="3619" max="3840" width="4.83203125" style="44"/>
    <col min="3841" max="3874" width="4.83203125" style="44" customWidth="1"/>
    <col min="3875" max="4096" width="4.83203125" style="44"/>
    <col min="4097" max="4130" width="4.83203125" style="44" customWidth="1"/>
    <col min="4131" max="4352" width="4.83203125" style="44"/>
    <col min="4353" max="4386" width="4.83203125" style="44" customWidth="1"/>
    <col min="4387" max="4608" width="4.83203125" style="44"/>
    <col min="4609" max="4642" width="4.83203125" style="44" customWidth="1"/>
    <col min="4643" max="4864" width="4.83203125" style="44"/>
    <col min="4865" max="4898" width="4.83203125" style="44" customWidth="1"/>
    <col min="4899" max="5120" width="4.83203125" style="44"/>
    <col min="5121" max="5154" width="4.83203125" style="44" customWidth="1"/>
    <col min="5155" max="5376" width="4.83203125" style="44"/>
    <col min="5377" max="5410" width="4.83203125" style="44" customWidth="1"/>
    <col min="5411" max="5632" width="4.83203125" style="44"/>
    <col min="5633" max="5666" width="4.83203125" style="44" customWidth="1"/>
    <col min="5667" max="5888" width="4.83203125" style="44"/>
    <col min="5889" max="5922" width="4.83203125" style="44" customWidth="1"/>
    <col min="5923" max="6144" width="4.83203125" style="44"/>
    <col min="6145" max="6178" width="4.83203125" style="44" customWidth="1"/>
    <col min="6179" max="6400" width="4.83203125" style="44"/>
    <col min="6401" max="6434" width="4.83203125" style="44" customWidth="1"/>
    <col min="6435" max="6656" width="4.83203125" style="44"/>
    <col min="6657" max="6690" width="4.83203125" style="44" customWidth="1"/>
    <col min="6691" max="6912" width="4.83203125" style="44"/>
    <col min="6913" max="6946" width="4.83203125" style="44" customWidth="1"/>
    <col min="6947" max="7168" width="4.83203125" style="44"/>
    <col min="7169" max="7202" width="4.83203125" style="44" customWidth="1"/>
    <col min="7203" max="7424" width="4.83203125" style="44"/>
    <col min="7425" max="7458" width="4.83203125" style="44" customWidth="1"/>
    <col min="7459" max="7680" width="4.83203125" style="44"/>
    <col min="7681" max="7714" width="4.83203125" style="44" customWidth="1"/>
    <col min="7715" max="7936" width="4.83203125" style="44"/>
    <col min="7937" max="7970" width="4.83203125" style="44" customWidth="1"/>
    <col min="7971" max="8192" width="4.83203125" style="44"/>
    <col min="8193" max="8226" width="4.83203125" style="44" customWidth="1"/>
    <col min="8227" max="8448" width="4.83203125" style="44"/>
    <col min="8449" max="8482" width="4.83203125" style="44" customWidth="1"/>
    <col min="8483" max="8704" width="4.83203125" style="44"/>
    <col min="8705" max="8738" width="4.83203125" style="44" customWidth="1"/>
    <col min="8739" max="8960" width="4.83203125" style="44"/>
    <col min="8961" max="8994" width="4.83203125" style="44" customWidth="1"/>
    <col min="8995" max="9216" width="4.83203125" style="44"/>
    <col min="9217" max="9250" width="4.83203125" style="44" customWidth="1"/>
    <col min="9251" max="9472" width="4.83203125" style="44"/>
    <col min="9473" max="9506" width="4.83203125" style="44" customWidth="1"/>
    <col min="9507" max="9728" width="4.83203125" style="44"/>
    <col min="9729" max="9762" width="4.83203125" style="44" customWidth="1"/>
    <col min="9763" max="9984" width="4.83203125" style="44"/>
    <col min="9985" max="10018" width="4.83203125" style="44" customWidth="1"/>
    <col min="10019" max="10240" width="4.83203125" style="44"/>
    <col min="10241" max="10274" width="4.83203125" style="44" customWidth="1"/>
    <col min="10275" max="10496" width="4.83203125" style="44"/>
    <col min="10497" max="10530" width="4.83203125" style="44" customWidth="1"/>
    <col min="10531" max="10752" width="4.83203125" style="44"/>
    <col min="10753" max="10786" width="4.83203125" style="44" customWidth="1"/>
    <col min="10787" max="11008" width="4.83203125" style="44"/>
    <col min="11009" max="11042" width="4.83203125" style="44" customWidth="1"/>
    <col min="11043" max="11264" width="4.83203125" style="44"/>
    <col min="11265" max="11298" width="4.83203125" style="44" customWidth="1"/>
    <col min="11299" max="11520" width="4.83203125" style="44"/>
    <col min="11521" max="11554" width="4.83203125" style="44" customWidth="1"/>
    <col min="11555" max="11776" width="4.83203125" style="44"/>
    <col min="11777" max="11810" width="4.83203125" style="44" customWidth="1"/>
    <col min="11811" max="12032" width="4.83203125" style="44"/>
    <col min="12033" max="12066" width="4.83203125" style="44" customWidth="1"/>
    <col min="12067" max="12288" width="4.83203125" style="44"/>
    <col min="12289" max="12322" width="4.83203125" style="44" customWidth="1"/>
    <col min="12323" max="12544" width="4.83203125" style="44"/>
    <col min="12545" max="12578" width="4.83203125" style="44" customWidth="1"/>
    <col min="12579" max="12800" width="4.83203125" style="44"/>
    <col min="12801" max="12834" width="4.83203125" style="44" customWidth="1"/>
    <col min="12835" max="13056" width="4.83203125" style="44"/>
    <col min="13057" max="13090" width="4.83203125" style="44" customWidth="1"/>
    <col min="13091" max="13312" width="4.83203125" style="44"/>
    <col min="13313" max="13346" width="4.83203125" style="44" customWidth="1"/>
    <col min="13347" max="13568" width="4.83203125" style="44"/>
    <col min="13569" max="13602" width="4.83203125" style="44" customWidth="1"/>
    <col min="13603" max="13824" width="4.83203125" style="44"/>
    <col min="13825" max="13858" width="4.83203125" style="44" customWidth="1"/>
    <col min="13859" max="14080" width="4.83203125" style="44"/>
    <col min="14081" max="14114" width="4.83203125" style="44" customWidth="1"/>
    <col min="14115" max="14336" width="4.83203125" style="44"/>
    <col min="14337" max="14370" width="4.83203125" style="44" customWidth="1"/>
    <col min="14371" max="14592" width="4.83203125" style="44"/>
    <col min="14593" max="14626" width="4.83203125" style="44" customWidth="1"/>
    <col min="14627" max="14848" width="4.83203125" style="44"/>
    <col min="14849" max="14882" width="4.83203125" style="44" customWidth="1"/>
    <col min="14883" max="15104" width="4.83203125" style="44"/>
    <col min="15105" max="15138" width="4.83203125" style="44" customWidth="1"/>
    <col min="15139" max="15360" width="4.83203125" style="44"/>
    <col min="15361" max="15394" width="4.83203125" style="44" customWidth="1"/>
    <col min="15395" max="15616" width="4.83203125" style="44"/>
    <col min="15617" max="15650" width="4.83203125" style="44" customWidth="1"/>
    <col min="15651" max="15872" width="4.83203125" style="44"/>
    <col min="15873" max="15906" width="4.83203125" style="44" customWidth="1"/>
    <col min="15907" max="16128" width="4.83203125" style="44"/>
    <col min="16129" max="16162" width="4.83203125" style="44" customWidth="1"/>
    <col min="16163" max="16384" width="4.83203125" style="44"/>
  </cols>
  <sheetData>
    <row r="1" spans="1:35" s="11" customFormat="1" ht="11.25">
      <c r="A1" s="210" t="s">
        <v>0</v>
      </c>
      <c r="B1" s="211"/>
      <c r="C1" s="211"/>
      <c r="D1" s="212"/>
      <c r="E1" s="227" t="str">
        <f ca="1">IF(INDIRECT("変更履歴!E1")&lt;&gt;"",INDIRECT("変更履歴!E1"),"")</f>
        <v>サンプルプロジェクト</v>
      </c>
      <c r="F1" s="180"/>
      <c r="G1" s="180"/>
      <c r="H1" s="180"/>
      <c r="I1" s="180"/>
      <c r="J1" s="180"/>
      <c r="K1" s="180"/>
      <c r="L1" s="180"/>
      <c r="M1" s="180"/>
      <c r="N1" s="181"/>
      <c r="O1" s="213" t="s">
        <v>60</v>
      </c>
      <c r="P1" s="214"/>
      <c r="Q1" s="214"/>
      <c r="R1" s="215"/>
      <c r="S1" s="228" t="str">
        <f ca="1">IF(INDIRECT("変更履歴!S1")&lt;&gt;"",INDIRECT("変更履歴!S1"),"")</f>
        <v>システム機能設計書（画面）
WA10201/プロジェクト登録</v>
      </c>
      <c r="T1" s="229"/>
      <c r="U1" s="229"/>
      <c r="V1" s="229"/>
      <c r="W1" s="229"/>
      <c r="X1" s="229"/>
      <c r="Y1" s="229"/>
      <c r="Z1" s="230"/>
      <c r="AA1" s="210" t="s">
        <v>3</v>
      </c>
      <c r="AB1" s="212"/>
      <c r="AC1" s="160" t="str">
        <f ca="1">IF(INDIRECT("変更履歴!AC1")&lt;&gt;"",INDIRECT("変更履歴!AC1"),"")</f>
        <v>TIS</v>
      </c>
      <c r="AD1" s="161"/>
      <c r="AE1" s="161"/>
      <c r="AF1" s="162"/>
      <c r="AG1" s="224">
        <f ca="1">IF(INDIRECT("変更履歴!AG1")&lt;&gt;"",INDIRECT("変更履歴!AG1"),"")</f>
        <v>43598</v>
      </c>
      <c r="AH1" s="225"/>
      <c r="AI1" s="226"/>
    </row>
    <row r="2" spans="1:35" s="11" customFormat="1" ht="11.25">
      <c r="A2" s="210" t="s">
        <v>1</v>
      </c>
      <c r="B2" s="211"/>
      <c r="C2" s="211"/>
      <c r="D2" s="212"/>
      <c r="E2" s="227" t="str">
        <f ca="1">IF(INDIRECT("変更履歴!E2")&lt;&gt;"",INDIRECT("変更履歴!E2"),"")</f>
        <v>サンプルシステム</v>
      </c>
      <c r="F2" s="180"/>
      <c r="G2" s="180"/>
      <c r="H2" s="180"/>
      <c r="I2" s="180"/>
      <c r="J2" s="180"/>
      <c r="K2" s="180"/>
      <c r="L2" s="180"/>
      <c r="M2" s="180"/>
      <c r="N2" s="181"/>
      <c r="O2" s="216"/>
      <c r="P2" s="217"/>
      <c r="Q2" s="217"/>
      <c r="R2" s="218"/>
      <c r="S2" s="231"/>
      <c r="T2" s="232"/>
      <c r="U2" s="232"/>
      <c r="V2" s="232"/>
      <c r="W2" s="232"/>
      <c r="X2" s="232"/>
      <c r="Y2" s="232"/>
      <c r="Z2" s="233"/>
      <c r="AA2" s="210" t="s">
        <v>4</v>
      </c>
      <c r="AB2" s="212"/>
      <c r="AC2" s="160" t="str">
        <f ca="1">IF(INDIRECT("変更履歴!AC2")&lt;&gt;"",INDIRECT("変更履歴!AC2"),"")</f>
        <v>TIS</v>
      </c>
      <c r="AD2" s="161"/>
      <c r="AE2" s="161"/>
      <c r="AF2" s="162"/>
      <c r="AG2" s="224">
        <f ca="1">IF(INDIRECT("変更履歴!AG2")&lt;&gt;"",INDIRECT("変更履歴!AG2"),"")</f>
        <v>44908</v>
      </c>
      <c r="AH2" s="225"/>
      <c r="AI2" s="226"/>
    </row>
    <row r="3" spans="1:35" s="11" customFormat="1" ht="11.25">
      <c r="A3" s="210" t="s">
        <v>2</v>
      </c>
      <c r="B3" s="211"/>
      <c r="C3" s="211"/>
      <c r="D3" s="212"/>
      <c r="E3" s="227" t="str">
        <f ca="1">IF(INDIRECT("変更履歴!E3")&lt;&gt;"",INDIRECT("変更履歴!E3"),"")</f>
        <v>プロジェクト管理システム</v>
      </c>
      <c r="F3" s="180"/>
      <c r="G3" s="180"/>
      <c r="H3" s="180"/>
      <c r="I3" s="180"/>
      <c r="J3" s="180"/>
      <c r="K3" s="180"/>
      <c r="L3" s="180"/>
      <c r="M3" s="180"/>
      <c r="N3" s="181"/>
      <c r="O3" s="219"/>
      <c r="P3" s="220"/>
      <c r="Q3" s="220"/>
      <c r="R3" s="221"/>
      <c r="S3" s="234"/>
      <c r="T3" s="235"/>
      <c r="U3" s="235"/>
      <c r="V3" s="235"/>
      <c r="W3" s="235"/>
      <c r="X3" s="235"/>
      <c r="Y3" s="235"/>
      <c r="Z3" s="236"/>
      <c r="AA3" s="210"/>
      <c r="AB3" s="212"/>
      <c r="AC3" s="160" t="str">
        <f ca="1">IF(INDIRECT("変更履歴!AC3")&lt;&gt;"",INDIRECT("変更履歴!AC3"),"")</f>
        <v/>
      </c>
      <c r="AD3" s="161"/>
      <c r="AE3" s="161"/>
      <c r="AF3" s="162"/>
      <c r="AG3" s="224" t="str">
        <f ca="1">IF(INDIRECT("変更履歴!AG3")&lt;&gt;"",INDIRECT("変更履歴!AG3"),"")</f>
        <v/>
      </c>
      <c r="AH3" s="225"/>
      <c r="AI3" s="226"/>
    </row>
    <row r="4" spans="1:35" s="29" customFormat="1" ht="19.5"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28"/>
      <c r="AD4" s="16"/>
      <c r="AE4" s="16"/>
      <c r="AF4" s="16"/>
      <c r="AG4" s="16"/>
      <c r="AH4" s="16"/>
      <c r="AI4" s="16"/>
    </row>
    <row r="5" spans="1:35" s="29" customFormat="1" ht="15" customHeight="1">
      <c r="A5" s="16"/>
      <c r="B5" s="16"/>
      <c r="C5" s="16"/>
      <c r="D5" s="16"/>
      <c r="E5" s="16"/>
      <c r="F5" s="16"/>
      <c r="G5" s="16"/>
      <c r="H5" s="16"/>
      <c r="I5" s="16"/>
      <c r="J5" s="16"/>
      <c r="K5" s="16"/>
      <c r="L5" s="16"/>
      <c r="M5" s="16"/>
      <c r="N5" s="16"/>
      <c r="O5" s="16"/>
      <c r="P5" s="16"/>
      <c r="Q5" s="8" t="s">
        <v>61</v>
      </c>
      <c r="R5" s="16"/>
      <c r="S5" s="16"/>
      <c r="T5" s="16"/>
      <c r="U5" s="16"/>
      <c r="V5" s="16"/>
      <c r="W5" s="16"/>
      <c r="X5" s="16"/>
      <c r="Y5" s="16"/>
      <c r="Z5" s="16"/>
      <c r="AA5" s="16"/>
      <c r="AB5" s="16"/>
      <c r="AC5" s="28"/>
      <c r="AD5" s="16"/>
      <c r="AE5" s="16"/>
      <c r="AF5" s="16"/>
      <c r="AG5" s="16"/>
      <c r="AH5" s="16"/>
      <c r="AI5" s="16"/>
    </row>
    <row r="6" spans="1:35" s="26" customFormat="1" ht="15" customHeight="1">
      <c r="A6"/>
      <c r="B6"/>
      <c r="C6"/>
      <c r="D6"/>
      <c r="E6"/>
      <c r="F6"/>
      <c r="G6"/>
      <c r="H6"/>
      <c r="I6"/>
      <c r="J6"/>
      <c r="K6"/>
      <c r="L6"/>
      <c r="M6"/>
      <c r="N6"/>
      <c r="O6"/>
      <c r="P6"/>
      <c r="Q6"/>
      <c r="R6"/>
      <c r="S6"/>
      <c r="T6"/>
      <c r="U6"/>
      <c r="V6"/>
      <c r="W6"/>
      <c r="X6"/>
      <c r="Y6"/>
      <c r="Z6"/>
      <c r="AA6"/>
      <c r="AB6"/>
      <c r="AC6" s="42"/>
      <c r="AD6"/>
      <c r="AE6"/>
      <c r="AF6"/>
      <c r="AG6"/>
      <c r="AH6"/>
      <c r="AI6"/>
    </row>
    <row r="7" spans="1:35" ht="15" customHeight="1">
      <c r="A7"/>
      <c r="B7" s="30" t="s">
        <v>42</v>
      </c>
      <c r="C7" s="30"/>
      <c r="D7"/>
      <c r="E7"/>
      <c r="F7"/>
      <c r="G7"/>
      <c r="H7"/>
      <c r="I7"/>
      <c r="J7"/>
      <c r="K7"/>
      <c r="L7"/>
      <c r="M7"/>
      <c r="N7" s="43"/>
      <c r="O7"/>
      <c r="P7" s="42"/>
      <c r="Q7"/>
      <c r="R7" s="42"/>
      <c r="S7"/>
      <c r="T7"/>
      <c r="U7"/>
      <c r="V7"/>
      <c r="W7"/>
      <c r="X7"/>
      <c r="Y7"/>
      <c r="Z7"/>
      <c r="AA7"/>
      <c r="AB7"/>
      <c r="AC7"/>
      <c r="AD7"/>
      <c r="AE7"/>
      <c r="AF7"/>
      <c r="AG7" s="42"/>
      <c r="AH7" s="31"/>
      <c r="AI7"/>
    </row>
    <row r="8" spans="1:35" ht="15" customHeight="1">
      <c r="A8"/>
      <c r="B8" s="30"/>
      <c r="C8" s="30" t="s">
        <v>62</v>
      </c>
      <c r="D8"/>
      <c r="E8"/>
      <c r="F8"/>
      <c r="G8"/>
      <c r="H8"/>
      <c r="I8"/>
      <c r="J8"/>
      <c r="K8"/>
      <c r="L8"/>
      <c r="M8"/>
      <c r="N8" s="43"/>
      <c r="O8"/>
      <c r="P8" s="42"/>
      <c r="Q8"/>
      <c r="R8" s="42"/>
      <c r="S8"/>
      <c r="T8"/>
      <c r="U8"/>
      <c r="V8"/>
      <c r="W8"/>
      <c r="X8"/>
      <c r="Y8"/>
      <c r="Z8"/>
      <c r="AA8"/>
      <c r="AB8"/>
      <c r="AC8"/>
      <c r="AD8"/>
      <c r="AE8"/>
      <c r="AF8" s="42"/>
      <c r="AG8" s="42"/>
      <c r="AH8" s="31"/>
      <c r="AI8"/>
    </row>
    <row r="9" spans="1:35" ht="15" customHeight="1">
      <c r="A9"/>
      <c r="B9"/>
      <c r="C9" s="30"/>
      <c r="D9"/>
      <c r="E9"/>
      <c r="F9"/>
      <c r="G9"/>
      <c r="H9"/>
      <c r="I9"/>
      <c r="J9"/>
      <c r="K9"/>
      <c r="L9"/>
      <c r="M9"/>
      <c r="N9" s="43"/>
      <c r="O9"/>
      <c r="P9" s="42"/>
      <c r="Q9"/>
      <c r="R9" s="42"/>
      <c r="S9"/>
      <c r="T9"/>
      <c r="U9"/>
      <c r="V9"/>
      <c r="W9"/>
      <c r="X9"/>
      <c r="Y9"/>
      <c r="Z9"/>
      <c r="AA9"/>
      <c r="AB9"/>
      <c r="AC9"/>
      <c r="AD9"/>
      <c r="AE9"/>
      <c r="AF9"/>
      <c r="AG9"/>
      <c r="AH9" s="31"/>
      <c r="AI9"/>
    </row>
    <row r="10" spans="1:35" ht="15" customHeight="1">
      <c r="A10"/>
      <c r="B10" s="30" t="s">
        <v>182</v>
      </c>
      <c r="C10"/>
      <c r="D10"/>
      <c r="E10"/>
      <c r="F10"/>
      <c r="G10"/>
      <c r="H10"/>
      <c r="I10"/>
      <c r="J10"/>
      <c r="K10"/>
      <c r="L10"/>
      <c r="M10"/>
      <c r="N10" s="43"/>
      <c r="O10"/>
      <c r="P10" s="42"/>
      <c r="Q10"/>
      <c r="R10" s="42"/>
      <c r="S10"/>
      <c r="T10"/>
      <c r="U10"/>
      <c r="V10"/>
      <c r="W10"/>
      <c r="X10"/>
      <c r="Y10"/>
      <c r="Z10"/>
      <c r="AA10"/>
      <c r="AB10"/>
      <c r="AC10"/>
      <c r="AD10"/>
      <c r="AE10"/>
      <c r="AF10"/>
      <c r="AG10" s="42"/>
      <c r="AH10" s="31"/>
      <c r="AI10"/>
    </row>
    <row r="11" spans="1:35" ht="15" customHeight="1">
      <c r="A11"/>
      <c r="B11"/>
      <c r="C11" s="30" t="s">
        <v>63</v>
      </c>
      <c r="D11"/>
      <c r="E11"/>
      <c r="F11"/>
      <c r="G11"/>
      <c r="H11"/>
      <c r="I11"/>
      <c r="J11"/>
      <c r="K11"/>
      <c r="L11"/>
      <c r="M11"/>
      <c r="N11" s="43"/>
      <c r="O11"/>
      <c r="P11" s="42"/>
      <c r="Q11"/>
      <c r="R11" s="42"/>
      <c r="S11"/>
      <c r="T11"/>
      <c r="U11"/>
      <c r="V11"/>
      <c r="W11"/>
      <c r="X11"/>
      <c r="Y11"/>
      <c r="Z11"/>
      <c r="AA11"/>
      <c r="AB11"/>
      <c r="AC11"/>
      <c r="AD11"/>
      <c r="AE11"/>
      <c r="AF11"/>
      <c r="AG11" s="42"/>
      <c r="AH11" s="31"/>
      <c r="AI11"/>
    </row>
    <row r="12" spans="1:35" ht="15" customHeight="1">
      <c r="A12"/>
      <c r="B12"/>
      <c r="C12" t="s">
        <v>64</v>
      </c>
      <c r="I12"/>
      <c r="J12"/>
      <c r="K12"/>
      <c r="L12"/>
      <c r="M12"/>
      <c r="N12" s="43"/>
      <c r="O12"/>
      <c r="P12" s="42"/>
      <c r="Q12"/>
      <c r="R12" s="42"/>
      <c r="S12"/>
      <c r="T12"/>
      <c r="U12"/>
      <c r="V12"/>
      <c r="W12"/>
      <c r="X12"/>
      <c r="Y12"/>
      <c r="Z12"/>
      <c r="AA12"/>
      <c r="AB12"/>
      <c r="AC12"/>
      <c r="AD12"/>
      <c r="AE12"/>
      <c r="AF12"/>
      <c r="AG12" s="42"/>
      <c r="AH12" s="31"/>
      <c r="AI12"/>
    </row>
    <row r="13" spans="1:35" ht="15" customHeight="1">
      <c r="A13"/>
      <c r="B13"/>
      <c r="C13" t="s">
        <v>159</v>
      </c>
      <c r="D13"/>
      <c r="E13"/>
      <c r="F13"/>
      <c r="G13"/>
      <c r="H13"/>
      <c r="I13"/>
      <c r="J13"/>
      <c r="K13"/>
      <c r="L13"/>
      <c r="M13"/>
      <c r="N13"/>
      <c r="O13"/>
      <c r="P13"/>
      <c r="Q13" s="45"/>
      <c r="R13"/>
      <c r="S13"/>
      <c r="T13"/>
      <c r="U13"/>
      <c r="V13"/>
      <c r="W13"/>
      <c r="X13"/>
      <c r="Y13"/>
      <c r="Z13"/>
      <c r="AA13"/>
      <c r="AB13"/>
      <c r="AC13"/>
      <c r="AD13"/>
      <c r="AE13"/>
      <c r="AF13"/>
      <c r="AG13" s="42"/>
      <c r="AH13" s="31"/>
      <c r="AI13"/>
    </row>
    <row r="14" spans="1:35" ht="15" customHeight="1">
      <c r="A14"/>
      <c r="B14" s="30"/>
      <c r="C14" t="s">
        <v>66</v>
      </c>
      <c r="D14"/>
      <c r="E14"/>
      <c r="F14"/>
      <c r="G14"/>
      <c r="H14"/>
      <c r="I14"/>
      <c r="J14"/>
      <c r="K14"/>
      <c r="L14"/>
      <c r="M14"/>
      <c r="N14"/>
      <c r="O14"/>
      <c r="P14"/>
      <c r="Q14" s="45"/>
      <c r="R14"/>
      <c r="S14"/>
      <c r="T14"/>
      <c r="U14"/>
      <c r="V14"/>
      <c r="W14"/>
      <c r="X14"/>
      <c r="Y14"/>
      <c r="Z14"/>
      <c r="AA14"/>
      <c r="AB14"/>
      <c r="AC14"/>
      <c r="AD14"/>
      <c r="AE14"/>
      <c r="AF14"/>
      <c r="AG14" s="42"/>
      <c r="AH14" s="31"/>
      <c r="AI14"/>
    </row>
    <row r="15" spans="1:35" ht="15" customHeight="1">
      <c r="A15"/>
      <c r="B15" s="30"/>
      <c r="C15" t="s">
        <v>67</v>
      </c>
      <c r="H15"/>
      <c r="I15"/>
      <c r="J15"/>
      <c r="K15"/>
      <c r="L15"/>
      <c r="M15"/>
      <c r="N15" s="43"/>
      <c r="O15"/>
      <c r="P15" s="42"/>
      <c r="Q15"/>
      <c r="R15"/>
      <c r="S15"/>
      <c r="T15"/>
      <c r="U15"/>
      <c r="V15"/>
      <c r="W15"/>
      <c r="X15"/>
      <c r="Y15"/>
      <c r="Z15"/>
      <c r="AA15"/>
      <c r="AB15"/>
      <c r="AC15"/>
      <c r="AD15"/>
      <c r="AE15"/>
      <c r="AF15"/>
      <c r="AG15" s="42"/>
      <c r="AH15" s="31"/>
      <c r="AI15"/>
    </row>
    <row r="16" spans="1:35" ht="15" customHeight="1">
      <c r="A16"/>
      <c r="B16"/>
      <c r="C16" t="s">
        <v>65</v>
      </c>
      <c r="D16"/>
      <c r="E16"/>
      <c r="F16"/>
      <c r="G16"/>
      <c r="H16"/>
      <c r="I16"/>
      <c r="J16"/>
      <c r="K16"/>
      <c r="L16"/>
      <c r="M16"/>
      <c r="N16"/>
      <c r="O16"/>
      <c r="P16" s="42"/>
      <c r="Q16"/>
      <c r="R16"/>
      <c r="S16"/>
      <c r="T16"/>
      <c r="U16"/>
      <c r="V16"/>
      <c r="W16"/>
      <c r="X16"/>
      <c r="Y16"/>
      <c r="Z16"/>
      <c r="AA16"/>
      <c r="AB16"/>
      <c r="AC16"/>
      <c r="AD16"/>
      <c r="AE16"/>
      <c r="AF16"/>
      <c r="AG16" s="42"/>
      <c r="AH16" s="31"/>
      <c r="AI16"/>
    </row>
    <row r="17" spans="1:35" ht="15" customHeight="1">
      <c r="A17"/>
      <c r="B17"/>
      <c r="C17"/>
      <c r="D17"/>
      <c r="E17"/>
      <c r="F17"/>
      <c r="G17"/>
      <c r="H17"/>
      <c r="I17"/>
      <c r="J17"/>
      <c r="K17"/>
      <c r="L17"/>
      <c r="M17"/>
      <c r="N17"/>
      <c r="O17"/>
      <c r="P17" s="42"/>
      <c r="R17"/>
      <c r="S17"/>
      <c r="T17"/>
      <c r="U17"/>
      <c r="V17"/>
      <c r="W17"/>
      <c r="X17"/>
      <c r="Y17"/>
      <c r="Z17"/>
      <c r="AA17"/>
      <c r="AB17"/>
      <c r="AC17"/>
      <c r="AD17"/>
      <c r="AE17"/>
      <c r="AF17"/>
      <c r="AG17" s="42"/>
      <c r="AH17" s="31"/>
      <c r="AI17"/>
    </row>
    <row r="18" spans="1:35" ht="15" customHeight="1">
      <c r="A18"/>
      <c r="B18" s="30" t="s">
        <v>180</v>
      </c>
      <c r="C18"/>
      <c r="D18"/>
      <c r="E18"/>
      <c r="F18"/>
      <c r="G18"/>
      <c r="H18"/>
      <c r="I18"/>
      <c r="J18"/>
      <c r="K18"/>
      <c r="L18"/>
      <c r="M18"/>
      <c r="N18"/>
      <c r="O18"/>
      <c r="P18" s="42"/>
      <c r="Q18"/>
      <c r="R18"/>
      <c r="S18"/>
      <c r="T18"/>
      <c r="U18"/>
      <c r="V18"/>
      <c r="W18"/>
      <c r="X18"/>
      <c r="Y18"/>
      <c r="Z18"/>
      <c r="AA18"/>
      <c r="AB18"/>
      <c r="AC18"/>
      <c r="AD18"/>
      <c r="AE18"/>
      <c r="AF18"/>
      <c r="AG18" s="42"/>
      <c r="AH18" s="31"/>
      <c r="AI18"/>
    </row>
    <row r="19" spans="1:35" ht="15" customHeight="1">
      <c r="A19"/>
      <c r="B19"/>
      <c r="C19" s="30" t="s">
        <v>111</v>
      </c>
      <c r="D19"/>
      <c r="E19"/>
      <c r="F19"/>
      <c r="G19"/>
      <c r="H19"/>
      <c r="I19"/>
      <c r="J19"/>
      <c r="K19"/>
      <c r="L19"/>
      <c r="M19"/>
      <c r="N19"/>
      <c r="O19"/>
      <c r="P19" s="42"/>
      <c r="Q19"/>
      <c r="R19"/>
      <c r="S19"/>
      <c r="T19"/>
      <c r="U19"/>
      <c r="V19"/>
      <c r="W19"/>
      <c r="X19"/>
      <c r="Y19"/>
      <c r="Z19"/>
      <c r="AA19"/>
      <c r="AB19"/>
      <c r="AC19"/>
      <c r="AD19"/>
      <c r="AE19"/>
      <c r="AF19"/>
      <c r="AG19" s="42"/>
      <c r="AH19" s="31"/>
      <c r="AI19"/>
    </row>
    <row r="20" spans="1:35" ht="15" customHeight="1">
      <c r="A20"/>
      <c r="B20"/>
      <c r="C20" t="s">
        <v>112</v>
      </c>
      <c r="D20"/>
      <c r="E20"/>
      <c r="F20"/>
      <c r="G20"/>
      <c r="H20"/>
      <c r="I20"/>
      <c r="J20"/>
      <c r="K20"/>
      <c r="L20"/>
      <c r="M20"/>
      <c r="N20"/>
      <c r="O20"/>
      <c r="P20" s="42"/>
      <c r="Q20"/>
      <c r="R20"/>
      <c r="S20"/>
      <c r="T20"/>
      <c r="U20"/>
      <c r="V20"/>
      <c r="W20"/>
      <c r="X20"/>
      <c r="Y20"/>
      <c r="Z20"/>
      <c r="AA20"/>
      <c r="AB20"/>
      <c r="AC20"/>
      <c r="AD20"/>
      <c r="AE20"/>
      <c r="AF20"/>
      <c r="AG20" s="42"/>
      <c r="AH20" s="31"/>
      <c r="AI20"/>
    </row>
    <row r="21" spans="1:35" ht="15" customHeight="1">
      <c r="A21"/>
      <c r="B21"/>
      <c r="C21" t="s">
        <v>160</v>
      </c>
      <c r="D21"/>
      <c r="E21"/>
      <c r="F21"/>
      <c r="G21"/>
      <c r="H21"/>
      <c r="I21"/>
      <c r="J21"/>
      <c r="K21"/>
      <c r="L21"/>
      <c r="M21"/>
      <c r="N21"/>
      <c r="O21"/>
      <c r="P21" s="42"/>
      <c r="Q21"/>
      <c r="R21"/>
      <c r="S21"/>
      <c r="T21"/>
      <c r="U21"/>
      <c r="V21"/>
      <c r="W21"/>
      <c r="X21"/>
      <c r="Y21"/>
      <c r="Z21"/>
      <c r="AA21"/>
      <c r="AB21"/>
      <c r="AC21"/>
      <c r="AD21"/>
      <c r="AE21"/>
      <c r="AF21"/>
      <c r="AG21" s="42"/>
      <c r="AH21" s="31"/>
      <c r="AI21"/>
    </row>
    <row r="22" spans="1:35" ht="15" customHeight="1">
      <c r="A22"/>
      <c r="B22" s="30"/>
      <c r="C22" t="s">
        <v>113</v>
      </c>
      <c r="D22"/>
      <c r="E22"/>
      <c r="F22"/>
      <c r="G22"/>
      <c r="H22"/>
      <c r="I22"/>
      <c r="J22"/>
      <c r="K22"/>
      <c r="L22"/>
      <c r="M22"/>
      <c r="N22"/>
      <c r="O22"/>
      <c r="P22" s="42"/>
      <c r="Q22"/>
      <c r="R22"/>
      <c r="S22"/>
      <c r="T22"/>
      <c r="U22"/>
      <c r="V22"/>
      <c r="W22"/>
      <c r="X22"/>
      <c r="Y22"/>
      <c r="Z22"/>
      <c r="AA22"/>
      <c r="AB22"/>
      <c r="AC22"/>
      <c r="AD22"/>
      <c r="AE22"/>
      <c r="AF22"/>
      <c r="AG22" s="42"/>
      <c r="AH22" s="31"/>
      <c r="AI22"/>
    </row>
    <row r="23" spans="1:35" ht="15" customHeight="1">
      <c r="A23"/>
      <c r="B23" s="30"/>
      <c r="C23" t="s">
        <v>114</v>
      </c>
      <c r="D23"/>
      <c r="E23"/>
      <c r="F23"/>
      <c r="G23"/>
      <c r="H23"/>
      <c r="I23"/>
      <c r="J23"/>
      <c r="K23"/>
      <c r="L23"/>
      <c r="M23"/>
      <c r="N23" s="43"/>
      <c r="O23"/>
      <c r="P23" s="42"/>
      <c r="Q23"/>
      <c r="R23"/>
      <c r="S23"/>
      <c r="T23"/>
      <c r="U23"/>
      <c r="V23"/>
      <c r="W23"/>
      <c r="X23"/>
      <c r="Y23"/>
      <c r="Z23"/>
      <c r="AA23"/>
      <c r="AB23"/>
      <c r="AC23"/>
      <c r="AD23"/>
      <c r="AE23"/>
      <c r="AF23"/>
      <c r="AG23" s="42"/>
      <c r="AH23" s="31"/>
      <c r="AI23"/>
    </row>
    <row r="24" spans="1:35" ht="15" customHeight="1">
      <c r="A24"/>
      <c r="B24"/>
      <c r="C24" t="s">
        <v>115</v>
      </c>
      <c r="D24"/>
      <c r="E24"/>
      <c r="F24"/>
      <c r="G24"/>
      <c r="H24"/>
      <c r="I24"/>
      <c r="J24"/>
      <c r="K24"/>
      <c r="L24"/>
      <c r="M24"/>
      <c r="N24"/>
      <c r="O24"/>
      <c r="P24" s="42"/>
      <c r="Q24"/>
      <c r="R24"/>
      <c r="S24"/>
      <c r="T24"/>
      <c r="U24"/>
      <c r="V24"/>
      <c r="W24"/>
      <c r="X24"/>
      <c r="Y24"/>
      <c r="Z24"/>
      <c r="AA24"/>
      <c r="AB24"/>
      <c r="AC24"/>
      <c r="AD24"/>
      <c r="AE24"/>
      <c r="AF24"/>
      <c r="AG24" s="42"/>
      <c r="AH24" s="31"/>
      <c r="AI24"/>
    </row>
    <row r="25" spans="1:35" ht="15" customHeight="1">
      <c r="A25"/>
      <c r="B25"/>
      <c r="C25"/>
      <c r="D25"/>
      <c r="E25"/>
      <c r="F25"/>
      <c r="G25"/>
      <c r="H25"/>
      <c r="I25"/>
      <c r="J25"/>
      <c r="K25"/>
      <c r="L25"/>
      <c r="M25"/>
      <c r="N25"/>
      <c r="O25"/>
      <c r="P25" s="42"/>
      <c r="Q25"/>
      <c r="R25"/>
      <c r="S25"/>
      <c r="T25"/>
      <c r="U25"/>
      <c r="V25"/>
      <c r="W25"/>
      <c r="X25"/>
      <c r="Y25"/>
      <c r="Z25"/>
      <c r="AA25"/>
      <c r="AB25"/>
      <c r="AC25"/>
      <c r="AD25"/>
      <c r="AE25"/>
      <c r="AF25"/>
      <c r="AG25" s="42"/>
      <c r="AH25" s="31"/>
      <c r="AI25"/>
    </row>
    <row r="26" spans="1:35" ht="15" customHeight="1">
      <c r="A26"/>
      <c r="B26" s="30" t="s">
        <v>181</v>
      </c>
      <c r="C26"/>
      <c r="D26"/>
      <c r="E26"/>
      <c r="F26"/>
      <c r="G26"/>
      <c r="H26"/>
      <c r="I26"/>
      <c r="J26"/>
      <c r="K26"/>
      <c r="L26"/>
      <c r="M26"/>
      <c r="N26"/>
      <c r="O26"/>
      <c r="P26" s="42"/>
      <c r="Q26"/>
      <c r="R26"/>
      <c r="S26"/>
      <c r="T26"/>
      <c r="U26"/>
      <c r="V26"/>
      <c r="W26"/>
      <c r="X26"/>
      <c r="Y26"/>
      <c r="Z26"/>
      <c r="AA26"/>
      <c r="AB26"/>
      <c r="AC26"/>
      <c r="AD26"/>
      <c r="AE26"/>
      <c r="AF26"/>
      <c r="AG26" s="42"/>
      <c r="AH26" s="31"/>
      <c r="AI26"/>
    </row>
    <row r="27" spans="1:35" ht="15" customHeight="1">
      <c r="A27" s="25"/>
      <c r="B27"/>
      <c r="C27" s="30" t="s">
        <v>130</v>
      </c>
      <c r="D27"/>
      <c r="E27"/>
      <c r="F27"/>
      <c r="G27"/>
      <c r="H27"/>
      <c r="I27"/>
      <c r="J27"/>
      <c r="K27"/>
      <c r="L27"/>
      <c r="M27"/>
      <c r="N27"/>
      <c r="O27"/>
      <c r="P27" s="42"/>
      <c r="Q27"/>
      <c r="R27"/>
      <c r="S27"/>
      <c r="T27"/>
      <c r="U27"/>
      <c r="V27"/>
      <c r="W27"/>
      <c r="X27"/>
      <c r="Y27"/>
      <c r="Z27"/>
      <c r="AA27"/>
      <c r="AB27"/>
      <c r="AC27"/>
      <c r="AD27"/>
      <c r="AE27"/>
      <c r="AF27"/>
      <c r="AG27" s="42"/>
      <c r="AH27" s="31"/>
      <c r="AI27"/>
    </row>
    <row r="28" spans="1:35" ht="15" customHeight="1">
      <c r="A28" s="25"/>
      <c r="B28"/>
      <c r="C28" t="s">
        <v>131</v>
      </c>
      <c r="D28"/>
      <c r="E28"/>
      <c r="F28"/>
      <c r="G28"/>
      <c r="H28"/>
      <c r="I28"/>
      <c r="J28"/>
      <c r="K28"/>
      <c r="L28"/>
      <c r="M28"/>
      <c r="N28" s="43"/>
      <c r="O28"/>
      <c r="P28" s="42"/>
      <c r="Q28"/>
      <c r="R28"/>
      <c r="S28"/>
      <c r="T28"/>
      <c r="U28"/>
      <c r="V28"/>
      <c r="W28"/>
      <c r="X28"/>
      <c r="Y28"/>
      <c r="Z28"/>
      <c r="AA28"/>
      <c r="AB28"/>
      <c r="AC28"/>
      <c r="AD28"/>
      <c r="AE28"/>
      <c r="AF28"/>
      <c r="AG28" s="42"/>
      <c r="AH28" s="31"/>
      <c r="AI28"/>
    </row>
    <row r="29" spans="1:35" ht="15" customHeight="1">
      <c r="A29" s="25"/>
      <c r="B29"/>
      <c r="C29" t="s">
        <v>161</v>
      </c>
      <c r="D29" s="25"/>
      <c r="E29" s="25"/>
      <c r="F29" s="25"/>
      <c r="G29" s="25"/>
      <c r="H29" s="25"/>
      <c r="I29" s="25"/>
      <c r="J29"/>
      <c r="K29"/>
      <c r="L29"/>
      <c r="M29"/>
      <c r="N29"/>
      <c r="O29"/>
      <c r="P29" s="42"/>
      <c r="Q29"/>
      <c r="R29"/>
      <c r="S29"/>
      <c r="T29"/>
      <c r="U29"/>
      <c r="V29"/>
      <c r="W29"/>
      <c r="X29"/>
      <c r="Y29"/>
      <c r="Z29"/>
      <c r="AA29"/>
      <c r="AB29"/>
      <c r="AC29"/>
      <c r="AD29"/>
      <c r="AE29"/>
      <c r="AF29"/>
      <c r="AG29" s="42"/>
      <c r="AH29" s="31"/>
      <c r="AI29"/>
    </row>
    <row r="30" spans="1:35" ht="15" customHeight="1">
      <c r="A30" s="25"/>
      <c r="B30" s="30"/>
      <c r="C30" t="s">
        <v>132</v>
      </c>
      <c r="D30" s="25"/>
      <c r="E30" s="25"/>
      <c r="F30" s="25"/>
      <c r="G30" s="25"/>
      <c r="H30" s="25"/>
      <c r="I30" s="25"/>
      <c r="J30" s="25"/>
      <c r="K30"/>
      <c r="L30"/>
      <c r="M30"/>
      <c r="N30"/>
      <c r="O30"/>
      <c r="P30" s="42"/>
      <c r="Q30"/>
      <c r="R30"/>
      <c r="S30"/>
      <c r="T30"/>
      <c r="U30" s="25"/>
      <c r="V30" s="25"/>
      <c r="W30" s="25"/>
      <c r="X30" s="25"/>
      <c r="Y30" s="25"/>
      <c r="Z30" s="25"/>
      <c r="AA30" s="25"/>
      <c r="AB30" s="25"/>
      <c r="AC30" s="25"/>
      <c r="AD30" s="25"/>
      <c r="AE30" s="25"/>
      <c r="AF30" s="25"/>
      <c r="AG30" s="46"/>
      <c r="AH30" s="32"/>
      <c r="AI30" s="25"/>
    </row>
    <row r="31" spans="1:35" ht="15" customHeight="1">
      <c r="A31" s="25"/>
      <c r="B31" s="30"/>
      <c r="C31" t="s">
        <v>133</v>
      </c>
      <c r="D31" s="25"/>
      <c r="E31" s="25"/>
      <c r="F31" s="25"/>
      <c r="G31" s="25"/>
      <c r="H31" s="25"/>
      <c r="I31" s="25"/>
      <c r="J31" s="25"/>
      <c r="K31"/>
      <c r="L31"/>
      <c r="M31"/>
      <c r="N31"/>
      <c r="O31"/>
      <c r="P31" s="42"/>
      <c r="Q31" s="31"/>
      <c r="R31"/>
      <c r="S31" s="33"/>
      <c r="T31"/>
      <c r="U31" s="25"/>
      <c r="V31" s="25"/>
      <c r="W31" s="25"/>
      <c r="X31" s="25"/>
      <c r="Y31" s="25"/>
      <c r="Z31" s="25"/>
      <c r="AA31" s="25"/>
      <c r="AB31" s="25"/>
      <c r="AC31" s="25"/>
      <c r="AD31" s="25"/>
      <c r="AE31" s="25"/>
      <c r="AF31" s="25"/>
      <c r="AG31" s="46"/>
      <c r="AH31" s="32"/>
      <c r="AI31" s="25"/>
    </row>
    <row r="32" spans="1:35" ht="15" customHeight="1">
      <c r="A32" s="25"/>
      <c r="B32"/>
      <c r="C32" t="s">
        <v>134</v>
      </c>
      <c r="D32" s="25"/>
      <c r="E32" s="25"/>
      <c r="F32" s="25"/>
      <c r="G32" s="25"/>
      <c r="H32" s="25"/>
      <c r="I32" s="25"/>
      <c r="J32" s="25"/>
      <c r="K32" s="25"/>
      <c r="L32" s="25"/>
      <c r="M32" s="25"/>
      <c r="N32" s="25"/>
      <c r="O32" s="25"/>
      <c r="P32" s="34"/>
      <c r="Q32" s="31"/>
      <c r="R32" s="25"/>
      <c r="S32" s="35"/>
      <c r="T32" s="25"/>
      <c r="U32" s="25"/>
      <c r="V32" s="25"/>
      <c r="W32" s="25"/>
      <c r="X32" s="25"/>
      <c r="Y32" s="25"/>
      <c r="Z32" s="25"/>
      <c r="AA32" s="25"/>
      <c r="AB32" s="25"/>
      <c r="AC32" s="25"/>
      <c r="AD32" s="25"/>
      <c r="AE32" s="25"/>
      <c r="AF32" s="25"/>
      <c r="AG32" s="46"/>
      <c r="AH32" s="32"/>
      <c r="AI32" s="25"/>
    </row>
    <row r="33" spans="1:35" ht="15" customHeight="1">
      <c r="A33" s="25"/>
      <c r="B33" s="25"/>
      <c r="C33" s="25"/>
      <c r="D33" s="25"/>
      <c r="E33" s="25"/>
      <c r="F33" s="25"/>
      <c r="G33" s="25"/>
      <c r="H33" s="25"/>
      <c r="I33" s="25"/>
      <c r="J33" s="25"/>
      <c r="K33" s="25"/>
      <c r="L33" s="25"/>
      <c r="M33" s="25"/>
      <c r="N33" s="25"/>
      <c r="O33" s="25"/>
      <c r="P33" s="34"/>
      <c r="Q33" s="31"/>
      <c r="R33" s="25"/>
      <c r="S33" s="25"/>
      <c r="T33" s="25"/>
      <c r="U33" s="25"/>
      <c r="V33" s="25"/>
      <c r="W33" s="25"/>
      <c r="X33" s="25"/>
      <c r="Y33" s="25"/>
      <c r="Z33" s="25"/>
      <c r="AA33" s="25"/>
      <c r="AB33" s="25"/>
      <c r="AC33" s="25"/>
      <c r="AD33" s="25"/>
      <c r="AE33" s="25"/>
      <c r="AF33" s="25"/>
      <c r="AG33" s="46"/>
      <c r="AH33" s="32"/>
      <c r="AI33" s="25"/>
    </row>
    <row r="34" spans="1:35" ht="15" customHeight="1">
      <c r="J34" s="25"/>
      <c r="K34" s="25"/>
      <c r="L34" s="25"/>
      <c r="M34" s="25"/>
      <c r="N34" s="25"/>
      <c r="O34" s="25"/>
      <c r="P34" s="34"/>
      <c r="Q34" s="31"/>
      <c r="R34" s="25"/>
      <c r="S34" s="35"/>
      <c r="T34" s="25"/>
      <c r="U34" s="25"/>
      <c r="V34" s="25"/>
      <c r="W34" s="25"/>
      <c r="X34" s="25"/>
      <c r="Y34" s="25"/>
      <c r="Z34" s="25"/>
      <c r="AA34" s="25"/>
      <c r="AB34" s="25"/>
      <c r="AC34" s="25"/>
      <c r="AD34" s="25"/>
      <c r="AE34" s="25"/>
      <c r="AF34" s="25"/>
      <c r="AG34" s="46"/>
      <c r="AH34" s="32"/>
      <c r="AI34" s="25"/>
    </row>
    <row r="35" spans="1:35" ht="15" customHeight="1">
      <c r="K35" s="25"/>
      <c r="L35" s="25"/>
      <c r="M35" s="25"/>
      <c r="N35" s="25"/>
      <c r="O35" s="25"/>
      <c r="P35" s="34"/>
      <c r="Q35" s="31"/>
      <c r="R35" s="25"/>
      <c r="S35" s="25"/>
      <c r="T35" s="25"/>
      <c r="U35" s="47"/>
      <c r="V35" s="25"/>
      <c r="W35" s="25"/>
      <c r="X35" s="25"/>
      <c r="Y35" s="25"/>
      <c r="Z35" s="25"/>
      <c r="AA35" s="25"/>
      <c r="AB35" s="25"/>
      <c r="AC35" s="25"/>
      <c r="AD35" s="25"/>
      <c r="AE35" s="25"/>
      <c r="AF35" s="25"/>
      <c r="AG35" s="46"/>
      <c r="AH35" s="32"/>
      <c r="AI35" s="25"/>
    </row>
    <row r="36" spans="1:35" ht="15" customHeight="1">
      <c r="K36" s="25"/>
      <c r="L36" s="25"/>
      <c r="M36" s="25"/>
      <c r="N36" s="25"/>
      <c r="O36" s="25"/>
      <c r="P36" s="34"/>
      <c r="Q36" s="32"/>
      <c r="R36" s="25"/>
      <c r="S36" s="25"/>
      <c r="T36" s="25"/>
      <c r="U36" s="25"/>
      <c r="V36" s="25"/>
      <c r="W36" s="25"/>
      <c r="X36" s="25"/>
      <c r="Y36" s="25"/>
      <c r="Z36" s="25"/>
      <c r="AA36" s="25"/>
      <c r="AB36" s="25"/>
      <c r="AC36" s="25"/>
      <c r="AD36" s="25"/>
      <c r="AE36" s="25"/>
      <c r="AF36" s="25"/>
      <c r="AG36" s="25"/>
      <c r="AH36" s="32"/>
      <c r="AI36" s="25"/>
    </row>
    <row r="37" spans="1:35" ht="15" customHeight="1">
      <c r="P37" s="36"/>
      <c r="U37" s="48"/>
      <c r="AG37" s="49"/>
    </row>
    <row r="38" spans="1:35" ht="15" customHeight="1">
      <c r="U38" s="48"/>
      <c r="AF38" s="49"/>
      <c r="AG38" s="36"/>
    </row>
    <row r="39" spans="1:35" ht="15" customHeight="1">
      <c r="T39" s="48"/>
      <c r="AF39" s="49"/>
      <c r="AG39" s="49"/>
    </row>
    <row r="40" spans="1:35" ht="15" customHeight="1">
      <c r="AG40" s="36"/>
    </row>
    <row r="41" spans="1:35" ht="15" customHeight="1">
      <c r="AG41" s="36"/>
    </row>
    <row r="42" spans="1:35" ht="15" customHeight="1">
      <c r="AF42" s="49"/>
      <c r="AG42" s="36"/>
    </row>
    <row r="43" spans="1:35" ht="15" customHeight="1">
      <c r="AF43" s="49"/>
      <c r="AG43" s="49"/>
    </row>
    <row r="44" spans="1:35" ht="15" customHeight="1">
      <c r="AF44" s="49"/>
      <c r="AG44" s="49"/>
    </row>
    <row r="45" spans="1:35" ht="15" customHeight="1">
      <c r="AG45" s="49"/>
    </row>
    <row r="46" spans="1:35" ht="15" customHeight="1">
      <c r="AF46" s="49"/>
      <c r="AG46" s="49"/>
    </row>
    <row r="47" spans="1:35" ht="15" customHeight="1">
      <c r="AG47" s="49"/>
    </row>
    <row r="49" spans="33:33" ht="15" customHeight="1">
      <c r="AG49" s="49"/>
    </row>
  </sheetData>
  <mergeCells count="17">
    <mergeCell ref="A1:D1"/>
    <mergeCell ref="O1:R3"/>
    <mergeCell ref="S1:Z3"/>
    <mergeCell ref="AA1:AB1"/>
    <mergeCell ref="A2:D2"/>
    <mergeCell ref="AA2:AB2"/>
    <mergeCell ref="A3:D3"/>
    <mergeCell ref="AA3:AB3"/>
    <mergeCell ref="E3:N3"/>
    <mergeCell ref="AC3:AF3"/>
    <mergeCell ref="AG3:AI3"/>
    <mergeCell ref="E1:N1"/>
    <mergeCell ref="AC1:AF1"/>
    <mergeCell ref="AG1:AI1"/>
    <mergeCell ref="E2:N2"/>
    <mergeCell ref="AC2:AF2"/>
    <mergeCell ref="AG2:AI2"/>
  </mergeCells>
  <phoneticPr fontId="11"/>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AI52"/>
  <sheetViews>
    <sheetView showGridLines="0" view="pageBreakPreview" zoomScaleNormal="100" zoomScaleSheetLayoutView="100" workbookViewId="0">
      <selection sqref="A1:D1"/>
    </sheetView>
  </sheetViews>
  <sheetFormatPr defaultColWidth="4.83203125" defaultRowHeight="11.25"/>
  <cols>
    <col min="1" max="16384" width="4.83203125" style="16"/>
  </cols>
  <sheetData>
    <row r="1" spans="1:35" s="11" customFormat="1">
      <c r="A1" s="210" t="s">
        <v>87</v>
      </c>
      <c r="B1" s="211"/>
      <c r="C1" s="211"/>
      <c r="D1" s="212"/>
      <c r="E1" s="227" t="str">
        <f ca="1">IF(INDIRECT("変更履歴!E1")&lt;&gt;"",INDIRECT("変更履歴!E1"),"")</f>
        <v>サンプルプロジェクト</v>
      </c>
      <c r="F1" s="180"/>
      <c r="G1" s="180"/>
      <c r="H1" s="180"/>
      <c r="I1" s="180"/>
      <c r="J1" s="180"/>
      <c r="K1" s="180"/>
      <c r="L1" s="180"/>
      <c r="M1" s="180"/>
      <c r="N1" s="181"/>
      <c r="O1" s="213" t="s">
        <v>60</v>
      </c>
      <c r="P1" s="214"/>
      <c r="Q1" s="214"/>
      <c r="R1" s="215"/>
      <c r="S1" s="228" t="str">
        <f ca="1">IF(INDIRECT("変更履歴!S1")&lt;&gt;"",INDIRECT("変更履歴!S1"),"")</f>
        <v>システム機能設計書（画面）
WA10201/プロジェクト登録</v>
      </c>
      <c r="T1" s="229"/>
      <c r="U1" s="229"/>
      <c r="V1" s="229"/>
      <c r="W1" s="229"/>
      <c r="X1" s="229"/>
      <c r="Y1" s="229"/>
      <c r="Z1" s="230"/>
      <c r="AA1" s="210" t="s">
        <v>3</v>
      </c>
      <c r="AB1" s="212"/>
      <c r="AC1" s="160" t="str">
        <f ca="1">IF(INDIRECT("変更履歴!AC1")&lt;&gt;"",INDIRECT("変更履歴!AC1"),"")</f>
        <v>TIS</v>
      </c>
      <c r="AD1" s="161"/>
      <c r="AE1" s="161"/>
      <c r="AF1" s="162"/>
      <c r="AG1" s="224">
        <f ca="1">IF(INDIRECT("変更履歴!AG1")&lt;&gt;"",INDIRECT("変更履歴!AG1"),"")</f>
        <v>43598</v>
      </c>
      <c r="AH1" s="225"/>
      <c r="AI1" s="226"/>
    </row>
    <row r="2" spans="1:35" s="11" customFormat="1">
      <c r="A2" s="210" t="s">
        <v>1</v>
      </c>
      <c r="B2" s="211"/>
      <c r="C2" s="211"/>
      <c r="D2" s="212"/>
      <c r="E2" s="227" t="str">
        <f ca="1">IF(INDIRECT("変更履歴!E2")&lt;&gt;"",INDIRECT("変更履歴!E2"),"")</f>
        <v>サンプルシステム</v>
      </c>
      <c r="F2" s="180"/>
      <c r="G2" s="180"/>
      <c r="H2" s="180"/>
      <c r="I2" s="180"/>
      <c r="J2" s="180"/>
      <c r="K2" s="180"/>
      <c r="L2" s="180"/>
      <c r="M2" s="180"/>
      <c r="N2" s="181"/>
      <c r="O2" s="216"/>
      <c r="P2" s="217"/>
      <c r="Q2" s="217"/>
      <c r="R2" s="218"/>
      <c r="S2" s="231"/>
      <c r="T2" s="232"/>
      <c r="U2" s="232"/>
      <c r="V2" s="232"/>
      <c r="W2" s="232"/>
      <c r="X2" s="232"/>
      <c r="Y2" s="232"/>
      <c r="Z2" s="233"/>
      <c r="AA2" s="210" t="s">
        <v>4</v>
      </c>
      <c r="AB2" s="212"/>
      <c r="AC2" s="160" t="str">
        <f ca="1">IF(INDIRECT("変更履歴!AC2")&lt;&gt;"",INDIRECT("変更履歴!AC2"),"")</f>
        <v>TIS</v>
      </c>
      <c r="AD2" s="161"/>
      <c r="AE2" s="161"/>
      <c r="AF2" s="162"/>
      <c r="AG2" s="224">
        <f ca="1">IF(INDIRECT("変更履歴!AG2")&lt;&gt;"",INDIRECT("変更履歴!AG2"),"")</f>
        <v>44908</v>
      </c>
      <c r="AH2" s="225"/>
      <c r="AI2" s="226"/>
    </row>
    <row r="3" spans="1:35" s="11" customFormat="1">
      <c r="A3" s="210" t="s">
        <v>2</v>
      </c>
      <c r="B3" s="211"/>
      <c r="C3" s="211"/>
      <c r="D3" s="212"/>
      <c r="E3" s="227" t="str">
        <f ca="1">IF(INDIRECT("変更履歴!E3")&lt;&gt;"",INDIRECT("変更履歴!E3"),"")</f>
        <v>プロジェクト管理システム</v>
      </c>
      <c r="F3" s="180"/>
      <c r="G3" s="180"/>
      <c r="H3" s="180"/>
      <c r="I3" s="180"/>
      <c r="J3" s="180"/>
      <c r="K3" s="180"/>
      <c r="L3" s="180"/>
      <c r="M3" s="180"/>
      <c r="N3" s="181"/>
      <c r="O3" s="219"/>
      <c r="P3" s="220"/>
      <c r="Q3" s="220"/>
      <c r="R3" s="221"/>
      <c r="S3" s="234"/>
      <c r="T3" s="235"/>
      <c r="U3" s="235"/>
      <c r="V3" s="235"/>
      <c r="W3" s="235"/>
      <c r="X3" s="235"/>
      <c r="Y3" s="235"/>
      <c r="Z3" s="236"/>
      <c r="AA3" s="210"/>
      <c r="AB3" s="212"/>
      <c r="AC3" s="160" t="str">
        <f ca="1">IF(INDIRECT("変更履歴!AC3")&lt;&gt;"",INDIRECT("変更履歴!AC3"),"")</f>
        <v/>
      </c>
      <c r="AD3" s="161"/>
      <c r="AE3" s="161"/>
      <c r="AF3" s="162"/>
      <c r="AG3" s="224" t="str">
        <f ca="1">IF(INDIRECT("変更履歴!AG3")&lt;&gt;"",INDIRECT("変更履歴!AG3"),"")</f>
        <v/>
      </c>
      <c r="AH3" s="225"/>
      <c r="AI3" s="226"/>
    </row>
    <row r="4" spans="1:35" ht="12" customHeight="1"/>
    <row r="5" spans="1:35" s="63" customFormat="1" ht="12" customHeight="1">
      <c r="B5" s="63" t="s">
        <v>42</v>
      </c>
    </row>
    <row r="6" spans="1:35" s="63" customFormat="1" ht="12" customHeight="1">
      <c r="C6" s="63" t="s">
        <v>48</v>
      </c>
    </row>
    <row r="7" spans="1:35" s="63" customFormat="1" ht="12" customHeight="1"/>
    <row r="8" spans="1:35" s="63" customFormat="1" ht="12" customHeight="1">
      <c r="B8" s="64"/>
      <c r="C8" s="247" t="s">
        <v>45</v>
      </c>
      <c r="D8" s="248"/>
      <c r="E8" s="248"/>
      <c r="F8" s="249"/>
      <c r="G8" s="185" t="s">
        <v>176</v>
      </c>
      <c r="H8" s="250"/>
      <c r="I8" s="250"/>
      <c r="J8" s="250"/>
      <c r="K8" s="250"/>
      <c r="L8" s="248"/>
      <c r="M8" s="248"/>
      <c r="N8" s="248"/>
      <c r="O8" s="248"/>
      <c r="P8" s="248"/>
      <c r="Q8" s="248"/>
      <c r="R8" s="248"/>
      <c r="S8" s="248"/>
      <c r="T8" s="248"/>
      <c r="U8" s="248"/>
      <c r="V8" s="248"/>
      <c r="W8" s="248"/>
      <c r="X8" s="248"/>
      <c r="Y8" s="248"/>
      <c r="Z8" s="248"/>
      <c r="AA8" s="248"/>
      <c r="AB8" s="248"/>
      <c r="AC8" s="248"/>
      <c r="AD8" s="248"/>
      <c r="AE8" s="248"/>
      <c r="AF8" s="248"/>
      <c r="AG8" s="249"/>
    </row>
    <row r="9" spans="1:35" s="63" customFormat="1" ht="12" customHeight="1">
      <c r="B9" s="64"/>
      <c r="C9" s="251" t="s">
        <v>46</v>
      </c>
      <c r="D9" s="252"/>
      <c r="E9" s="252"/>
      <c r="F9" s="253"/>
      <c r="G9" s="185" t="s">
        <v>177</v>
      </c>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9"/>
    </row>
    <row r="10" spans="1:35" s="63" customFormat="1" ht="12" customHeight="1">
      <c r="B10" s="64"/>
      <c r="C10" s="238" t="s">
        <v>47</v>
      </c>
      <c r="D10" s="239"/>
      <c r="E10" s="239"/>
      <c r="F10" s="240"/>
      <c r="G10" s="129" t="s">
        <v>259</v>
      </c>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6"/>
    </row>
    <row r="11" spans="1:35" s="63" customFormat="1" ht="12" customHeight="1">
      <c r="B11" s="64"/>
      <c r="C11" s="241"/>
      <c r="D11" s="242"/>
      <c r="E11" s="242"/>
      <c r="F11" s="243"/>
      <c r="G11" s="67"/>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68"/>
    </row>
    <row r="12" spans="1:35" s="63" customFormat="1" ht="12" customHeight="1">
      <c r="B12" s="64"/>
      <c r="C12" s="241"/>
      <c r="D12" s="242"/>
      <c r="E12" s="242"/>
      <c r="F12" s="243"/>
      <c r="G12" s="130"/>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68"/>
    </row>
    <row r="13" spans="1:35" s="63" customFormat="1" ht="12" customHeight="1">
      <c r="B13" s="64"/>
      <c r="C13" s="244"/>
      <c r="D13" s="245"/>
      <c r="E13" s="245"/>
      <c r="F13" s="246"/>
      <c r="G13" s="69"/>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1"/>
    </row>
    <row r="14" spans="1:35" s="63" customFormat="1" ht="12" customHeight="1">
      <c r="B14" s="64"/>
      <c r="C14" s="237" t="s">
        <v>56</v>
      </c>
      <c r="D14" s="237"/>
      <c r="E14" s="237"/>
      <c r="F14" s="237"/>
      <c r="G14" s="72" t="s">
        <v>179</v>
      </c>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4"/>
    </row>
    <row r="15" spans="1:35" ht="12" customHeight="1"/>
    <row r="16" spans="1:35"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sheetData>
  <mergeCells count="23">
    <mergeCell ref="A1:D1"/>
    <mergeCell ref="O1:R3"/>
    <mergeCell ref="S1:Z3"/>
    <mergeCell ref="AA1:AB1"/>
    <mergeCell ref="A2:D2"/>
    <mergeCell ref="AA2:AB2"/>
    <mergeCell ref="A3:D3"/>
    <mergeCell ref="AA3:AB3"/>
    <mergeCell ref="E1:N1"/>
    <mergeCell ref="E2:N2"/>
    <mergeCell ref="E3:N3"/>
    <mergeCell ref="C14:F14"/>
    <mergeCell ref="C10:F13"/>
    <mergeCell ref="C8:F8"/>
    <mergeCell ref="G8:AG8"/>
    <mergeCell ref="G9:AG9"/>
    <mergeCell ref="C9:F9"/>
    <mergeCell ref="AG1:AI1"/>
    <mergeCell ref="AC2:AF2"/>
    <mergeCell ref="AG2:AI2"/>
    <mergeCell ref="AC3:AF3"/>
    <mergeCell ref="AG3:AI3"/>
    <mergeCell ref="AC1:AF1"/>
  </mergeCells>
  <phoneticPr fontId="11"/>
  <printOptions horizontalCentered="1"/>
  <pageMargins left="0.39370078740157483" right="0.39370078740157483" top="0.39370078740157483" bottom="0.39370078740157483" header="0.19685039370078741" footer="0.19685039370078741"/>
  <pageSetup paperSize="9" fitToHeight="0" orientation="landscape" useFirstPageNumber="1" r:id="rId1"/>
  <headerFooter alignWithMargins="0">
    <oddFooter>&amp;C- &amp;P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BF179"/>
  <sheetViews>
    <sheetView showGridLines="0" tabSelected="1" view="pageBreakPreview" zoomScaleNormal="100" zoomScaleSheetLayoutView="100" workbookViewId="0">
      <selection sqref="A1:D1"/>
    </sheetView>
  </sheetViews>
  <sheetFormatPr defaultColWidth="4.83203125" defaultRowHeight="11.25"/>
  <cols>
    <col min="1" max="7" width="4.83203125" style="16"/>
    <col min="8" max="9" width="4.83203125" style="16" customWidth="1"/>
    <col min="10" max="16384" width="4.83203125" style="16"/>
  </cols>
  <sheetData>
    <row r="1" spans="1:39" s="11" customFormat="1">
      <c r="A1" s="339" t="s">
        <v>0</v>
      </c>
      <c r="B1" s="340"/>
      <c r="C1" s="340"/>
      <c r="D1" s="341"/>
      <c r="E1" s="227" t="str">
        <f ca="1">IF(INDIRECT("変更履歴!E1")&lt;&gt;"",INDIRECT("変更履歴!E1"),"")</f>
        <v>サンプルプロジェクト</v>
      </c>
      <c r="F1" s="180"/>
      <c r="G1" s="180"/>
      <c r="H1" s="180"/>
      <c r="I1" s="180"/>
      <c r="J1" s="180"/>
      <c r="K1" s="180"/>
      <c r="L1" s="180"/>
      <c r="M1" s="180"/>
      <c r="N1" s="181"/>
      <c r="O1" s="213" t="s">
        <v>37</v>
      </c>
      <c r="P1" s="214"/>
      <c r="Q1" s="214"/>
      <c r="R1" s="215"/>
      <c r="S1" s="228" t="str">
        <f ca="1">IF(INDIRECT("変更履歴!S1")&lt;&gt;"",INDIRECT("変更履歴!S1"),"")</f>
        <v>システム機能設計書（画面）
WA10201/プロジェクト登録</v>
      </c>
      <c r="T1" s="229"/>
      <c r="U1" s="229"/>
      <c r="V1" s="229"/>
      <c r="W1" s="229"/>
      <c r="X1" s="229"/>
      <c r="Y1" s="229"/>
      <c r="Z1" s="230"/>
      <c r="AA1" s="210" t="s">
        <v>3</v>
      </c>
      <c r="AB1" s="212"/>
      <c r="AC1" s="160" t="str">
        <f ca="1">IF(INDIRECT("変更履歴!AC1")&lt;&gt;"",INDIRECT("変更履歴!AC1"),"")</f>
        <v>TIS</v>
      </c>
      <c r="AD1" s="161"/>
      <c r="AE1" s="161"/>
      <c r="AF1" s="162"/>
      <c r="AG1" s="336">
        <f ca="1">IF(INDIRECT("変更履歴!AG1")&lt;&gt;"",INDIRECT("変更履歴!AG1"),"")</f>
        <v>43598</v>
      </c>
      <c r="AH1" s="337"/>
      <c r="AI1" s="338"/>
      <c r="AJ1" s="27"/>
    </row>
    <row r="2" spans="1:39" s="11" customFormat="1">
      <c r="A2" s="339" t="s">
        <v>1</v>
      </c>
      <c r="B2" s="340"/>
      <c r="C2" s="340"/>
      <c r="D2" s="341"/>
      <c r="E2" s="227" t="str">
        <f ca="1">IF(INDIRECT("変更履歴!E2")&lt;&gt;"",INDIRECT("変更履歴!E2"),"")</f>
        <v>サンプルシステム</v>
      </c>
      <c r="F2" s="180"/>
      <c r="G2" s="180"/>
      <c r="H2" s="180"/>
      <c r="I2" s="180"/>
      <c r="J2" s="180"/>
      <c r="K2" s="180"/>
      <c r="L2" s="180"/>
      <c r="M2" s="180"/>
      <c r="N2" s="181"/>
      <c r="O2" s="216"/>
      <c r="P2" s="217"/>
      <c r="Q2" s="217"/>
      <c r="R2" s="218"/>
      <c r="S2" s="231"/>
      <c r="T2" s="232"/>
      <c r="U2" s="232"/>
      <c r="V2" s="232"/>
      <c r="W2" s="232"/>
      <c r="X2" s="232"/>
      <c r="Y2" s="232"/>
      <c r="Z2" s="233"/>
      <c r="AA2" s="210" t="s">
        <v>4</v>
      </c>
      <c r="AB2" s="212"/>
      <c r="AC2" s="160" t="str">
        <f ca="1">IF(INDIRECT("変更履歴!AC2")&lt;&gt;"",INDIRECT("変更履歴!AC2"),"")</f>
        <v>TIS</v>
      </c>
      <c r="AD2" s="161"/>
      <c r="AE2" s="161"/>
      <c r="AF2" s="162"/>
      <c r="AG2" s="336">
        <f ca="1">IF(INDIRECT("変更履歴!AG2")&lt;&gt;"",INDIRECT("変更履歴!AG2"),"")</f>
        <v>44908</v>
      </c>
      <c r="AH2" s="337"/>
      <c r="AI2" s="338"/>
      <c r="AJ2" s="27"/>
    </row>
    <row r="3" spans="1:39" s="11" customFormat="1">
      <c r="A3" s="339" t="s">
        <v>2</v>
      </c>
      <c r="B3" s="340"/>
      <c r="C3" s="340"/>
      <c r="D3" s="341"/>
      <c r="E3" s="227" t="str">
        <f ca="1">IF(INDIRECT("変更履歴!E3")&lt;&gt;"",INDIRECT("変更履歴!E3"),"")</f>
        <v>プロジェクト管理システム</v>
      </c>
      <c r="F3" s="180"/>
      <c r="G3" s="180"/>
      <c r="H3" s="180"/>
      <c r="I3" s="180"/>
      <c r="J3" s="180"/>
      <c r="K3" s="180"/>
      <c r="L3" s="180"/>
      <c r="M3" s="180"/>
      <c r="N3" s="181"/>
      <c r="O3" s="219"/>
      <c r="P3" s="220"/>
      <c r="Q3" s="220"/>
      <c r="R3" s="221"/>
      <c r="S3" s="234"/>
      <c r="T3" s="235"/>
      <c r="U3" s="235"/>
      <c r="V3" s="235"/>
      <c r="W3" s="235"/>
      <c r="X3" s="235"/>
      <c r="Y3" s="235"/>
      <c r="Z3" s="236"/>
      <c r="AA3" s="210"/>
      <c r="AB3" s="212"/>
      <c r="AC3" s="160" t="str">
        <f ca="1">IF(INDIRECT("変更履歴!AC3")&lt;&gt;"",INDIRECT("変更履歴!AC3"),"")</f>
        <v/>
      </c>
      <c r="AD3" s="161"/>
      <c r="AE3" s="161"/>
      <c r="AF3" s="162"/>
      <c r="AG3" s="336" t="str">
        <f ca="1">IF(INDIRECT("変更履歴!AG3")&lt;&gt;"",INDIRECT("変更履歴!AG3"),"")</f>
        <v/>
      </c>
      <c r="AH3" s="337"/>
      <c r="AI3" s="338"/>
      <c r="AJ3" s="27"/>
    </row>
    <row r="4" spans="1:39" ht="12" customHeight="1"/>
    <row r="5" spans="1:39" ht="12" customHeight="1">
      <c r="B5" s="26" t="s">
        <v>241</v>
      </c>
      <c r="AM5" s="140"/>
    </row>
    <row r="6" spans="1:39" ht="12" customHeight="1">
      <c r="C6" t="s">
        <v>63</v>
      </c>
    </row>
    <row r="7" spans="1:39" ht="12" customHeight="1"/>
    <row r="8" spans="1:39" ht="12" customHeight="1"/>
    <row r="9" spans="1:39" ht="12" customHeight="1"/>
    <row r="10" spans="1:39" ht="12" customHeight="1"/>
    <row r="11" spans="1:39" ht="12" customHeight="1"/>
    <row r="12" spans="1:39" ht="12" customHeight="1"/>
    <row r="13" spans="1:39" ht="12" customHeight="1"/>
    <row r="14" spans="1:39" ht="12" customHeight="1"/>
    <row r="15" spans="1:39" ht="12" customHeight="1"/>
    <row r="16" spans="1:39" ht="12" customHeight="1"/>
    <row r="17" spans="2:2" ht="12" customHeight="1"/>
    <row r="18" spans="2:2" ht="12" customHeight="1"/>
    <row r="19" spans="2:2" ht="12" customHeight="1"/>
    <row r="20" spans="2:2" ht="12" customHeight="1"/>
    <row r="21" spans="2:2" ht="12" customHeight="1"/>
    <row r="22" spans="2:2" ht="12" customHeight="1"/>
    <row r="23" spans="2:2" ht="12" customHeight="1"/>
    <row r="24" spans="2:2" ht="12" customHeight="1"/>
    <row r="25" spans="2:2" ht="12" customHeight="1"/>
    <row r="26" spans="2:2" ht="12" customHeight="1"/>
    <row r="27" spans="2:2" ht="12" customHeight="1"/>
    <row r="28" spans="2:2" ht="12" customHeight="1"/>
    <row r="29" spans="2:2" ht="12" customHeight="1"/>
    <row r="30" spans="2:2" ht="12" customHeight="1"/>
    <row r="31" spans="2:2" ht="12" customHeight="1"/>
    <row r="32" spans="2:2" ht="12" customHeight="1"/>
    <row r="33" spans="2:34" ht="12" customHeight="1"/>
    <row r="34" spans="2:34" ht="12" customHeight="1"/>
    <row r="35" spans="2:34" ht="12" customHeight="1"/>
    <row r="36" spans="2:34" ht="12" customHeight="1"/>
    <row r="37" spans="2:34" ht="12" customHeight="1"/>
    <row r="38" spans="2:34" ht="12" customHeight="1"/>
    <row r="39" spans="2:34" ht="12" customHeight="1"/>
    <row r="40" spans="2:34" ht="12" customHeight="1"/>
    <row r="41" spans="2:34" ht="12" customHeight="1"/>
    <row r="42" spans="2:34" ht="12" customHeight="1"/>
    <row r="43" spans="2:34" ht="12" customHeight="1"/>
    <row r="44" spans="2:34" ht="12" customHeight="1"/>
    <row r="45" spans="2:34" ht="12" customHeight="1"/>
    <row r="46" spans="2:34" ht="12" customHeight="1"/>
    <row r="47" spans="2:34" ht="12" customHeight="1"/>
    <row r="48" spans="2:34">
      <c r="C48" s="26" t="s">
        <v>57</v>
      </c>
      <c r="D48" s="103"/>
      <c r="E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row>
    <row r="49" spans="3:53">
      <c r="C49" s="29"/>
      <c r="D49" s="103"/>
      <c r="E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row>
    <row r="50" spans="3:53">
      <c r="D50" s="97" t="s">
        <v>41</v>
      </c>
      <c r="E50" s="342" t="s">
        <v>69</v>
      </c>
      <c r="F50" s="342"/>
      <c r="G50" s="342"/>
      <c r="H50" s="342"/>
      <c r="I50" s="342"/>
      <c r="J50" s="342"/>
      <c r="K50" s="342"/>
      <c r="L50" s="342"/>
      <c r="M50" s="342"/>
      <c r="N50" s="342" t="s">
        <v>43</v>
      </c>
      <c r="O50" s="342"/>
      <c r="P50" s="342"/>
      <c r="Q50" s="342" t="s">
        <v>25</v>
      </c>
      <c r="R50" s="342"/>
      <c r="S50" s="342"/>
      <c r="T50" s="342"/>
      <c r="U50" s="342"/>
      <c r="V50" s="342" t="s">
        <v>14</v>
      </c>
      <c r="W50" s="342"/>
      <c r="X50" s="342"/>
      <c r="Y50" s="342"/>
      <c r="Z50" s="342"/>
      <c r="AA50" s="342"/>
      <c r="AB50" s="342"/>
      <c r="AC50" s="342"/>
      <c r="AD50" s="103"/>
      <c r="AE50" s="103"/>
      <c r="AF50" s="103"/>
      <c r="AG50" s="103"/>
      <c r="AH50" s="103"/>
    </row>
    <row r="51" spans="3:53" ht="11.25" customHeight="1">
      <c r="D51" s="121">
        <v>1</v>
      </c>
      <c r="E51" s="343" t="s">
        <v>156</v>
      </c>
      <c r="F51" s="344"/>
      <c r="G51" s="344"/>
      <c r="H51" s="344"/>
      <c r="I51" s="344"/>
      <c r="J51" s="344"/>
      <c r="K51" s="344"/>
      <c r="L51" s="344"/>
      <c r="M51" s="344"/>
      <c r="N51" s="344" t="s">
        <v>93</v>
      </c>
      <c r="O51" s="344"/>
      <c r="P51" s="344"/>
      <c r="Q51" s="352" t="s">
        <v>149</v>
      </c>
      <c r="R51" s="352"/>
      <c r="S51" s="352"/>
      <c r="T51" s="352"/>
      <c r="U51" s="352"/>
      <c r="V51" s="353" t="s">
        <v>163</v>
      </c>
      <c r="W51" s="352"/>
      <c r="X51" s="352"/>
      <c r="Y51" s="352"/>
      <c r="Z51" s="352"/>
      <c r="AA51" s="352"/>
      <c r="AB51" s="352"/>
      <c r="AC51" s="352"/>
      <c r="AM51" s="29"/>
    </row>
    <row r="52" spans="3:53" ht="11.25" customHeight="1">
      <c r="D52" s="123"/>
      <c r="E52" s="114"/>
      <c r="F52" s="122"/>
      <c r="G52" s="122"/>
      <c r="H52" s="122"/>
      <c r="I52" s="122"/>
      <c r="J52" s="122"/>
      <c r="K52" s="122"/>
      <c r="L52" s="122"/>
      <c r="M52" s="122"/>
      <c r="N52" s="122"/>
      <c r="O52" s="122"/>
      <c r="P52" s="122"/>
      <c r="Q52" s="122"/>
      <c r="R52" s="103"/>
      <c r="S52" s="103"/>
      <c r="T52" s="103"/>
      <c r="U52" s="103"/>
      <c r="V52" s="51"/>
      <c r="W52" s="103"/>
      <c r="X52" s="103"/>
      <c r="Y52" s="103"/>
      <c r="Z52" s="103"/>
      <c r="AA52" s="103"/>
      <c r="AB52" s="103"/>
      <c r="AC52" s="103"/>
      <c r="AM52" s="29"/>
    </row>
    <row r="53" spans="3:53" ht="11.25" customHeight="1">
      <c r="L53" s="1"/>
      <c r="O53" s="122"/>
    </row>
    <row r="54" spans="3:53">
      <c r="C54" t="s">
        <v>159</v>
      </c>
      <c r="AK54" s="64"/>
      <c r="AL54" s="64"/>
      <c r="AM54" s="64"/>
      <c r="AN54" s="64"/>
      <c r="AO54" s="64"/>
      <c r="AP54" s="64"/>
      <c r="AQ54" s="64"/>
      <c r="AR54" s="64"/>
      <c r="AS54" s="64"/>
      <c r="AT54" s="64"/>
      <c r="AU54" s="64"/>
      <c r="AV54" s="64"/>
      <c r="AW54" s="64"/>
      <c r="AX54" s="64"/>
      <c r="AY54" s="64"/>
      <c r="AZ54" s="64"/>
      <c r="BA54" s="64"/>
    </row>
    <row r="55" spans="3:53" s="63" customFormat="1">
      <c r="AJ55" s="92"/>
      <c r="AK55" s="92"/>
      <c r="AL55" s="92"/>
      <c r="AM55" s="92"/>
      <c r="AN55" s="92"/>
      <c r="AO55" s="92"/>
      <c r="AP55" s="92"/>
      <c r="AQ55" s="92"/>
      <c r="AR55" s="92"/>
      <c r="AS55" s="92"/>
      <c r="AT55" s="92"/>
      <c r="AU55" s="92"/>
      <c r="AV55" s="92"/>
      <c r="AW55" s="92"/>
      <c r="AX55" s="92"/>
      <c r="AY55" s="92"/>
      <c r="AZ55" s="92"/>
    </row>
    <row r="56" spans="3:53" s="63" customFormat="1">
      <c r="D56" s="333" t="s">
        <v>41</v>
      </c>
      <c r="E56" s="270" t="s">
        <v>29</v>
      </c>
      <c r="F56" s="271"/>
      <c r="G56" s="271"/>
      <c r="H56" s="271"/>
      <c r="I56" s="271"/>
      <c r="J56" s="271"/>
      <c r="K56" s="271"/>
      <c r="L56" s="271"/>
      <c r="M56" s="271"/>
      <c r="N56" s="271"/>
      <c r="O56" s="271"/>
      <c r="P56" s="271"/>
      <c r="Q56" s="271"/>
      <c r="R56" s="271"/>
      <c r="S56" s="271"/>
      <c r="T56" s="271"/>
      <c r="U56" s="271"/>
      <c r="V56" s="271"/>
      <c r="W56" s="271"/>
      <c r="X56" s="271"/>
      <c r="Y56" s="271"/>
      <c r="Z56" s="271"/>
      <c r="AA56" s="271"/>
      <c r="AB56" s="271"/>
      <c r="AC56" s="272"/>
      <c r="AD56" s="238" t="s">
        <v>33</v>
      </c>
      <c r="AE56" s="239"/>
      <c r="AF56" s="239"/>
      <c r="AG56" s="240"/>
      <c r="AH56" s="92"/>
      <c r="AI56" s="92"/>
      <c r="AJ56" s="92"/>
      <c r="AK56" s="44" t="s">
        <v>164</v>
      </c>
      <c r="AL56" s="92"/>
      <c r="AM56" s="92"/>
      <c r="AN56" s="92"/>
    </row>
    <row r="57" spans="3:53" s="63" customFormat="1" ht="11.25" customHeight="1">
      <c r="D57" s="334"/>
      <c r="E57" s="238" t="s">
        <v>31</v>
      </c>
      <c r="F57" s="239"/>
      <c r="G57" s="239"/>
      <c r="H57" s="240"/>
      <c r="I57" s="354" t="s">
        <v>39</v>
      </c>
      <c r="J57" s="347"/>
      <c r="K57" s="347"/>
      <c r="L57" s="348"/>
      <c r="M57" s="346" t="s">
        <v>155</v>
      </c>
      <c r="N57" s="347"/>
      <c r="O57" s="347"/>
      <c r="P57" s="347"/>
      <c r="Q57" s="347"/>
      <c r="R57" s="347"/>
      <c r="S57" s="347"/>
      <c r="T57" s="348"/>
      <c r="U57" s="238" t="s">
        <v>32</v>
      </c>
      <c r="V57" s="239"/>
      <c r="W57" s="239"/>
      <c r="X57" s="239"/>
      <c r="Y57" s="240"/>
      <c r="Z57" s="238" t="s">
        <v>27</v>
      </c>
      <c r="AA57" s="239"/>
      <c r="AB57" s="240"/>
      <c r="AC57" s="333" t="s">
        <v>44</v>
      </c>
      <c r="AD57" s="241"/>
      <c r="AE57" s="242"/>
      <c r="AF57" s="242"/>
      <c r="AG57" s="243"/>
      <c r="AH57" s="92"/>
      <c r="AI57" s="92"/>
      <c r="AJ57" s="92"/>
      <c r="AK57" s="92"/>
      <c r="AL57" s="92"/>
      <c r="AM57" s="92"/>
      <c r="AN57" s="92"/>
      <c r="AO57" s="92"/>
      <c r="AP57" s="92"/>
      <c r="AQ57" s="92"/>
      <c r="AR57" s="92"/>
      <c r="AS57" s="92"/>
      <c r="AT57" s="92"/>
    </row>
    <row r="58" spans="3:53" s="63" customFormat="1">
      <c r="D58" s="335"/>
      <c r="E58" s="244"/>
      <c r="F58" s="245"/>
      <c r="G58" s="245"/>
      <c r="H58" s="246"/>
      <c r="I58" s="349"/>
      <c r="J58" s="350"/>
      <c r="K58" s="350"/>
      <c r="L58" s="351"/>
      <c r="M58" s="349"/>
      <c r="N58" s="350"/>
      <c r="O58" s="350"/>
      <c r="P58" s="350"/>
      <c r="Q58" s="350"/>
      <c r="R58" s="350"/>
      <c r="S58" s="350"/>
      <c r="T58" s="351"/>
      <c r="U58" s="244"/>
      <c r="V58" s="245"/>
      <c r="W58" s="245"/>
      <c r="X58" s="245"/>
      <c r="Y58" s="246"/>
      <c r="Z58" s="244"/>
      <c r="AA58" s="245"/>
      <c r="AB58" s="246"/>
      <c r="AC58" s="335"/>
      <c r="AD58" s="244"/>
      <c r="AE58" s="245"/>
      <c r="AF58" s="245"/>
      <c r="AG58" s="246"/>
      <c r="AH58" s="92"/>
      <c r="AI58" s="92"/>
      <c r="AJ58" s="92"/>
      <c r="AK58" s="92"/>
      <c r="AL58" s="276" t="s">
        <v>40</v>
      </c>
      <c r="AM58" s="277"/>
      <c r="AN58" s="277"/>
      <c r="AO58" s="277"/>
      <c r="AP58" s="278"/>
      <c r="AQ58" s="92"/>
      <c r="AR58" s="92"/>
      <c r="AS58" s="92"/>
      <c r="AT58" s="92"/>
    </row>
    <row r="59" spans="3:53" s="63" customFormat="1">
      <c r="D59" s="330" t="s">
        <v>243</v>
      </c>
      <c r="E59" s="331"/>
      <c r="F59" s="331"/>
      <c r="G59" s="331"/>
      <c r="H59" s="331"/>
      <c r="I59" s="331"/>
      <c r="J59" s="331"/>
      <c r="K59" s="331"/>
      <c r="L59" s="331"/>
      <c r="M59" s="331"/>
      <c r="N59" s="331"/>
      <c r="O59" s="331"/>
      <c r="P59" s="331"/>
      <c r="Q59" s="331"/>
      <c r="R59" s="331"/>
      <c r="S59" s="331"/>
      <c r="T59" s="331"/>
      <c r="U59" s="331"/>
      <c r="V59" s="331"/>
      <c r="W59" s="331"/>
      <c r="X59" s="331"/>
      <c r="Y59" s="331"/>
      <c r="Z59" s="331"/>
      <c r="AA59" s="331"/>
      <c r="AB59" s="331"/>
      <c r="AC59" s="331"/>
      <c r="AD59" s="331"/>
      <c r="AE59" s="331"/>
      <c r="AF59" s="331"/>
      <c r="AG59" s="332"/>
      <c r="AH59" s="92"/>
      <c r="AI59" s="92"/>
      <c r="AJ59" s="92"/>
      <c r="AK59" s="92"/>
      <c r="AL59" s="138" t="s">
        <v>244</v>
      </c>
      <c r="AM59" s="136"/>
      <c r="AN59" s="136"/>
      <c r="AO59" s="136"/>
      <c r="AP59" s="137"/>
      <c r="AQ59" s="92"/>
      <c r="AR59" s="92"/>
      <c r="AS59" s="92"/>
      <c r="AT59" s="92"/>
    </row>
    <row r="60" spans="3:53" s="64" customFormat="1" ht="11.25" customHeight="1">
      <c r="D60" s="106">
        <v>1</v>
      </c>
      <c r="E60" s="185" t="s">
        <v>206</v>
      </c>
      <c r="F60" s="186"/>
      <c r="G60" s="186"/>
      <c r="H60" s="187"/>
      <c r="I60" s="260" t="s">
        <v>89</v>
      </c>
      <c r="J60" s="260"/>
      <c r="K60" s="260"/>
      <c r="L60" s="260"/>
      <c r="M60" s="255" t="s">
        <v>245</v>
      </c>
      <c r="N60" s="256"/>
      <c r="O60" s="256"/>
      <c r="P60" s="256"/>
      <c r="Q60" s="256"/>
      <c r="R60" s="256"/>
      <c r="S60" s="256"/>
      <c r="T60" s="257"/>
      <c r="U60" s="182" t="s">
        <v>245</v>
      </c>
      <c r="V60" s="183"/>
      <c r="W60" s="183"/>
      <c r="X60" s="183"/>
      <c r="Y60" s="184"/>
      <c r="Z60" s="182" t="s">
        <v>80</v>
      </c>
      <c r="AA60" s="183"/>
      <c r="AB60" s="184"/>
      <c r="AC60" s="142" t="s">
        <v>96</v>
      </c>
      <c r="AD60" s="182" t="s">
        <v>247</v>
      </c>
      <c r="AE60" s="183"/>
      <c r="AF60" s="183"/>
      <c r="AG60" s="184"/>
      <c r="AL60" s="185" t="s">
        <v>281</v>
      </c>
      <c r="AM60" s="250" t="s">
        <v>200</v>
      </c>
      <c r="AN60" s="250" t="s">
        <v>200</v>
      </c>
      <c r="AO60" s="250" t="s">
        <v>200</v>
      </c>
      <c r="AP60" s="254" t="s">
        <v>200</v>
      </c>
    </row>
    <row r="61" spans="3:53" s="64" customFormat="1" ht="11.25" customHeight="1">
      <c r="D61" s="106">
        <v>2</v>
      </c>
      <c r="E61" s="185" t="s">
        <v>208</v>
      </c>
      <c r="F61" s="186"/>
      <c r="G61" s="186"/>
      <c r="H61" s="187"/>
      <c r="I61" s="260" t="s">
        <v>89</v>
      </c>
      <c r="J61" s="260"/>
      <c r="K61" s="260"/>
      <c r="L61" s="260"/>
      <c r="M61" s="255" t="s">
        <v>245</v>
      </c>
      <c r="N61" s="256"/>
      <c r="O61" s="256"/>
      <c r="P61" s="256"/>
      <c r="Q61" s="256"/>
      <c r="R61" s="256"/>
      <c r="S61" s="256"/>
      <c r="T61" s="257"/>
      <c r="U61" s="182" t="s">
        <v>245</v>
      </c>
      <c r="V61" s="183"/>
      <c r="W61" s="183"/>
      <c r="X61" s="183"/>
      <c r="Y61" s="184"/>
      <c r="Z61" s="182" t="s">
        <v>80</v>
      </c>
      <c r="AA61" s="183"/>
      <c r="AB61" s="184"/>
      <c r="AC61" s="142" t="s">
        <v>96</v>
      </c>
      <c r="AD61" s="182" t="s">
        <v>248</v>
      </c>
      <c r="AE61" s="183"/>
      <c r="AF61" s="183"/>
      <c r="AG61" s="184"/>
      <c r="AL61" s="185" t="s">
        <v>282</v>
      </c>
      <c r="AM61" s="250" t="s">
        <v>200</v>
      </c>
      <c r="AN61" s="250" t="s">
        <v>200</v>
      </c>
      <c r="AO61" s="250" t="s">
        <v>200</v>
      </c>
      <c r="AP61" s="254" t="s">
        <v>200</v>
      </c>
    </row>
    <row r="62" spans="3:53" s="63" customFormat="1" ht="11.25" customHeight="1">
      <c r="D62" s="106">
        <v>3</v>
      </c>
      <c r="E62" s="185" t="s">
        <v>323</v>
      </c>
      <c r="F62" s="186"/>
      <c r="G62" s="186"/>
      <c r="H62" s="187"/>
      <c r="I62" s="260" t="s">
        <v>91</v>
      </c>
      <c r="J62" s="260"/>
      <c r="K62" s="260"/>
      <c r="L62" s="260"/>
      <c r="M62" s="345" t="s">
        <v>194</v>
      </c>
      <c r="N62" s="345"/>
      <c r="O62" s="345"/>
      <c r="P62" s="345"/>
      <c r="Q62" s="345"/>
      <c r="R62" s="345"/>
      <c r="S62" s="345"/>
      <c r="T62" s="345"/>
      <c r="U62" s="266" t="s">
        <v>190</v>
      </c>
      <c r="V62" s="266"/>
      <c r="W62" s="266"/>
      <c r="X62" s="266"/>
      <c r="Y62" s="266"/>
      <c r="Z62" s="266" t="s">
        <v>190</v>
      </c>
      <c r="AA62" s="266"/>
      <c r="AB62" s="266"/>
      <c r="AC62" s="142" t="s">
        <v>96</v>
      </c>
      <c r="AD62" s="182" t="s">
        <v>183</v>
      </c>
      <c r="AE62" s="183"/>
      <c r="AF62" s="183"/>
      <c r="AG62" s="184"/>
      <c r="AH62" s="92"/>
      <c r="AI62" s="92"/>
      <c r="AJ62" s="92"/>
      <c r="AK62" s="92"/>
      <c r="AL62" s="185" t="s">
        <v>283</v>
      </c>
      <c r="AM62" s="250" t="s">
        <v>195</v>
      </c>
      <c r="AN62" s="250" t="s">
        <v>195</v>
      </c>
      <c r="AO62" s="250" t="s">
        <v>195</v>
      </c>
      <c r="AP62" s="254" t="s">
        <v>195</v>
      </c>
      <c r="AQ62" s="92"/>
      <c r="AR62" s="92"/>
      <c r="AS62" s="92"/>
      <c r="AT62" s="92"/>
    </row>
    <row r="63" spans="3:53" s="63" customFormat="1" ht="95.25" customHeight="1">
      <c r="D63" s="106">
        <v>4</v>
      </c>
      <c r="E63" s="185" t="s">
        <v>324</v>
      </c>
      <c r="F63" s="186"/>
      <c r="G63" s="186"/>
      <c r="H63" s="187"/>
      <c r="I63" s="260" t="s">
        <v>89</v>
      </c>
      <c r="J63" s="260"/>
      <c r="K63" s="260"/>
      <c r="L63" s="260"/>
      <c r="M63" s="255" t="s">
        <v>80</v>
      </c>
      <c r="N63" s="256"/>
      <c r="O63" s="256"/>
      <c r="P63" s="256"/>
      <c r="Q63" s="256"/>
      <c r="R63" s="256"/>
      <c r="S63" s="256"/>
      <c r="T63" s="257"/>
      <c r="U63" s="182" t="s">
        <v>299</v>
      </c>
      <c r="V63" s="183"/>
      <c r="W63" s="183"/>
      <c r="X63" s="183"/>
      <c r="Y63" s="184"/>
      <c r="Z63" s="266" t="s">
        <v>190</v>
      </c>
      <c r="AA63" s="266"/>
      <c r="AB63" s="266"/>
      <c r="AC63" s="142" t="s">
        <v>96</v>
      </c>
      <c r="AD63" s="182" t="s">
        <v>184</v>
      </c>
      <c r="AE63" s="183"/>
      <c r="AF63" s="183"/>
      <c r="AG63" s="184"/>
      <c r="AH63" s="92"/>
      <c r="AI63" s="92"/>
      <c r="AJ63" s="92"/>
      <c r="AK63" s="92"/>
      <c r="AL63" s="185" t="s">
        <v>284</v>
      </c>
      <c r="AM63" s="250" t="s">
        <v>196</v>
      </c>
      <c r="AN63" s="250" t="s">
        <v>196</v>
      </c>
      <c r="AO63" s="250" t="s">
        <v>196</v>
      </c>
      <c r="AP63" s="254" t="s">
        <v>196</v>
      </c>
      <c r="AQ63" s="92"/>
      <c r="AR63" s="92"/>
      <c r="AS63" s="92"/>
      <c r="AT63" s="92"/>
    </row>
    <row r="64" spans="3:53" s="63" customFormat="1" ht="95.25" customHeight="1">
      <c r="D64" s="106">
        <v>5</v>
      </c>
      <c r="E64" s="185" t="s">
        <v>325</v>
      </c>
      <c r="F64" s="186"/>
      <c r="G64" s="186"/>
      <c r="H64" s="187"/>
      <c r="I64" s="260" t="s">
        <v>246</v>
      </c>
      <c r="J64" s="260"/>
      <c r="K64" s="260"/>
      <c r="L64" s="260"/>
      <c r="M64" s="255" t="s">
        <v>80</v>
      </c>
      <c r="N64" s="256"/>
      <c r="O64" s="256"/>
      <c r="P64" s="256"/>
      <c r="Q64" s="256"/>
      <c r="R64" s="256"/>
      <c r="S64" s="256"/>
      <c r="T64" s="257"/>
      <c r="U64" s="182" t="s">
        <v>300</v>
      </c>
      <c r="V64" s="183"/>
      <c r="W64" s="183"/>
      <c r="X64" s="183"/>
      <c r="Y64" s="184"/>
      <c r="Z64" s="266" t="s">
        <v>190</v>
      </c>
      <c r="AA64" s="266"/>
      <c r="AB64" s="266"/>
      <c r="AC64" s="142" t="s">
        <v>96</v>
      </c>
      <c r="AD64" s="182" t="s">
        <v>185</v>
      </c>
      <c r="AE64" s="183"/>
      <c r="AF64" s="183"/>
      <c r="AG64" s="184"/>
      <c r="AH64" s="92"/>
      <c r="AI64" s="92"/>
      <c r="AJ64" s="92"/>
      <c r="AK64" s="92"/>
      <c r="AL64" s="185" t="s">
        <v>285</v>
      </c>
      <c r="AM64" s="250" t="s">
        <v>197</v>
      </c>
      <c r="AN64" s="250" t="s">
        <v>197</v>
      </c>
      <c r="AO64" s="250" t="s">
        <v>197</v>
      </c>
      <c r="AP64" s="254" t="s">
        <v>197</v>
      </c>
      <c r="AQ64" s="92"/>
      <c r="AR64" s="92"/>
      <c r="AS64" s="92"/>
      <c r="AT64" s="92"/>
    </row>
    <row r="65" spans="1:48" ht="11.25" customHeight="1">
      <c r="D65" s="106">
        <v>6</v>
      </c>
      <c r="E65" s="185" t="s">
        <v>326</v>
      </c>
      <c r="F65" s="186"/>
      <c r="G65" s="186"/>
      <c r="H65" s="187"/>
      <c r="I65" s="265" t="s">
        <v>91</v>
      </c>
      <c r="J65" s="265"/>
      <c r="K65" s="265"/>
      <c r="L65" s="265"/>
      <c r="M65" s="255" t="s">
        <v>190</v>
      </c>
      <c r="N65" s="256"/>
      <c r="O65" s="256"/>
      <c r="P65" s="256"/>
      <c r="Q65" s="256"/>
      <c r="R65" s="256"/>
      <c r="S65" s="256"/>
      <c r="T65" s="257"/>
      <c r="U65" s="182" t="s">
        <v>94</v>
      </c>
      <c r="V65" s="183"/>
      <c r="W65" s="183"/>
      <c r="X65" s="183"/>
      <c r="Y65" s="184"/>
      <c r="Z65" s="182" t="s">
        <v>80</v>
      </c>
      <c r="AA65" s="183"/>
      <c r="AB65" s="184"/>
      <c r="AC65" s="142" t="s">
        <v>93</v>
      </c>
      <c r="AD65" s="182" t="s">
        <v>321</v>
      </c>
      <c r="AE65" s="183"/>
      <c r="AF65" s="183"/>
      <c r="AG65" s="184"/>
      <c r="AL65" s="185" t="s">
        <v>286</v>
      </c>
      <c r="AM65" s="250" t="s">
        <v>204</v>
      </c>
      <c r="AN65" s="250" t="s">
        <v>204</v>
      </c>
      <c r="AO65" s="250" t="s">
        <v>204</v>
      </c>
      <c r="AP65" s="254" t="s">
        <v>204</v>
      </c>
    </row>
    <row r="66" spans="1:48" s="64" customFormat="1" ht="24.75" customHeight="1">
      <c r="D66" s="106">
        <v>7</v>
      </c>
      <c r="E66" s="185" t="s">
        <v>193</v>
      </c>
      <c r="F66" s="186"/>
      <c r="G66" s="186"/>
      <c r="H66" s="187"/>
      <c r="I66" s="260" t="s">
        <v>88</v>
      </c>
      <c r="J66" s="260"/>
      <c r="K66" s="260"/>
      <c r="L66" s="260"/>
      <c r="M66" s="255" t="s">
        <v>190</v>
      </c>
      <c r="N66" s="256"/>
      <c r="O66" s="256"/>
      <c r="P66" s="256"/>
      <c r="Q66" s="256"/>
      <c r="R66" s="256"/>
      <c r="S66" s="256"/>
      <c r="T66" s="257"/>
      <c r="U66" s="182" t="s">
        <v>313</v>
      </c>
      <c r="V66" s="183"/>
      <c r="W66" s="183"/>
      <c r="X66" s="183"/>
      <c r="Y66" s="184"/>
      <c r="Z66" s="182" t="s">
        <v>80</v>
      </c>
      <c r="AA66" s="183"/>
      <c r="AB66" s="184"/>
      <c r="AC66" s="142" t="s">
        <v>96</v>
      </c>
      <c r="AD66" s="182" t="s">
        <v>296</v>
      </c>
      <c r="AE66" s="183"/>
      <c r="AF66" s="183"/>
      <c r="AG66" s="184"/>
      <c r="AL66" s="185" t="s">
        <v>287</v>
      </c>
      <c r="AM66" s="250" t="s">
        <v>200</v>
      </c>
      <c r="AN66" s="250" t="s">
        <v>200</v>
      </c>
      <c r="AO66" s="250" t="s">
        <v>200</v>
      </c>
      <c r="AP66" s="254" t="s">
        <v>200</v>
      </c>
    </row>
    <row r="67" spans="1:48" s="64" customFormat="1" ht="11.25" customHeight="1">
      <c r="D67" s="106">
        <v>8</v>
      </c>
      <c r="E67" s="185" t="s">
        <v>249</v>
      </c>
      <c r="F67" s="186"/>
      <c r="G67" s="186"/>
      <c r="H67" s="187"/>
      <c r="I67" s="260" t="s">
        <v>91</v>
      </c>
      <c r="J67" s="260"/>
      <c r="K67" s="260"/>
      <c r="L67" s="260"/>
      <c r="M67" s="255" t="s">
        <v>190</v>
      </c>
      <c r="N67" s="256"/>
      <c r="O67" s="256"/>
      <c r="P67" s="256"/>
      <c r="Q67" s="256"/>
      <c r="R67" s="256"/>
      <c r="S67" s="256"/>
      <c r="T67" s="257"/>
      <c r="U67" s="182" t="s">
        <v>94</v>
      </c>
      <c r="V67" s="183"/>
      <c r="W67" s="183"/>
      <c r="X67" s="183"/>
      <c r="Y67" s="184"/>
      <c r="Z67" s="182" t="s">
        <v>80</v>
      </c>
      <c r="AA67" s="183"/>
      <c r="AB67" s="184"/>
      <c r="AC67" s="142" t="s">
        <v>96</v>
      </c>
      <c r="AD67" s="182" t="s">
        <v>191</v>
      </c>
      <c r="AE67" s="183"/>
      <c r="AF67" s="183"/>
      <c r="AG67" s="184"/>
      <c r="AL67" s="185" t="s">
        <v>288</v>
      </c>
      <c r="AM67" s="250" t="s">
        <v>201</v>
      </c>
      <c r="AN67" s="250" t="s">
        <v>201</v>
      </c>
      <c r="AO67" s="250" t="s">
        <v>201</v>
      </c>
      <c r="AP67" s="254" t="s">
        <v>201</v>
      </c>
      <c r="AV67" s="75"/>
    </row>
    <row r="68" spans="1:48" s="64" customFormat="1" ht="11.25" customHeight="1">
      <c r="D68" s="106">
        <v>9</v>
      </c>
      <c r="E68" s="185" t="s">
        <v>327</v>
      </c>
      <c r="F68" s="186"/>
      <c r="G68" s="186"/>
      <c r="H68" s="187"/>
      <c r="I68" s="260" t="s">
        <v>91</v>
      </c>
      <c r="J68" s="260"/>
      <c r="K68" s="260"/>
      <c r="L68" s="260"/>
      <c r="M68" s="255" t="s">
        <v>190</v>
      </c>
      <c r="N68" s="256"/>
      <c r="O68" s="256"/>
      <c r="P68" s="256"/>
      <c r="Q68" s="256"/>
      <c r="R68" s="256"/>
      <c r="S68" s="256"/>
      <c r="T68" s="257"/>
      <c r="U68" s="182" t="s">
        <v>94</v>
      </c>
      <c r="V68" s="183"/>
      <c r="W68" s="183"/>
      <c r="X68" s="183"/>
      <c r="Y68" s="184"/>
      <c r="Z68" s="182" t="s">
        <v>80</v>
      </c>
      <c r="AA68" s="183"/>
      <c r="AB68" s="184"/>
      <c r="AC68" s="142" t="s">
        <v>96</v>
      </c>
      <c r="AD68" s="182" t="s">
        <v>191</v>
      </c>
      <c r="AE68" s="183"/>
      <c r="AF68" s="183"/>
      <c r="AG68" s="184"/>
      <c r="AL68" s="182" t="s">
        <v>289</v>
      </c>
      <c r="AM68" s="258" t="s">
        <v>202</v>
      </c>
      <c r="AN68" s="258" t="s">
        <v>202</v>
      </c>
      <c r="AO68" s="258" t="s">
        <v>202</v>
      </c>
      <c r="AP68" s="259" t="s">
        <v>202</v>
      </c>
      <c r="AR68" s="92"/>
      <c r="AS68" s="92"/>
    </row>
    <row r="69" spans="1:48" s="63" customFormat="1" ht="22.5" customHeight="1">
      <c r="D69" s="106">
        <v>10</v>
      </c>
      <c r="E69" s="182" t="s">
        <v>292</v>
      </c>
      <c r="F69" s="183"/>
      <c r="G69" s="183"/>
      <c r="H69" s="184"/>
      <c r="I69" s="260" t="s">
        <v>308</v>
      </c>
      <c r="J69" s="260"/>
      <c r="K69" s="260"/>
      <c r="L69" s="260"/>
      <c r="M69" s="255" t="s">
        <v>190</v>
      </c>
      <c r="N69" s="256"/>
      <c r="O69" s="256"/>
      <c r="P69" s="256"/>
      <c r="Q69" s="256"/>
      <c r="R69" s="256"/>
      <c r="S69" s="256"/>
      <c r="T69" s="257"/>
      <c r="U69" s="182" t="s">
        <v>312</v>
      </c>
      <c r="V69" s="183"/>
      <c r="W69" s="183"/>
      <c r="X69" s="183"/>
      <c r="Y69" s="184"/>
      <c r="Z69" s="182" t="s">
        <v>80</v>
      </c>
      <c r="AA69" s="183"/>
      <c r="AB69" s="184"/>
      <c r="AC69" s="142" t="s">
        <v>96</v>
      </c>
      <c r="AD69" s="182" t="s">
        <v>189</v>
      </c>
      <c r="AE69" s="183"/>
      <c r="AF69" s="183"/>
      <c r="AG69" s="184"/>
      <c r="AH69" s="92"/>
      <c r="AI69" s="92"/>
      <c r="AJ69" s="92"/>
      <c r="AK69" s="92"/>
      <c r="AL69" s="185" t="s">
        <v>290</v>
      </c>
      <c r="AM69" s="250" t="s">
        <v>198</v>
      </c>
      <c r="AN69" s="250" t="s">
        <v>198</v>
      </c>
      <c r="AO69" s="250" t="s">
        <v>198</v>
      </c>
      <c r="AP69" s="254" t="s">
        <v>198</v>
      </c>
      <c r="AQ69" s="92"/>
      <c r="AR69" s="92"/>
    </row>
    <row r="70" spans="1:48" s="64" customFormat="1" ht="22.5" customHeight="1">
      <c r="D70" s="106">
        <v>11</v>
      </c>
      <c r="E70" s="182" t="s">
        <v>293</v>
      </c>
      <c r="F70" s="183"/>
      <c r="G70" s="183"/>
      <c r="H70" s="184"/>
      <c r="I70" s="260" t="s">
        <v>308</v>
      </c>
      <c r="J70" s="260"/>
      <c r="K70" s="260"/>
      <c r="L70" s="260"/>
      <c r="M70" s="255" t="s">
        <v>190</v>
      </c>
      <c r="N70" s="256"/>
      <c r="O70" s="256"/>
      <c r="P70" s="256"/>
      <c r="Q70" s="256"/>
      <c r="R70" s="256"/>
      <c r="S70" s="256"/>
      <c r="T70" s="257"/>
      <c r="U70" s="182" t="s">
        <v>312</v>
      </c>
      <c r="V70" s="183"/>
      <c r="W70" s="183"/>
      <c r="X70" s="183"/>
      <c r="Y70" s="184"/>
      <c r="Z70" s="182" t="s">
        <v>80</v>
      </c>
      <c r="AA70" s="183"/>
      <c r="AB70" s="184"/>
      <c r="AC70" s="142" t="s">
        <v>96</v>
      </c>
      <c r="AD70" s="182" t="s">
        <v>189</v>
      </c>
      <c r="AE70" s="183"/>
      <c r="AF70" s="183"/>
      <c r="AG70" s="184"/>
      <c r="AL70" s="185" t="s">
        <v>291</v>
      </c>
      <c r="AM70" s="250" t="s">
        <v>199</v>
      </c>
      <c r="AN70" s="250" t="s">
        <v>199</v>
      </c>
      <c r="AO70" s="250" t="s">
        <v>199</v>
      </c>
      <c r="AP70" s="254" t="s">
        <v>199</v>
      </c>
    </row>
    <row r="71" spans="1:48">
      <c r="D71" s="106">
        <v>12</v>
      </c>
      <c r="E71" s="185" t="s">
        <v>90</v>
      </c>
      <c r="F71" s="186"/>
      <c r="G71" s="186"/>
      <c r="H71" s="187"/>
      <c r="I71" s="260" t="s">
        <v>92</v>
      </c>
      <c r="J71" s="260"/>
      <c r="K71" s="260"/>
      <c r="L71" s="260"/>
      <c r="M71" s="255" t="s">
        <v>190</v>
      </c>
      <c r="N71" s="256"/>
      <c r="O71" s="256"/>
      <c r="P71" s="256"/>
      <c r="Q71" s="256"/>
      <c r="R71" s="256"/>
      <c r="S71" s="256"/>
      <c r="T71" s="257"/>
      <c r="U71" s="182" t="s">
        <v>94</v>
      </c>
      <c r="V71" s="183"/>
      <c r="W71" s="183"/>
      <c r="X71" s="183"/>
      <c r="Y71" s="184"/>
      <c r="Z71" s="182" t="s">
        <v>80</v>
      </c>
      <c r="AA71" s="183"/>
      <c r="AB71" s="184"/>
      <c r="AC71" s="142" t="s">
        <v>93</v>
      </c>
      <c r="AD71" s="182" t="s">
        <v>90</v>
      </c>
      <c r="AE71" s="183"/>
      <c r="AF71" s="183"/>
      <c r="AG71" s="184"/>
      <c r="AL71" s="370" t="s">
        <v>203</v>
      </c>
      <c r="AM71" s="250" t="s">
        <v>203</v>
      </c>
      <c r="AN71" s="250" t="s">
        <v>203</v>
      </c>
      <c r="AO71" s="250" t="s">
        <v>203</v>
      </c>
      <c r="AP71" s="254" t="s">
        <v>203</v>
      </c>
    </row>
    <row r="72" spans="1:48" ht="11.25" customHeight="1"/>
    <row r="73" spans="1:48">
      <c r="D73" s="64"/>
      <c r="E73" s="96"/>
      <c r="F73" s="96"/>
      <c r="G73" s="96"/>
      <c r="H73" s="96"/>
      <c r="I73" s="96"/>
      <c r="J73" s="96"/>
      <c r="K73" s="96"/>
      <c r="L73" s="96"/>
      <c r="M73" s="96"/>
      <c r="N73" s="96"/>
      <c r="O73" s="96"/>
      <c r="P73" s="96"/>
      <c r="Q73" s="96"/>
      <c r="R73" s="96"/>
      <c r="S73" s="96"/>
      <c r="T73" s="96"/>
      <c r="U73" s="96"/>
      <c r="V73" s="96"/>
      <c r="W73" s="96"/>
      <c r="X73" s="100"/>
      <c r="Y73" s="100"/>
      <c r="Z73" s="100"/>
      <c r="AA73" s="100"/>
      <c r="AB73" s="96"/>
      <c r="AC73" s="96"/>
      <c r="AD73" s="96"/>
      <c r="AE73" s="96"/>
      <c r="AF73" s="96"/>
      <c r="AG73" s="96"/>
      <c r="AH73" s="96"/>
      <c r="AI73" s="96"/>
      <c r="AJ73" s="96"/>
      <c r="AK73" s="96"/>
    </row>
    <row r="74" spans="1:48">
      <c r="C74" s="16" t="s">
        <v>66</v>
      </c>
      <c r="D74" s="64"/>
      <c r="E74" s="96"/>
      <c r="F74" s="96"/>
      <c r="G74" s="96"/>
      <c r="H74" s="96"/>
      <c r="I74" s="96"/>
      <c r="J74" s="96"/>
      <c r="K74" s="96"/>
      <c r="L74" s="96"/>
      <c r="M74" s="96"/>
      <c r="N74" s="96"/>
      <c r="O74" s="96"/>
      <c r="P74" s="96"/>
      <c r="Q74" s="96"/>
      <c r="R74" s="96"/>
      <c r="S74" s="96"/>
      <c r="T74" s="96"/>
      <c r="U74" s="96"/>
      <c r="V74" s="96"/>
      <c r="W74" s="96"/>
      <c r="X74" s="100"/>
      <c r="Y74" s="100"/>
      <c r="Z74" s="100"/>
      <c r="AA74" s="100"/>
      <c r="AB74" s="96"/>
      <c r="AC74" s="96"/>
      <c r="AD74" s="96"/>
      <c r="AE74" s="96"/>
      <c r="AF74" s="96"/>
      <c r="AG74" s="96"/>
      <c r="AH74" s="96"/>
      <c r="AI74" s="96"/>
      <c r="AJ74" s="96"/>
      <c r="AK74" s="96"/>
    </row>
    <row r="75" spans="1:48" ht="11.25" customHeight="1">
      <c r="AI75" s="96"/>
      <c r="AJ75" s="96"/>
    </row>
    <row r="76" spans="1:48">
      <c r="D76" s="318" t="s">
        <v>154</v>
      </c>
      <c r="E76" s="284" t="s">
        <v>49</v>
      </c>
      <c r="F76" s="285"/>
      <c r="G76" s="285"/>
      <c r="H76" s="285"/>
      <c r="I76" s="285"/>
      <c r="J76" s="286"/>
      <c r="K76" s="284" t="s">
        <v>50</v>
      </c>
      <c r="L76" s="285"/>
      <c r="M76" s="285"/>
      <c r="N76" s="286"/>
      <c r="O76" s="282" t="s">
        <v>51</v>
      </c>
      <c r="P76" s="108" t="s">
        <v>58</v>
      </c>
      <c r="Q76" s="109"/>
      <c r="R76" s="109"/>
      <c r="S76" s="109"/>
      <c r="T76" s="109"/>
      <c r="U76" s="109"/>
      <c r="V76" s="284" t="s">
        <v>30</v>
      </c>
      <c r="W76" s="285"/>
      <c r="X76" s="285"/>
      <c r="Y76" s="285"/>
      <c r="Z76" s="285"/>
      <c r="AA76" s="285"/>
      <c r="AB76" s="285"/>
      <c r="AC76" s="285"/>
      <c r="AD76" s="285"/>
      <c r="AE76" s="285"/>
      <c r="AF76" s="285"/>
      <c r="AG76" s="285"/>
      <c r="AH76" s="286"/>
    </row>
    <row r="77" spans="1:48">
      <c r="D77" s="319"/>
      <c r="E77" s="287"/>
      <c r="F77" s="288"/>
      <c r="G77" s="288"/>
      <c r="H77" s="288"/>
      <c r="I77" s="288"/>
      <c r="J77" s="289"/>
      <c r="K77" s="287"/>
      <c r="L77" s="288"/>
      <c r="M77" s="288"/>
      <c r="N77" s="289"/>
      <c r="O77" s="283"/>
      <c r="P77" s="110" t="s">
        <v>52</v>
      </c>
      <c r="Q77" s="110" t="s">
        <v>53</v>
      </c>
      <c r="R77" s="110" t="s">
        <v>54</v>
      </c>
      <c r="S77" s="110" t="s">
        <v>55</v>
      </c>
      <c r="T77" s="290" t="s">
        <v>59</v>
      </c>
      <c r="U77" s="291"/>
      <c r="V77" s="287"/>
      <c r="W77" s="288"/>
      <c r="X77" s="288"/>
      <c r="Y77" s="288"/>
      <c r="Z77" s="288"/>
      <c r="AA77" s="288"/>
      <c r="AB77" s="288"/>
      <c r="AC77" s="288"/>
      <c r="AD77" s="288"/>
      <c r="AE77" s="288"/>
      <c r="AF77" s="288"/>
      <c r="AG77" s="288"/>
      <c r="AH77" s="289"/>
    </row>
    <row r="78" spans="1:48">
      <c r="D78" s="111">
        <v>1</v>
      </c>
      <c r="E78" s="295" t="s">
        <v>209</v>
      </c>
      <c r="F78" s="296"/>
      <c r="G78" s="296"/>
      <c r="H78" s="296"/>
      <c r="I78" s="296"/>
      <c r="J78" s="297"/>
      <c r="K78" s="323" t="s">
        <v>98</v>
      </c>
      <c r="L78" s="258"/>
      <c r="M78" s="258"/>
      <c r="N78" s="259"/>
      <c r="O78" s="105" t="s">
        <v>99</v>
      </c>
      <c r="P78" s="112" t="s">
        <v>93</v>
      </c>
      <c r="Q78" s="112" t="s">
        <v>96</v>
      </c>
      <c r="R78" s="112" t="s">
        <v>93</v>
      </c>
      <c r="S78" s="112" t="s">
        <v>93</v>
      </c>
      <c r="T78" s="368" t="s">
        <v>93</v>
      </c>
      <c r="U78" s="369"/>
      <c r="V78" s="323" t="s">
        <v>100</v>
      </c>
      <c r="W78" s="258"/>
      <c r="X78" s="258"/>
      <c r="Y78" s="258"/>
      <c r="Z78" s="258"/>
      <c r="AA78" s="258"/>
      <c r="AB78" s="258"/>
      <c r="AC78" s="258"/>
      <c r="AD78" s="258"/>
      <c r="AE78" s="258"/>
      <c r="AF78" s="258"/>
      <c r="AG78" s="258"/>
      <c r="AH78" s="259"/>
    </row>
    <row r="79" spans="1:48">
      <c r="D79" s="101"/>
      <c r="E79" s="104"/>
      <c r="F79" s="104"/>
      <c r="G79" s="104"/>
      <c r="H79" s="104"/>
      <c r="I79" s="104"/>
      <c r="J79" s="104"/>
      <c r="K79" s="104"/>
      <c r="L79" s="104"/>
      <c r="M79" s="104"/>
      <c r="N79" s="104"/>
      <c r="O79" s="104"/>
      <c r="P79" s="104"/>
      <c r="Q79" s="104"/>
      <c r="R79" s="104"/>
      <c r="S79" s="104"/>
      <c r="T79" s="104"/>
      <c r="U79" s="104"/>
      <c r="V79" s="102"/>
      <c r="W79" s="102"/>
      <c r="X79" s="102"/>
      <c r="Y79" s="102"/>
      <c r="Z79" s="102"/>
      <c r="AA79" s="102"/>
      <c r="AB79" s="102"/>
      <c r="AC79" s="102"/>
      <c r="AD79" s="102"/>
      <c r="AE79" s="102"/>
      <c r="AF79" s="102"/>
      <c r="AG79" s="102"/>
      <c r="AH79" s="102"/>
    </row>
    <row r="80" spans="1:48">
      <c r="D80" s="64"/>
      <c r="E80" s="96"/>
      <c r="F80" s="96"/>
      <c r="G80" s="96"/>
      <c r="H80" s="96"/>
      <c r="I80" s="96"/>
      <c r="J80" s="96"/>
      <c r="K80" s="96"/>
      <c r="L80" s="96"/>
      <c r="M80" s="96"/>
      <c r="N80" s="96"/>
      <c r="O80" s="96"/>
      <c r="R80" s="96"/>
      <c r="S80" s="96"/>
      <c r="T80" s="96"/>
      <c r="U80" s="96"/>
      <c r="V80" s="96"/>
      <c r="W80" s="96"/>
      <c r="X80" s="100"/>
      <c r="Y80" s="100"/>
      <c r="Z80" s="100"/>
      <c r="AA80" s="100"/>
      <c r="AB80" s="96"/>
      <c r="AC80" s="96"/>
      <c r="AD80" s="96"/>
      <c r="AE80" s="96"/>
      <c r="AF80" s="96"/>
      <c r="AG80" s="96"/>
      <c r="AH80" s="96"/>
      <c r="AI80" s="96"/>
      <c r="AJ80" s="96"/>
    </row>
    <row r="81" spans="3:36">
      <c r="C81" s="16" t="s">
        <v>67</v>
      </c>
    </row>
    <row r="83" spans="3:36" ht="11.25" customHeight="1">
      <c r="C83" s="75"/>
      <c r="D83" s="113" t="s">
        <v>11</v>
      </c>
      <c r="E83" s="261" t="s">
        <v>72</v>
      </c>
      <c r="F83" s="262"/>
      <c r="G83" s="262"/>
      <c r="H83" s="262"/>
      <c r="I83" s="262"/>
      <c r="J83" s="263"/>
      <c r="K83" s="261" t="s">
        <v>38</v>
      </c>
      <c r="L83" s="262"/>
      <c r="M83" s="262"/>
      <c r="N83" s="262"/>
      <c r="O83" s="262"/>
      <c r="P83" s="262"/>
      <c r="Q83" s="264"/>
      <c r="R83" s="247" t="s">
        <v>73</v>
      </c>
      <c r="S83" s="262"/>
      <c r="T83" s="262"/>
      <c r="U83" s="262"/>
      <c r="V83" s="262"/>
      <c r="W83" s="262"/>
      <c r="X83" s="262"/>
      <c r="Y83" s="264"/>
      <c r="Z83" s="270" t="s">
        <v>26</v>
      </c>
      <c r="AA83" s="271"/>
      <c r="AB83" s="271"/>
      <c r="AC83" s="271"/>
      <c r="AD83" s="272"/>
      <c r="AE83" s="267" t="s">
        <v>170</v>
      </c>
      <c r="AF83" s="268"/>
      <c r="AG83" s="268"/>
      <c r="AH83" s="269"/>
    </row>
    <row r="84" spans="3:36" ht="27" customHeight="1">
      <c r="D84" s="106">
        <v>1</v>
      </c>
      <c r="E84" s="323" t="s">
        <v>101</v>
      </c>
      <c r="F84" s="258"/>
      <c r="G84" s="258"/>
      <c r="H84" s="258"/>
      <c r="I84" s="258"/>
      <c r="J84" s="259"/>
      <c r="K84" s="323" t="s">
        <v>102</v>
      </c>
      <c r="L84" s="258"/>
      <c r="M84" s="258"/>
      <c r="N84" s="258"/>
      <c r="O84" s="258"/>
      <c r="P84" s="258"/>
      <c r="Q84" s="259"/>
      <c r="R84" s="182" t="s">
        <v>218</v>
      </c>
      <c r="S84" s="258"/>
      <c r="T84" s="258"/>
      <c r="U84" s="258"/>
      <c r="V84" s="258"/>
      <c r="W84" s="258"/>
      <c r="X84" s="258"/>
      <c r="Y84" s="259"/>
      <c r="Z84" s="323" t="s">
        <v>100</v>
      </c>
      <c r="AA84" s="258"/>
      <c r="AB84" s="258"/>
      <c r="AC84" s="258"/>
      <c r="AD84" s="259"/>
      <c r="AE84" s="273" t="s">
        <v>71</v>
      </c>
      <c r="AF84" s="274"/>
      <c r="AG84" s="274"/>
      <c r="AH84" s="275"/>
    </row>
    <row r="85" spans="3:36" ht="27" customHeight="1">
      <c r="D85" s="139">
        <v>2</v>
      </c>
      <c r="E85" s="306" t="s">
        <v>210</v>
      </c>
      <c r="F85" s="307"/>
      <c r="G85" s="307"/>
      <c r="H85" s="307"/>
      <c r="I85" s="307"/>
      <c r="J85" s="308"/>
      <c r="K85" s="306" t="s">
        <v>211</v>
      </c>
      <c r="L85" s="307"/>
      <c r="M85" s="307"/>
      <c r="N85" s="307"/>
      <c r="O85" s="307"/>
      <c r="P85" s="307"/>
      <c r="Q85" s="308"/>
      <c r="R85" s="306" t="s">
        <v>212</v>
      </c>
      <c r="S85" s="307"/>
      <c r="T85" s="307"/>
      <c r="U85" s="307"/>
      <c r="V85" s="307"/>
      <c r="W85" s="307"/>
      <c r="X85" s="307"/>
      <c r="Y85" s="308"/>
      <c r="Z85" s="306" t="s">
        <v>213</v>
      </c>
      <c r="AA85" s="307"/>
      <c r="AB85" s="307"/>
      <c r="AC85" s="307"/>
      <c r="AD85" s="308"/>
      <c r="AE85" s="309" t="s">
        <v>74</v>
      </c>
      <c r="AF85" s="310"/>
      <c r="AG85" s="310"/>
      <c r="AH85" s="311"/>
    </row>
    <row r="86" spans="3:36" ht="27" customHeight="1">
      <c r="D86" s="106">
        <v>3</v>
      </c>
      <c r="E86" s="182" t="s">
        <v>214</v>
      </c>
      <c r="F86" s="258"/>
      <c r="G86" s="258"/>
      <c r="H86" s="258"/>
      <c r="I86" s="258"/>
      <c r="J86" s="259"/>
      <c r="K86" s="182" t="s">
        <v>250</v>
      </c>
      <c r="L86" s="258"/>
      <c r="M86" s="258"/>
      <c r="N86" s="258"/>
      <c r="O86" s="258"/>
      <c r="P86" s="258"/>
      <c r="Q86" s="259"/>
      <c r="R86" s="182" t="s">
        <v>215</v>
      </c>
      <c r="S86" s="258"/>
      <c r="T86" s="258"/>
      <c r="U86" s="258"/>
      <c r="V86" s="258"/>
      <c r="W86" s="258"/>
      <c r="X86" s="258"/>
      <c r="Y86" s="259"/>
      <c r="Z86" s="182" t="s">
        <v>231</v>
      </c>
      <c r="AA86" s="258"/>
      <c r="AB86" s="258"/>
      <c r="AC86" s="258"/>
      <c r="AD86" s="259"/>
      <c r="AE86" s="273" t="s">
        <v>71</v>
      </c>
      <c r="AF86" s="274"/>
      <c r="AG86" s="274"/>
      <c r="AH86" s="275"/>
    </row>
    <row r="87" spans="3:36" ht="27" customHeight="1">
      <c r="D87" s="106">
        <v>4</v>
      </c>
      <c r="E87" s="182" t="s">
        <v>251</v>
      </c>
      <c r="F87" s="258"/>
      <c r="G87" s="258"/>
      <c r="H87" s="258"/>
      <c r="I87" s="258"/>
      <c r="J87" s="259"/>
      <c r="K87" s="182" t="s">
        <v>252</v>
      </c>
      <c r="L87" s="258"/>
      <c r="M87" s="258"/>
      <c r="N87" s="258"/>
      <c r="O87" s="258"/>
      <c r="P87" s="258"/>
      <c r="Q87" s="259"/>
      <c r="R87" s="182" t="s">
        <v>217</v>
      </c>
      <c r="S87" s="258"/>
      <c r="T87" s="258"/>
      <c r="U87" s="258"/>
      <c r="V87" s="258"/>
      <c r="W87" s="258"/>
      <c r="X87" s="258"/>
      <c r="Y87" s="259"/>
      <c r="Z87" s="182" t="s">
        <v>216</v>
      </c>
      <c r="AA87" s="258"/>
      <c r="AB87" s="258"/>
      <c r="AC87" s="258"/>
      <c r="AD87" s="259"/>
      <c r="AE87" s="273" t="s">
        <v>71</v>
      </c>
      <c r="AF87" s="274"/>
      <c r="AG87" s="274"/>
      <c r="AH87" s="275"/>
    </row>
    <row r="88" spans="3:36">
      <c r="D88" s="95"/>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3"/>
    </row>
    <row r="89" spans="3:36">
      <c r="AE89" s="104"/>
      <c r="AF89" s="104"/>
      <c r="AG89" s="104"/>
    </row>
    <row r="90" spans="3:36">
      <c r="C90" s="16" t="s">
        <v>65</v>
      </c>
      <c r="D90" s="29"/>
      <c r="E90" s="29"/>
      <c r="G90"/>
      <c r="AE90" s="104"/>
      <c r="AG90" s="104"/>
    </row>
    <row r="91" spans="3:36" ht="11.25" customHeight="1">
      <c r="D91" s="26" t="s">
        <v>103</v>
      </c>
      <c r="E91" s="29"/>
    </row>
    <row r="92" spans="3:36" ht="11.25" customHeight="1">
      <c r="D92" s="29"/>
      <c r="E92" s="29"/>
    </row>
    <row r="93" spans="3:36" ht="11.25" customHeight="1">
      <c r="D93" s="29"/>
      <c r="E93" s="29" t="s">
        <v>104</v>
      </c>
    </row>
    <row r="94" spans="3:36">
      <c r="D94" s="29"/>
      <c r="E94" s="29"/>
      <c r="F94" s="29"/>
    </row>
    <row r="95" spans="3:36" ht="11.25" customHeight="1">
      <c r="D95" s="29"/>
      <c r="E95" s="29"/>
      <c r="F95" s="16" t="s">
        <v>152</v>
      </c>
    </row>
    <row r="96" spans="3:36">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96"/>
    </row>
    <row r="97" spans="4:58" ht="11.25" customHeight="1">
      <c r="D97" s="29"/>
      <c r="E97" s="29"/>
    </row>
    <row r="98" spans="4:58">
      <c r="E98" t="s">
        <v>105</v>
      </c>
    </row>
    <row r="99" spans="4:58">
      <c r="F99" t="s">
        <v>219</v>
      </c>
    </row>
    <row r="101" spans="4:58">
      <c r="G101" s="276" t="s">
        <v>106</v>
      </c>
      <c r="H101" s="277"/>
      <c r="I101" s="277"/>
      <c r="J101" s="277"/>
      <c r="K101" s="277"/>
      <c r="L101" s="277"/>
      <c r="M101" s="277"/>
      <c r="N101" s="277"/>
      <c r="O101" s="277"/>
      <c r="P101" s="278"/>
      <c r="Q101" s="279" t="s">
        <v>107</v>
      </c>
      <c r="R101" s="280"/>
      <c r="S101" s="280"/>
      <c r="T101" s="280"/>
      <c r="U101" s="280"/>
      <c r="V101" s="280"/>
      <c r="W101" s="280"/>
      <c r="X101" s="280"/>
      <c r="Y101" s="280"/>
      <c r="Z101" s="281"/>
    </row>
    <row r="102" spans="4:58" ht="11.25" customHeight="1">
      <c r="G102" s="312" t="s">
        <v>220</v>
      </c>
      <c r="H102" s="313"/>
      <c r="I102" s="313"/>
      <c r="J102" s="313"/>
      <c r="K102" s="313"/>
      <c r="L102" s="313"/>
      <c r="M102" s="313"/>
      <c r="N102" s="313"/>
      <c r="O102" s="313"/>
      <c r="P102" s="314"/>
      <c r="Q102" s="295" t="s">
        <v>221</v>
      </c>
      <c r="R102" s="296"/>
      <c r="S102" s="296"/>
      <c r="T102" s="296"/>
      <c r="U102" s="296"/>
      <c r="V102" s="296"/>
      <c r="W102" s="296"/>
      <c r="X102" s="296"/>
      <c r="Y102" s="296"/>
      <c r="Z102" s="297"/>
      <c r="AG102" s="76"/>
      <c r="AH102" s="76"/>
    </row>
    <row r="103" spans="4:58">
      <c r="G103" s="315"/>
      <c r="H103" s="316"/>
      <c r="I103" s="316"/>
      <c r="J103" s="316"/>
      <c r="K103" s="316"/>
      <c r="L103" s="316"/>
      <c r="M103" s="316"/>
      <c r="N103" s="316"/>
      <c r="O103" s="316"/>
      <c r="P103" s="317"/>
      <c r="Q103" s="295" t="s">
        <v>222</v>
      </c>
      <c r="R103" s="296"/>
      <c r="S103" s="296"/>
      <c r="T103" s="296"/>
      <c r="U103" s="296"/>
      <c r="V103" s="296"/>
      <c r="W103" s="296"/>
      <c r="X103" s="296"/>
      <c r="Y103" s="296"/>
      <c r="Z103" s="297"/>
      <c r="AC103" s="77"/>
      <c r="AD103" s="77"/>
      <c r="AE103" s="77"/>
      <c r="AF103" s="77"/>
      <c r="AG103" s="76"/>
      <c r="AH103" s="76"/>
      <c r="AP103" s="77"/>
      <c r="AQ103" s="77"/>
      <c r="AR103" s="77"/>
      <c r="AS103" s="77"/>
      <c r="AT103" s="77"/>
      <c r="AU103" s="77"/>
      <c r="AV103" s="77"/>
      <c r="AW103" s="77"/>
      <c r="AX103" s="77"/>
      <c r="AY103" s="77"/>
    </row>
    <row r="104" spans="4:58">
      <c r="G104" s="303" t="s">
        <v>108</v>
      </c>
      <c r="H104" s="304"/>
      <c r="I104" s="304"/>
      <c r="J104" s="304"/>
      <c r="K104" s="304"/>
      <c r="L104" s="304"/>
      <c r="M104" s="304"/>
      <c r="N104" s="304"/>
      <c r="O104" s="304"/>
      <c r="P104" s="304"/>
      <c r="Q104" s="304"/>
      <c r="R104" s="304"/>
      <c r="S104" s="304"/>
      <c r="T104" s="304"/>
      <c r="U104" s="304"/>
      <c r="V104" s="304"/>
      <c r="W104" s="304"/>
      <c r="X104" s="304"/>
      <c r="Y104" s="304"/>
      <c r="Z104" s="305"/>
      <c r="AJ104" s="77"/>
      <c r="AK104" s="77"/>
      <c r="AL104" s="77"/>
      <c r="AM104" s="77"/>
      <c r="AN104" s="77"/>
      <c r="AO104" s="77"/>
      <c r="AP104" s="77"/>
      <c r="AQ104" s="77"/>
      <c r="AR104" s="77"/>
      <c r="AS104" s="77"/>
      <c r="AT104" s="77"/>
      <c r="AU104" s="77"/>
      <c r="AV104" s="77"/>
      <c r="AW104" s="77"/>
      <c r="AX104" s="77"/>
      <c r="AY104" s="77"/>
      <c r="AZ104" s="77"/>
      <c r="BA104" s="77"/>
      <c r="BB104" s="77"/>
      <c r="BC104" s="77"/>
      <c r="BD104" s="77"/>
      <c r="BE104" s="77"/>
      <c r="BF104" s="77"/>
    </row>
    <row r="105" spans="4:58">
      <c r="G105" s="78"/>
      <c r="H105" s="79"/>
      <c r="I105" s="79"/>
      <c r="J105" s="79"/>
      <c r="K105" s="79"/>
      <c r="L105" s="79"/>
      <c r="M105" s="79"/>
      <c r="N105" s="79"/>
      <c r="O105" s="79"/>
      <c r="P105" s="79"/>
      <c r="Q105" s="79"/>
      <c r="R105" s="79"/>
      <c r="S105" s="79"/>
      <c r="T105" s="79"/>
      <c r="U105" s="79"/>
      <c r="V105" s="79"/>
      <c r="W105" s="79"/>
      <c r="X105" s="79"/>
      <c r="Y105" s="79"/>
      <c r="Z105" s="80"/>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c r="BF105" s="77"/>
    </row>
    <row r="106" spans="4:58">
      <c r="G106" s="81"/>
      <c r="H106" s="132" t="s">
        <v>223</v>
      </c>
      <c r="I106" s="82"/>
      <c r="J106" s="82"/>
      <c r="K106" s="82"/>
      <c r="L106" s="83"/>
      <c r="M106" s="83" t="s">
        <v>109</v>
      </c>
      <c r="N106" s="82"/>
      <c r="O106" s="82"/>
      <c r="P106" s="132" t="s">
        <v>224</v>
      </c>
      <c r="Q106" s="82"/>
      <c r="R106" s="82"/>
      <c r="S106" s="82"/>
      <c r="T106" s="82"/>
      <c r="U106" s="82"/>
      <c r="V106" s="84"/>
      <c r="W106" s="82"/>
      <c r="X106" s="82"/>
      <c r="Y106" s="82"/>
      <c r="Z106" s="85"/>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c r="BF106" s="77"/>
    </row>
    <row r="107" spans="4:58">
      <c r="G107" s="86"/>
      <c r="H107" s="87"/>
      <c r="I107" s="87"/>
      <c r="J107" s="87"/>
      <c r="K107" s="87"/>
      <c r="L107" s="88"/>
      <c r="M107" s="88"/>
      <c r="N107" s="87"/>
      <c r="O107" s="87"/>
      <c r="P107" s="87"/>
      <c r="Q107" s="87"/>
      <c r="R107" s="87"/>
      <c r="S107" s="87"/>
      <c r="T107" s="87"/>
      <c r="U107" s="87"/>
      <c r="V107" s="89"/>
      <c r="W107" s="87"/>
      <c r="X107" s="87"/>
      <c r="Y107" s="87"/>
      <c r="Z107" s="90"/>
      <c r="AJ107" s="77"/>
      <c r="AK107" s="77"/>
      <c r="AL107" s="77"/>
      <c r="AM107" s="77"/>
      <c r="AN107" s="77"/>
      <c r="AO107" s="77"/>
      <c r="AP107" s="77"/>
      <c r="AQ107" s="77"/>
      <c r="AR107" s="77"/>
      <c r="AS107" s="77"/>
      <c r="AT107" s="77"/>
      <c r="AU107" s="77"/>
      <c r="AV107" s="77"/>
      <c r="AW107" s="77"/>
      <c r="AX107" s="77"/>
      <c r="AY107" s="77"/>
      <c r="AZ107" s="77"/>
      <c r="BA107" s="77"/>
      <c r="BB107" s="77"/>
      <c r="BC107" s="77"/>
      <c r="BD107" s="77"/>
      <c r="BE107" s="77"/>
      <c r="BF107" s="77"/>
    </row>
    <row r="108" spans="4:58">
      <c r="G108" s="82"/>
      <c r="H108" s="82"/>
      <c r="I108" s="82"/>
      <c r="J108" s="82"/>
      <c r="K108" s="82"/>
      <c r="L108" s="83"/>
      <c r="M108" s="83"/>
      <c r="N108" s="82"/>
      <c r="O108" s="82"/>
      <c r="P108" s="82"/>
      <c r="Q108" s="82"/>
      <c r="R108" s="82"/>
      <c r="S108" s="82"/>
      <c r="T108" s="82"/>
      <c r="U108" s="82"/>
      <c r="V108" s="84"/>
      <c r="W108" s="82"/>
      <c r="X108" s="82"/>
      <c r="Y108" s="82"/>
      <c r="Z108" s="91"/>
      <c r="AJ108" s="77"/>
      <c r="AK108" s="77"/>
      <c r="AL108" s="77"/>
      <c r="AM108" s="77"/>
      <c r="AN108" s="77"/>
      <c r="AO108" s="77"/>
      <c r="AP108" s="77"/>
      <c r="AQ108" s="77"/>
      <c r="AR108" s="77"/>
      <c r="AS108" s="77"/>
      <c r="AT108" s="77"/>
      <c r="AU108" s="77"/>
      <c r="AV108" s="77"/>
      <c r="AW108" s="77"/>
      <c r="AX108" s="77"/>
      <c r="AY108" s="77"/>
      <c r="AZ108" s="77"/>
      <c r="BA108" s="77"/>
      <c r="BB108" s="77"/>
      <c r="BC108" s="77"/>
      <c r="BD108" s="77"/>
      <c r="BE108" s="77"/>
      <c r="BF108" s="77"/>
    </row>
    <row r="109" spans="4:58">
      <c r="AI109" s="77"/>
      <c r="AJ109" s="77"/>
      <c r="AK109" s="77"/>
      <c r="AL109" s="77"/>
      <c r="AM109" s="77"/>
      <c r="AN109" s="77"/>
      <c r="AO109" s="77"/>
      <c r="AP109" s="77"/>
      <c r="AQ109" s="77"/>
      <c r="AR109" s="77"/>
      <c r="AS109" s="77"/>
      <c r="AT109" s="77"/>
      <c r="AU109" s="77"/>
      <c r="AV109" s="77"/>
      <c r="AW109" s="77"/>
      <c r="AX109" s="77"/>
      <c r="AY109" s="77"/>
      <c r="AZ109" s="77"/>
      <c r="BA109" s="77"/>
      <c r="BB109" s="77"/>
      <c r="BC109" s="77"/>
      <c r="BD109" s="77"/>
      <c r="BE109" s="77"/>
    </row>
    <row r="110" spans="4:58">
      <c r="E110" s="16" t="s">
        <v>110</v>
      </c>
      <c r="AJ110" s="77"/>
      <c r="AK110" s="77"/>
      <c r="AL110" s="77"/>
      <c r="AM110" s="77"/>
      <c r="AN110" s="77"/>
      <c r="AO110" s="77"/>
      <c r="AP110" s="77"/>
      <c r="AQ110" s="77"/>
      <c r="AR110" s="77"/>
      <c r="AS110" s="77"/>
      <c r="AT110" s="77"/>
      <c r="AU110" s="77"/>
      <c r="AV110" s="77"/>
      <c r="AW110" s="77"/>
      <c r="AX110" s="77"/>
      <c r="AY110" s="77"/>
      <c r="AZ110" s="77"/>
      <c r="BA110" s="77"/>
      <c r="BB110" s="77"/>
      <c r="BC110" s="77"/>
      <c r="BD110" s="77"/>
      <c r="BE110" s="77"/>
      <c r="BF110" s="77"/>
    </row>
    <row r="111" spans="4:58">
      <c r="AJ111" s="77"/>
      <c r="AK111" s="77"/>
      <c r="AL111" s="77"/>
      <c r="AM111" s="77"/>
      <c r="AN111" s="77"/>
      <c r="AO111" s="77"/>
      <c r="AP111" s="77"/>
      <c r="AQ111" s="77"/>
      <c r="AR111" s="77"/>
      <c r="AS111" s="77"/>
      <c r="AT111" s="77"/>
      <c r="AU111" s="77"/>
      <c r="AV111" s="77"/>
      <c r="AW111" s="77"/>
      <c r="AX111" s="77"/>
      <c r="AY111" s="77"/>
      <c r="AZ111" s="77"/>
      <c r="BA111" s="77"/>
      <c r="BB111" s="77"/>
      <c r="BC111" s="77"/>
      <c r="BD111" s="77"/>
      <c r="BE111" s="77"/>
      <c r="BF111" s="77"/>
    </row>
    <row r="112" spans="4:58">
      <c r="E112" s="92"/>
      <c r="F112" s="44" t="s">
        <v>225</v>
      </c>
      <c r="AJ112" s="77"/>
      <c r="AK112" s="77"/>
      <c r="AL112" s="77"/>
      <c r="AM112" s="77"/>
      <c r="AN112" s="77"/>
      <c r="AO112" s="77"/>
      <c r="AP112" s="77"/>
      <c r="AQ112" s="77"/>
      <c r="AR112" s="77"/>
      <c r="AS112" s="77"/>
      <c r="AT112" s="77"/>
      <c r="AU112" s="77"/>
      <c r="AV112" s="77"/>
      <c r="AW112" s="77"/>
      <c r="AX112" s="77"/>
      <c r="AY112" s="77"/>
      <c r="AZ112" s="77"/>
      <c r="BA112" s="77"/>
      <c r="BB112" s="77"/>
      <c r="BC112" s="77"/>
      <c r="BD112" s="77"/>
      <c r="BE112" s="77"/>
      <c r="BF112" s="77"/>
    </row>
    <row r="113" spans="4:58">
      <c r="E113" s="92"/>
      <c r="F113" s="93"/>
      <c r="G113" s="44" t="s">
        <v>336</v>
      </c>
      <c r="AJ113" s="77"/>
      <c r="AK113" s="77"/>
      <c r="AL113" s="77"/>
      <c r="AM113" s="77"/>
      <c r="AN113" s="77"/>
      <c r="AO113" s="77"/>
      <c r="AP113" s="77"/>
      <c r="AQ113" s="77"/>
      <c r="AR113" s="77"/>
      <c r="AS113" s="77"/>
      <c r="AT113" s="77"/>
      <c r="AU113" s="77"/>
      <c r="AV113" s="77"/>
      <c r="AW113" s="77"/>
      <c r="AX113" s="77"/>
      <c r="AY113" s="77"/>
      <c r="AZ113" s="77"/>
      <c r="BA113" s="77"/>
      <c r="BB113" s="77"/>
      <c r="BC113" s="77"/>
      <c r="BD113" s="77"/>
      <c r="BE113" s="77"/>
      <c r="BF113" s="77"/>
    </row>
    <row r="114" spans="4:58" customFormat="1">
      <c r="E114" s="44"/>
      <c r="G114" s="44" t="s">
        <v>322</v>
      </c>
      <c r="AJ114" s="143"/>
      <c r="AK114" s="143"/>
      <c r="AL114" s="143"/>
      <c r="AM114" s="143"/>
      <c r="AN114" s="143"/>
      <c r="AO114" s="143"/>
      <c r="AP114" s="143"/>
      <c r="AQ114" s="143"/>
      <c r="AR114" s="143"/>
      <c r="AS114" s="143"/>
      <c r="AT114" s="143"/>
      <c r="AU114" s="143"/>
      <c r="AV114" s="143"/>
      <c r="AW114" s="143"/>
      <c r="AX114" s="143"/>
      <c r="AY114" s="143"/>
      <c r="AZ114" s="143"/>
      <c r="BA114" s="143"/>
      <c r="BB114" s="143"/>
      <c r="BC114" s="143"/>
      <c r="BD114" s="143"/>
      <c r="BE114" s="143"/>
      <c r="BF114" s="143"/>
    </row>
    <row r="115" spans="4:58">
      <c r="E115" s="92"/>
      <c r="F115" s="93"/>
      <c r="G115" s="44"/>
      <c r="AJ115" s="77"/>
      <c r="AK115" s="77"/>
      <c r="AL115" s="77"/>
      <c r="AM115" s="77"/>
      <c r="AN115" s="77"/>
      <c r="AO115" s="77"/>
      <c r="AP115" s="77"/>
      <c r="AQ115" s="77"/>
      <c r="AR115" s="77"/>
      <c r="AS115" s="77"/>
      <c r="AT115" s="77"/>
      <c r="AU115" s="77"/>
      <c r="AV115" s="77"/>
      <c r="AW115" s="77"/>
      <c r="AX115" s="77"/>
      <c r="AY115" s="77"/>
      <c r="AZ115" s="77"/>
      <c r="BA115" s="77"/>
      <c r="BB115" s="77"/>
      <c r="BC115" s="77"/>
      <c r="BD115" s="77"/>
      <c r="BE115" s="77"/>
      <c r="BF115" s="77"/>
    </row>
    <row r="116" spans="4:58">
      <c r="E116" s="92"/>
      <c r="AJ116" s="77"/>
      <c r="AK116" s="77"/>
      <c r="AL116" s="77"/>
      <c r="AM116" s="77"/>
      <c r="AN116" s="77"/>
      <c r="AO116" s="77"/>
      <c r="AP116" s="77"/>
      <c r="AQ116" s="77"/>
      <c r="AR116" s="77"/>
      <c r="AS116" s="77"/>
      <c r="AT116" s="77"/>
      <c r="AU116" s="77"/>
      <c r="AV116" s="77"/>
      <c r="AW116" s="77"/>
      <c r="AX116" s="77"/>
      <c r="AY116" s="77"/>
      <c r="AZ116" s="77"/>
      <c r="BA116" s="77"/>
      <c r="BB116" s="77"/>
      <c r="BC116" s="77"/>
      <c r="BD116" s="77"/>
      <c r="BE116" s="77"/>
      <c r="BF116" s="77"/>
    </row>
    <row r="117" spans="4:58" ht="11.25" customHeight="1">
      <c r="D117" s="26" t="s">
        <v>226</v>
      </c>
      <c r="E117" s="29"/>
    </row>
    <row r="118" spans="4:58" ht="11.25" customHeight="1">
      <c r="D118" s="29"/>
      <c r="E118" s="29"/>
    </row>
    <row r="119" spans="4:58" ht="11.25" customHeight="1">
      <c r="D119" s="29"/>
      <c r="E119" s="29" t="s">
        <v>104</v>
      </c>
    </row>
    <row r="120" spans="4:58">
      <c r="D120" s="29"/>
      <c r="E120" s="29"/>
      <c r="F120" s="29"/>
    </row>
    <row r="121" spans="4:58" ht="11.25" customHeight="1">
      <c r="D121" s="29"/>
      <c r="E121" s="29"/>
      <c r="F121" s="16" t="s">
        <v>152</v>
      </c>
    </row>
    <row r="122" spans="4:58">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c r="AI122" s="117"/>
      <c r="AJ122" s="96"/>
    </row>
    <row r="123" spans="4:58" ht="11.25" customHeight="1">
      <c r="D123" s="29"/>
      <c r="E123" s="29"/>
    </row>
    <row r="124" spans="4:58">
      <c r="E124" t="s">
        <v>105</v>
      </c>
    </row>
    <row r="125" spans="4:58">
      <c r="F125" t="s">
        <v>219</v>
      </c>
    </row>
    <row r="127" spans="4:58">
      <c r="G127" s="276" t="s">
        <v>106</v>
      </c>
      <c r="H127" s="277"/>
      <c r="I127" s="277"/>
      <c r="J127" s="277"/>
      <c r="K127" s="277"/>
      <c r="L127" s="277"/>
      <c r="M127" s="277"/>
      <c r="N127" s="277"/>
      <c r="O127" s="277"/>
      <c r="P127" s="278"/>
      <c r="Q127" s="279" t="s">
        <v>107</v>
      </c>
      <c r="R127" s="280"/>
      <c r="S127" s="280"/>
      <c r="T127" s="280"/>
      <c r="U127" s="280"/>
      <c r="V127" s="280"/>
      <c r="W127" s="280"/>
      <c r="X127" s="280"/>
      <c r="Y127" s="280"/>
      <c r="Z127" s="281"/>
    </row>
    <row r="128" spans="4:58" ht="11.25" customHeight="1">
      <c r="G128" s="312" t="s">
        <v>220</v>
      </c>
      <c r="H128" s="313"/>
      <c r="I128" s="313"/>
      <c r="J128" s="313"/>
      <c r="K128" s="313"/>
      <c r="L128" s="313"/>
      <c r="M128" s="313"/>
      <c r="N128" s="313"/>
      <c r="O128" s="313"/>
      <c r="P128" s="314"/>
      <c r="Q128" s="295" t="s">
        <v>221</v>
      </c>
      <c r="R128" s="296"/>
      <c r="S128" s="296"/>
      <c r="T128" s="296"/>
      <c r="U128" s="296"/>
      <c r="V128" s="296"/>
      <c r="W128" s="296"/>
      <c r="X128" s="296"/>
      <c r="Y128" s="296"/>
      <c r="Z128" s="297"/>
      <c r="AG128" s="76"/>
      <c r="AH128" s="76"/>
    </row>
    <row r="129" spans="4:58">
      <c r="G129" s="315"/>
      <c r="H129" s="316"/>
      <c r="I129" s="316"/>
      <c r="J129" s="316"/>
      <c r="K129" s="316"/>
      <c r="L129" s="316"/>
      <c r="M129" s="316"/>
      <c r="N129" s="316"/>
      <c r="O129" s="316"/>
      <c r="P129" s="317"/>
      <c r="Q129" s="295" t="s">
        <v>222</v>
      </c>
      <c r="R129" s="296"/>
      <c r="S129" s="296"/>
      <c r="T129" s="296"/>
      <c r="U129" s="296"/>
      <c r="V129" s="296"/>
      <c r="W129" s="296"/>
      <c r="X129" s="296"/>
      <c r="Y129" s="296"/>
      <c r="Z129" s="297"/>
      <c r="AC129" s="77"/>
      <c r="AD129" s="77"/>
      <c r="AE129" s="77"/>
      <c r="AF129" s="77"/>
      <c r="AG129" s="76"/>
      <c r="AH129" s="76"/>
      <c r="AP129" s="77"/>
      <c r="AQ129" s="77"/>
      <c r="AR129" s="77"/>
      <c r="AS129" s="77"/>
      <c r="AT129" s="77"/>
      <c r="AU129" s="77"/>
      <c r="AV129" s="77"/>
      <c r="AW129" s="77"/>
      <c r="AX129" s="77"/>
      <c r="AY129" s="77"/>
    </row>
    <row r="130" spans="4:58">
      <c r="G130" s="303" t="s">
        <v>108</v>
      </c>
      <c r="H130" s="304"/>
      <c r="I130" s="304"/>
      <c r="J130" s="304"/>
      <c r="K130" s="304"/>
      <c r="L130" s="304"/>
      <c r="M130" s="304"/>
      <c r="N130" s="304"/>
      <c r="O130" s="304"/>
      <c r="P130" s="304"/>
      <c r="Q130" s="304"/>
      <c r="R130" s="304"/>
      <c r="S130" s="304"/>
      <c r="T130" s="304"/>
      <c r="U130" s="304"/>
      <c r="V130" s="304"/>
      <c r="W130" s="304"/>
      <c r="X130" s="304"/>
      <c r="Y130" s="304"/>
      <c r="Z130" s="305"/>
      <c r="AJ130" s="77"/>
      <c r="AK130" s="77"/>
      <c r="AL130" s="77"/>
      <c r="AM130" s="77"/>
      <c r="AN130" s="77"/>
      <c r="AO130" s="77"/>
      <c r="AP130" s="77"/>
      <c r="AQ130" s="77"/>
      <c r="AR130" s="77"/>
      <c r="AS130" s="77"/>
      <c r="AT130" s="77"/>
      <c r="AU130" s="77"/>
      <c r="AV130" s="77"/>
      <c r="AW130" s="77"/>
      <c r="AX130" s="77"/>
      <c r="AY130" s="77"/>
      <c r="AZ130" s="77"/>
      <c r="BA130" s="77"/>
      <c r="BB130" s="77"/>
      <c r="BC130" s="77"/>
      <c r="BD130" s="77"/>
      <c r="BE130" s="77"/>
      <c r="BF130" s="77"/>
    </row>
    <row r="131" spans="4:58">
      <c r="G131" s="78"/>
      <c r="H131" s="79"/>
      <c r="I131" s="79"/>
      <c r="J131" s="79"/>
      <c r="K131" s="79"/>
      <c r="L131" s="79"/>
      <c r="M131" s="79"/>
      <c r="N131" s="79"/>
      <c r="O131" s="79"/>
      <c r="P131" s="79"/>
      <c r="Q131" s="79"/>
      <c r="R131" s="79"/>
      <c r="S131" s="79"/>
      <c r="T131" s="79"/>
      <c r="U131" s="79"/>
      <c r="V131" s="79"/>
      <c r="W131" s="79"/>
      <c r="X131" s="79"/>
      <c r="Y131" s="79"/>
      <c r="Z131" s="80"/>
      <c r="AJ131" s="77"/>
      <c r="AK131" s="77"/>
      <c r="AL131" s="77"/>
      <c r="AM131" s="77"/>
      <c r="AN131" s="77"/>
      <c r="AO131" s="77"/>
      <c r="AP131" s="77"/>
      <c r="AQ131" s="77"/>
      <c r="AR131" s="77"/>
      <c r="AS131" s="77"/>
      <c r="AT131" s="77"/>
      <c r="AU131" s="77"/>
      <c r="AV131" s="77"/>
      <c r="AW131" s="77"/>
      <c r="AX131" s="77"/>
      <c r="AY131" s="77"/>
      <c r="AZ131" s="77"/>
      <c r="BA131" s="77"/>
      <c r="BB131" s="77"/>
      <c r="BC131" s="77"/>
      <c r="BD131" s="77"/>
      <c r="BE131" s="77"/>
      <c r="BF131" s="77"/>
    </row>
    <row r="132" spans="4:58">
      <c r="G132" s="81"/>
      <c r="H132" s="132" t="s">
        <v>223</v>
      </c>
      <c r="I132" s="82"/>
      <c r="J132" s="82"/>
      <c r="K132" s="82"/>
      <c r="L132" s="83"/>
      <c r="M132" s="83" t="s">
        <v>109</v>
      </c>
      <c r="N132" s="82"/>
      <c r="O132" s="82"/>
      <c r="P132" s="132" t="s">
        <v>227</v>
      </c>
      <c r="Q132" s="82"/>
      <c r="R132" s="82"/>
      <c r="S132" s="82"/>
      <c r="T132" s="82"/>
      <c r="U132" s="82"/>
      <c r="V132" s="84"/>
      <c r="W132" s="82"/>
      <c r="X132" s="82"/>
      <c r="Y132" s="82"/>
      <c r="Z132" s="85"/>
      <c r="AJ132" s="77"/>
      <c r="AK132" s="77"/>
      <c r="AL132" s="77"/>
      <c r="AM132" s="77"/>
      <c r="AN132" s="77"/>
      <c r="AO132" s="77"/>
      <c r="AP132" s="77"/>
      <c r="AQ132" s="77"/>
      <c r="AR132" s="77"/>
      <c r="AS132" s="77"/>
      <c r="AT132" s="77"/>
      <c r="AU132" s="77"/>
      <c r="AV132" s="77"/>
      <c r="AW132" s="77"/>
      <c r="AX132" s="77"/>
      <c r="AY132" s="77"/>
      <c r="AZ132" s="77"/>
      <c r="BA132" s="77"/>
      <c r="BB132" s="77"/>
      <c r="BC132" s="77"/>
      <c r="BD132" s="77"/>
      <c r="BE132" s="77"/>
      <c r="BF132" s="77"/>
    </row>
    <row r="133" spans="4:58">
      <c r="G133" s="86"/>
      <c r="H133" s="87"/>
      <c r="I133" s="87"/>
      <c r="J133" s="87"/>
      <c r="K133" s="87"/>
      <c r="L133" s="88"/>
      <c r="M133" s="88"/>
      <c r="N133" s="87"/>
      <c r="O133" s="87"/>
      <c r="P133" s="87"/>
      <c r="Q133" s="87"/>
      <c r="R133" s="87"/>
      <c r="S133" s="87"/>
      <c r="T133" s="87"/>
      <c r="U133" s="87"/>
      <c r="V133" s="89"/>
      <c r="W133" s="87"/>
      <c r="X133" s="87"/>
      <c r="Y133" s="87"/>
      <c r="Z133" s="90"/>
      <c r="AJ133" s="77"/>
      <c r="AK133" s="77"/>
      <c r="AL133" s="77"/>
      <c r="AM133" s="77"/>
      <c r="AN133" s="77"/>
      <c r="AO133" s="77"/>
      <c r="AP133" s="77"/>
      <c r="AQ133" s="77"/>
      <c r="AR133" s="77"/>
      <c r="AS133" s="77"/>
      <c r="AT133" s="77"/>
      <c r="AU133" s="77"/>
      <c r="AV133" s="77"/>
      <c r="AW133" s="77"/>
      <c r="AX133" s="77"/>
      <c r="AY133" s="77"/>
      <c r="AZ133" s="77"/>
      <c r="BA133" s="77"/>
      <c r="BB133" s="77"/>
      <c r="BC133" s="77"/>
      <c r="BD133" s="77"/>
      <c r="BE133" s="77"/>
      <c r="BF133" s="77"/>
    </row>
    <row r="134" spans="4:58">
      <c r="G134" s="82"/>
      <c r="H134" s="82"/>
      <c r="I134" s="82"/>
      <c r="J134" s="82"/>
      <c r="K134" s="82"/>
      <c r="L134" s="83"/>
      <c r="M134" s="83"/>
      <c r="N134" s="82"/>
      <c r="O134" s="82"/>
      <c r="P134" s="82"/>
      <c r="Q134" s="82"/>
      <c r="R134" s="82"/>
      <c r="S134" s="82"/>
      <c r="T134" s="82"/>
      <c r="U134" s="82"/>
      <c r="V134" s="84"/>
      <c r="W134" s="82"/>
      <c r="X134" s="82"/>
      <c r="Y134" s="82"/>
      <c r="Z134" s="91"/>
      <c r="AJ134" s="77"/>
      <c r="AK134" s="77"/>
      <c r="AL134" s="77"/>
      <c r="AM134" s="77"/>
      <c r="AN134" s="77"/>
      <c r="AO134" s="77"/>
      <c r="AP134" s="77"/>
      <c r="AQ134" s="77"/>
      <c r="AR134" s="77"/>
      <c r="AS134" s="77"/>
      <c r="AT134" s="77"/>
      <c r="AU134" s="77"/>
      <c r="AV134" s="77"/>
      <c r="AW134" s="77"/>
      <c r="AX134" s="77"/>
      <c r="AY134" s="77"/>
      <c r="AZ134" s="77"/>
      <c r="BA134" s="77"/>
      <c r="BB134" s="77"/>
      <c r="BC134" s="77"/>
      <c r="BD134" s="77"/>
      <c r="BE134" s="77"/>
      <c r="BF134" s="77"/>
    </row>
    <row r="135" spans="4:58">
      <c r="AI135" s="77"/>
      <c r="AJ135" s="77"/>
      <c r="AK135" s="77"/>
      <c r="AL135" s="77"/>
      <c r="AM135" s="77"/>
      <c r="AN135" s="77"/>
      <c r="AO135" s="77"/>
      <c r="AP135" s="77"/>
      <c r="AQ135" s="77"/>
      <c r="AR135" s="77"/>
      <c r="AS135" s="77"/>
      <c r="AT135" s="77"/>
      <c r="AU135" s="77"/>
      <c r="AV135" s="77"/>
      <c r="AW135" s="77"/>
      <c r="AX135" s="77"/>
      <c r="AY135" s="77"/>
      <c r="AZ135" s="77"/>
      <c r="BA135" s="77"/>
      <c r="BB135" s="77"/>
      <c r="BC135" s="77"/>
      <c r="BD135" s="77"/>
      <c r="BE135" s="77"/>
    </row>
    <row r="136" spans="4:58">
      <c r="E136" s="16" t="s">
        <v>110</v>
      </c>
      <c r="AJ136" s="77"/>
      <c r="AK136" s="77"/>
      <c r="AL136" s="77"/>
      <c r="AM136" s="77"/>
      <c r="AN136" s="77"/>
      <c r="AO136" s="77"/>
      <c r="AP136" s="77"/>
      <c r="AQ136" s="77"/>
      <c r="AR136" s="77"/>
      <c r="AS136" s="77"/>
      <c r="AT136" s="77"/>
      <c r="AU136" s="77"/>
      <c r="AV136" s="77"/>
      <c r="AW136" s="77"/>
      <c r="AX136" s="77"/>
      <c r="AY136" s="77"/>
      <c r="AZ136" s="77"/>
      <c r="BA136" s="77"/>
      <c r="BB136" s="77"/>
      <c r="BC136" s="77"/>
      <c r="BD136" s="77"/>
      <c r="BE136" s="77"/>
      <c r="BF136" s="77"/>
    </row>
    <row r="137" spans="4:58">
      <c r="AJ137" s="77"/>
      <c r="AK137" s="77"/>
      <c r="AL137" s="77"/>
      <c r="AM137" s="77"/>
      <c r="AN137" s="77"/>
      <c r="AO137" s="77"/>
      <c r="AP137" s="77"/>
      <c r="AQ137" s="77"/>
      <c r="AR137" s="77"/>
      <c r="AS137" s="77"/>
      <c r="AT137" s="77"/>
      <c r="AU137" s="77"/>
      <c r="AV137" s="77"/>
      <c r="AW137" s="77"/>
      <c r="AX137" s="77"/>
      <c r="AY137" s="77"/>
      <c r="AZ137" s="77"/>
      <c r="BA137" s="77"/>
      <c r="BB137" s="77"/>
      <c r="BC137" s="77"/>
      <c r="BD137" s="77"/>
      <c r="BE137" s="77"/>
      <c r="BF137" s="77"/>
    </row>
    <row r="138" spans="4:58">
      <c r="E138" s="92"/>
      <c r="F138" s="44" t="s">
        <v>228</v>
      </c>
      <c r="AJ138" s="77"/>
      <c r="AK138" s="77"/>
      <c r="AL138" s="77"/>
      <c r="AM138" s="77"/>
      <c r="AN138" s="77"/>
      <c r="AO138" s="77"/>
      <c r="AP138" s="77"/>
      <c r="AQ138" s="77"/>
      <c r="AR138" s="77"/>
      <c r="AS138" s="77"/>
      <c r="AT138" s="77"/>
      <c r="AU138" s="77"/>
      <c r="AV138" s="77"/>
      <c r="AW138" s="77"/>
      <c r="AX138" s="77"/>
      <c r="AY138" s="77"/>
      <c r="AZ138" s="77"/>
      <c r="BA138" s="77"/>
      <c r="BB138" s="77"/>
      <c r="BC138" s="77"/>
      <c r="BD138" s="77"/>
      <c r="BE138" s="77"/>
      <c r="BF138" s="77"/>
    </row>
    <row r="139" spans="4:58">
      <c r="E139" s="92"/>
      <c r="F139" s="93"/>
      <c r="G139" s="44" t="s">
        <v>337</v>
      </c>
      <c r="AJ139" s="77"/>
      <c r="AK139" s="77"/>
      <c r="AL139" s="77"/>
      <c r="AM139" s="77"/>
      <c r="AN139" s="77"/>
      <c r="AO139" s="77"/>
      <c r="AP139" s="77"/>
      <c r="AQ139" s="77"/>
      <c r="AR139" s="77"/>
      <c r="AS139" s="77"/>
      <c r="AT139" s="77"/>
      <c r="AU139" s="77"/>
      <c r="AV139" s="77"/>
      <c r="AW139" s="77"/>
      <c r="AX139" s="77"/>
      <c r="AY139" s="77"/>
      <c r="AZ139" s="77"/>
      <c r="BA139" s="77"/>
      <c r="BB139" s="77"/>
      <c r="BC139" s="77"/>
      <c r="BD139" s="77"/>
      <c r="BE139" s="77"/>
      <c r="BF139" s="77"/>
    </row>
    <row r="140" spans="4:58" customFormat="1">
      <c r="E140" s="44"/>
      <c r="G140" s="44" t="s">
        <v>322</v>
      </c>
      <c r="AJ140" s="143"/>
      <c r="AK140" s="143"/>
      <c r="AL140" s="143"/>
      <c r="AM140" s="143"/>
      <c r="AN140" s="143"/>
      <c r="AO140" s="143"/>
      <c r="AP140" s="143"/>
      <c r="AQ140" s="143"/>
      <c r="AR140" s="143"/>
      <c r="AS140" s="143"/>
      <c r="AT140" s="143"/>
      <c r="AU140" s="143"/>
      <c r="AV140" s="143"/>
      <c r="AW140" s="143"/>
      <c r="AX140" s="143"/>
      <c r="AY140" s="143"/>
      <c r="AZ140" s="143"/>
      <c r="BA140" s="143"/>
      <c r="BB140" s="143"/>
      <c r="BC140" s="143"/>
      <c r="BD140" s="143"/>
      <c r="BE140" s="143"/>
      <c r="BF140" s="143"/>
    </row>
    <row r="141" spans="4:58">
      <c r="E141" s="92"/>
      <c r="AJ141" s="77"/>
      <c r="AK141" s="77"/>
      <c r="AL141" s="77"/>
      <c r="AM141" s="77"/>
      <c r="AN141" s="77"/>
      <c r="AO141" s="77"/>
      <c r="AP141" s="77"/>
      <c r="AQ141" s="77"/>
      <c r="AR141" s="77"/>
      <c r="AS141" s="77"/>
      <c r="AT141" s="77"/>
      <c r="AU141" s="77"/>
      <c r="AV141" s="77"/>
      <c r="AW141" s="77"/>
      <c r="AX141" s="77"/>
      <c r="AY141" s="77"/>
      <c r="AZ141" s="77"/>
      <c r="BA141" s="77"/>
      <c r="BB141" s="77"/>
      <c r="BC141" s="77"/>
      <c r="BD141" s="77"/>
      <c r="BE141" s="77"/>
      <c r="BF141" s="77"/>
    </row>
    <row r="142" spans="4:58" ht="11.25" customHeight="1">
      <c r="D142" s="26" t="s">
        <v>229</v>
      </c>
      <c r="E142" s="29"/>
    </row>
    <row r="143" spans="4:58" ht="11.25" customHeight="1">
      <c r="D143" s="29"/>
      <c r="E143" s="29"/>
    </row>
    <row r="144" spans="4:58" ht="11.25" customHeight="1">
      <c r="D144" s="29"/>
      <c r="E144" s="26" t="s">
        <v>104</v>
      </c>
    </row>
    <row r="145" spans="1:58">
      <c r="D145" s="29"/>
      <c r="E145" s="29"/>
      <c r="F145" s="29"/>
    </row>
    <row r="146" spans="1:58" ht="11.25" customHeight="1">
      <c r="D146" s="29"/>
      <c r="E146" s="29"/>
      <c r="F146" s="16" t="s">
        <v>152</v>
      </c>
    </row>
    <row r="147" spans="1:58">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c r="AI147" s="117"/>
      <c r="AJ147" s="96"/>
    </row>
    <row r="148" spans="1:58" ht="11.25" customHeight="1">
      <c r="D148" s="29"/>
      <c r="E148" s="29"/>
    </row>
    <row r="149" spans="1:58">
      <c r="E149" t="s">
        <v>230</v>
      </c>
      <c r="AJ149" s="77"/>
      <c r="AK149" s="77"/>
      <c r="AL149" s="77"/>
      <c r="AM149" s="77"/>
      <c r="AN149" s="77"/>
      <c r="AO149" s="77"/>
      <c r="AP149" s="77"/>
      <c r="AQ149" s="77"/>
      <c r="AR149" s="77"/>
      <c r="AS149" s="77"/>
      <c r="AT149" s="77"/>
      <c r="AU149" s="77"/>
      <c r="AV149" s="77"/>
      <c r="AW149" s="77"/>
      <c r="AX149" s="77"/>
      <c r="AY149" s="77"/>
      <c r="AZ149" s="77"/>
      <c r="BA149" s="77"/>
      <c r="BB149" s="77"/>
      <c r="BC149" s="77"/>
      <c r="BD149" s="77"/>
      <c r="BE149" s="77"/>
      <c r="BF149" s="77"/>
    </row>
    <row r="150" spans="1:58">
      <c r="AJ150" s="77"/>
      <c r="AK150" s="77"/>
      <c r="AL150" s="77"/>
      <c r="AM150" s="77"/>
      <c r="AN150" s="77"/>
      <c r="AO150" s="77"/>
      <c r="AP150" s="77"/>
      <c r="AQ150" s="77"/>
      <c r="AR150" s="77"/>
      <c r="AS150" s="77"/>
      <c r="AT150" s="77"/>
      <c r="AU150" s="77"/>
      <c r="AV150" s="77"/>
      <c r="AW150" s="77"/>
      <c r="AX150" s="77"/>
      <c r="AY150" s="77"/>
      <c r="AZ150" s="77"/>
      <c r="BA150" s="77"/>
      <c r="BB150" s="77"/>
      <c r="BC150" s="77"/>
      <c r="BD150" s="77"/>
      <c r="BE150" s="77"/>
      <c r="BF150" s="77"/>
    </row>
    <row r="151" spans="1:58">
      <c r="E151" s="92"/>
      <c r="F151" s="44" t="s">
        <v>232</v>
      </c>
      <c r="AJ151" s="77"/>
      <c r="AK151" s="77"/>
      <c r="AL151" s="77"/>
      <c r="AM151" s="77"/>
      <c r="AN151" s="77"/>
      <c r="AO151" s="77"/>
      <c r="AP151" s="77"/>
      <c r="AQ151" s="77"/>
      <c r="AR151" s="77"/>
      <c r="AS151" s="77"/>
      <c r="AT151" s="77"/>
      <c r="AU151" s="77"/>
      <c r="AV151" s="77"/>
      <c r="AW151" s="77"/>
      <c r="AX151" s="77"/>
      <c r="AY151" s="77"/>
      <c r="AZ151" s="77"/>
      <c r="BA151" s="77"/>
      <c r="BB151" s="77"/>
      <c r="BC151" s="77"/>
      <c r="BD151" s="77"/>
      <c r="BE151" s="77"/>
      <c r="BF151" s="77"/>
    </row>
    <row r="152" spans="1:58">
      <c r="E152" s="92"/>
      <c r="F152" s="93"/>
      <c r="G152" s="44"/>
      <c r="AJ152" s="77"/>
      <c r="AK152" s="77"/>
      <c r="AL152" s="77"/>
      <c r="AM152" s="77"/>
      <c r="AN152" s="77"/>
      <c r="AO152" s="77"/>
      <c r="AP152" s="77"/>
      <c r="AQ152" s="77"/>
      <c r="AR152" s="77"/>
      <c r="AS152" s="77"/>
      <c r="AT152" s="77"/>
      <c r="AU152" s="77"/>
      <c r="AV152" s="77"/>
      <c r="AW152" s="77"/>
      <c r="AX152" s="77"/>
      <c r="AY152" s="77"/>
      <c r="AZ152" s="77"/>
      <c r="BA152" s="77"/>
      <c r="BB152" s="77"/>
      <c r="BC152" s="77"/>
      <c r="BD152" s="77"/>
      <c r="BE152" s="77"/>
      <c r="BF152" s="77"/>
    </row>
    <row r="153" spans="1:58">
      <c r="E153" s="92"/>
      <c r="AJ153" s="77"/>
      <c r="AK153" s="77"/>
      <c r="AL153" s="77"/>
      <c r="AM153" s="77"/>
      <c r="AN153" s="77"/>
      <c r="AO153" s="77"/>
      <c r="AP153" s="77"/>
      <c r="AQ153" s="77"/>
      <c r="AR153" s="77"/>
      <c r="AS153" s="77"/>
      <c r="AT153" s="77"/>
      <c r="AU153" s="77"/>
      <c r="AV153" s="77"/>
      <c r="AW153" s="77"/>
      <c r="AX153" s="77"/>
      <c r="AY153" s="77"/>
      <c r="AZ153" s="77"/>
      <c r="BA153" s="77"/>
      <c r="BB153" s="77"/>
      <c r="BC153" s="77"/>
      <c r="BD153" s="77"/>
      <c r="BE153" s="77"/>
      <c r="BF153" s="77"/>
    </row>
    <row r="154" spans="1:58">
      <c r="D154" s="26" t="s">
        <v>253</v>
      </c>
      <c r="E154" s="29"/>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7"/>
    </row>
    <row r="155" spans="1:58">
      <c r="E155" s="29" t="s">
        <v>104</v>
      </c>
      <c r="F155" s="29"/>
      <c r="AJ155" s="77"/>
      <c r="AK155" s="77"/>
      <c r="AL155" s="77"/>
      <c r="AM155" s="77"/>
      <c r="AN155" s="77"/>
      <c r="AO155" s="77"/>
      <c r="AP155" s="77"/>
      <c r="AQ155" s="77"/>
      <c r="AR155" s="77"/>
      <c r="AS155" s="77"/>
      <c r="AT155" s="77"/>
      <c r="AU155" s="77"/>
      <c r="AV155" s="77"/>
      <c r="AW155" s="77"/>
      <c r="AX155" s="77"/>
      <c r="AY155" s="77"/>
      <c r="AZ155" s="77"/>
      <c r="BA155" s="77"/>
      <c r="BB155" s="77"/>
      <c r="BC155" s="77"/>
      <c r="BD155" s="77"/>
      <c r="BE155" s="77"/>
      <c r="BF155" s="77"/>
    </row>
    <row r="156" spans="1:58">
      <c r="E156" s="29"/>
      <c r="F156" s="29"/>
      <c r="AJ156" s="77"/>
      <c r="AK156" s="77"/>
      <c r="AL156" s="77"/>
      <c r="AM156" s="77"/>
      <c r="AN156" s="77"/>
      <c r="AO156" s="77"/>
      <c r="AP156" s="77"/>
      <c r="AQ156" s="77"/>
      <c r="AR156" s="77"/>
      <c r="AS156" s="77"/>
      <c r="AT156" s="77"/>
      <c r="AU156" s="77"/>
      <c r="AV156" s="77"/>
      <c r="AW156" s="77"/>
      <c r="AX156" s="77"/>
      <c r="AY156" s="77"/>
      <c r="AZ156" s="77"/>
      <c r="BA156" s="77"/>
      <c r="BB156" s="77"/>
      <c r="BC156" s="77"/>
      <c r="BD156" s="77"/>
      <c r="BE156" s="77"/>
      <c r="BF156" s="77"/>
    </row>
    <row r="157" spans="1:58" ht="41.25" customHeight="1">
      <c r="A157"/>
      <c r="E157" s="29"/>
      <c r="F157" s="115" t="s">
        <v>41</v>
      </c>
      <c r="G157" s="247" t="s">
        <v>68</v>
      </c>
      <c r="H157" s="262"/>
      <c r="I157" s="262"/>
      <c r="J157" s="262"/>
      <c r="K157" s="262"/>
      <c r="L157" s="264"/>
      <c r="M157" s="322" t="s">
        <v>76</v>
      </c>
      <c r="N157" s="262"/>
      <c r="O157" s="262"/>
      <c r="P157" s="262"/>
      <c r="Q157" s="262"/>
      <c r="R157" s="262"/>
      <c r="S157" s="262"/>
      <c r="T157" s="262"/>
      <c r="U157" s="262"/>
      <c r="V157" s="264"/>
      <c r="W157" s="324" t="s">
        <v>77</v>
      </c>
      <c r="X157" s="325"/>
      <c r="Y157" s="326"/>
      <c r="Z157" s="324" t="s">
        <v>78</v>
      </c>
      <c r="AA157" s="325"/>
      <c r="AB157" s="325"/>
      <c r="AC157" s="326"/>
      <c r="AD157" s="298" t="s">
        <v>171</v>
      </c>
      <c r="AE157" s="299"/>
      <c r="AF157" s="299"/>
      <c r="AG157" s="300"/>
      <c r="AJ157" s="77"/>
      <c r="AK157" s="77"/>
      <c r="AL157" s="77"/>
      <c r="AM157" s="77"/>
      <c r="AN157" s="77"/>
      <c r="AO157" s="77"/>
      <c r="AP157" s="77"/>
      <c r="AQ157" s="77"/>
      <c r="AR157" s="77"/>
      <c r="AS157" s="77"/>
      <c r="AT157" s="77"/>
      <c r="AU157" s="77"/>
      <c r="AV157" s="77"/>
      <c r="AW157" s="77"/>
      <c r="AX157" s="77"/>
      <c r="AY157" s="77"/>
      <c r="AZ157" s="77"/>
      <c r="BA157" s="77"/>
      <c r="BB157" s="77"/>
      <c r="BC157" s="77"/>
      <c r="BD157" s="77"/>
      <c r="BE157" s="77"/>
    </row>
    <row r="158" spans="1:58" ht="47.25" customHeight="1">
      <c r="E158" s="29"/>
      <c r="F158" s="116">
        <v>1</v>
      </c>
      <c r="G158" s="320" t="s">
        <v>70</v>
      </c>
      <c r="H158" s="301"/>
      <c r="I158" s="301"/>
      <c r="J158" s="301"/>
      <c r="K158" s="301"/>
      <c r="L158" s="302"/>
      <c r="M158" s="255" t="s">
        <v>348</v>
      </c>
      <c r="N158" s="301"/>
      <c r="O158" s="301"/>
      <c r="P158" s="301"/>
      <c r="Q158" s="301"/>
      <c r="R158" s="301"/>
      <c r="S158" s="301"/>
      <c r="T158" s="301"/>
      <c r="U158" s="301"/>
      <c r="V158" s="302"/>
      <c r="W158" s="292" t="s">
        <v>173</v>
      </c>
      <c r="X158" s="293"/>
      <c r="Y158" s="294"/>
      <c r="Z158" s="255" t="s">
        <v>172</v>
      </c>
      <c r="AA158" s="256"/>
      <c r="AB158" s="256"/>
      <c r="AC158" s="257"/>
      <c r="AD158" s="255" t="s">
        <v>158</v>
      </c>
      <c r="AE158" s="301"/>
      <c r="AF158" s="301"/>
      <c r="AG158" s="302"/>
      <c r="AI158" s="77"/>
      <c r="AJ158" s="77"/>
      <c r="AK158" s="77"/>
      <c r="AL158" s="77"/>
      <c r="AM158" s="77"/>
      <c r="AN158" s="77"/>
      <c r="AO158" s="77"/>
      <c r="AP158" s="77"/>
      <c r="AQ158" s="77"/>
      <c r="AR158" s="77"/>
      <c r="AS158" s="77"/>
      <c r="AT158" s="77"/>
      <c r="AU158" s="77"/>
      <c r="AV158" s="77"/>
      <c r="AW158" s="77"/>
      <c r="AX158" s="77"/>
      <c r="AY158" s="77"/>
      <c r="AZ158" s="77"/>
      <c r="BA158" s="77"/>
      <c r="BB158" s="77"/>
      <c r="BC158" s="77"/>
      <c r="BD158" s="77"/>
      <c r="BE158" s="77"/>
    </row>
    <row r="159" spans="1:58" ht="62.25" customHeight="1">
      <c r="E159" s="29"/>
      <c r="F159" s="116">
        <v>2</v>
      </c>
      <c r="G159" s="321" t="s">
        <v>97</v>
      </c>
      <c r="H159" s="248"/>
      <c r="I159" s="248"/>
      <c r="J159" s="248"/>
      <c r="K159" s="248"/>
      <c r="L159" s="249"/>
      <c r="M159" s="327" t="s">
        <v>263</v>
      </c>
      <c r="N159" s="328"/>
      <c r="O159" s="328"/>
      <c r="P159" s="328"/>
      <c r="Q159" s="328"/>
      <c r="R159" s="328"/>
      <c r="S159" s="328"/>
      <c r="T159" s="328"/>
      <c r="U159" s="328"/>
      <c r="V159" s="329"/>
      <c r="W159" s="292" t="s">
        <v>338</v>
      </c>
      <c r="X159" s="293"/>
      <c r="Y159" s="294"/>
      <c r="Z159" s="255" t="s">
        <v>75</v>
      </c>
      <c r="AA159" s="301"/>
      <c r="AB159" s="301"/>
      <c r="AC159" s="302"/>
      <c r="AD159" s="327" t="s">
        <v>158</v>
      </c>
      <c r="AE159" s="328"/>
      <c r="AF159" s="328"/>
      <c r="AG159" s="329"/>
      <c r="AJ159" s="77"/>
      <c r="AK159" s="77"/>
      <c r="AL159" s="77"/>
      <c r="AM159" s="77"/>
      <c r="AN159" s="77"/>
      <c r="AO159" s="77"/>
      <c r="AP159" s="77"/>
      <c r="AQ159" s="77"/>
      <c r="AR159" s="77"/>
      <c r="AS159" s="77"/>
      <c r="AT159" s="77"/>
      <c r="AU159" s="77"/>
      <c r="AV159" s="77"/>
      <c r="AW159" s="77"/>
      <c r="AX159" s="77"/>
      <c r="AY159" s="77"/>
      <c r="AZ159" s="77"/>
      <c r="BA159" s="77"/>
      <c r="BB159" s="77"/>
      <c r="BC159" s="77"/>
      <c r="BD159" s="77"/>
      <c r="BE159" s="77"/>
    </row>
    <row r="160" spans="1:58">
      <c r="E160" s="29"/>
      <c r="AI160" s="77"/>
      <c r="AJ160" s="77"/>
      <c r="AK160" s="77"/>
      <c r="AL160" s="77"/>
      <c r="AM160" s="77"/>
      <c r="AN160" s="77"/>
      <c r="AO160" s="77"/>
      <c r="AP160" s="77"/>
      <c r="AQ160" s="77"/>
      <c r="AR160" s="77"/>
      <c r="AS160" s="77"/>
      <c r="AT160" s="77"/>
      <c r="AU160" s="77"/>
      <c r="AV160" s="77"/>
      <c r="AW160" s="77"/>
      <c r="AX160" s="77"/>
      <c r="AY160" s="77"/>
      <c r="AZ160" s="77"/>
      <c r="BA160" s="77"/>
      <c r="BB160" s="77"/>
      <c r="BC160" s="77"/>
      <c r="BD160" s="77"/>
      <c r="BE160" s="77"/>
    </row>
    <row r="161" spans="5:58">
      <c r="E161" s="29"/>
      <c r="F161" t="s">
        <v>162</v>
      </c>
    </row>
    <row r="162" spans="5:58">
      <c r="E162" s="29"/>
      <c r="F162" s="29"/>
      <c r="G162"/>
    </row>
    <row r="163" spans="5:58" customFormat="1">
      <c r="E163" t="s">
        <v>105</v>
      </c>
    </row>
    <row r="164" spans="5:58" customFormat="1">
      <c r="F164" t="s">
        <v>219</v>
      </c>
    </row>
    <row r="165" spans="5:58" customFormat="1">
      <c r="G165" t="s">
        <v>304</v>
      </c>
    </row>
    <row r="166" spans="5:58" customFormat="1">
      <c r="G166" t="s">
        <v>305</v>
      </c>
    </row>
    <row r="167" spans="5:58" customFormat="1"/>
    <row r="168" spans="5:58" customFormat="1">
      <c r="G168" s="355" t="s">
        <v>106</v>
      </c>
      <c r="H168" s="356"/>
      <c r="I168" s="356"/>
      <c r="J168" s="356"/>
      <c r="K168" s="356"/>
      <c r="L168" s="356"/>
      <c r="M168" s="356"/>
      <c r="N168" s="356"/>
      <c r="O168" s="356"/>
      <c r="P168" s="357"/>
      <c r="Q168" s="358" t="s">
        <v>107</v>
      </c>
      <c r="R168" s="359"/>
      <c r="S168" s="359"/>
      <c r="T168" s="359"/>
      <c r="U168" s="359"/>
      <c r="V168" s="359"/>
      <c r="W168" s="359"/>
      <c r="X168" s="359"/>
      <c r="Y168" s="359"/>
      <c r="Z168" s="360"/>
    </row>
    <row r="169" spans="5:58" customFormat="1" ht="11.25" customHeight="1">
      <c r="G169" s="312" t="s">
        <v>220</v>
      </c>
      <c r="H169" s="361"/>
      <c r="I169" s="361"/>
      <c r="J169" s="361"/>
      <c r="K169" s="361"/>
      <c r="L169" s="361"/>
      <c r="M169" s="361"/>
      <c r="N169" s="361"/>
      <c r="O169" s="361"/>
      <c r="P169" s="362"/>
      <c r="Q169" s="295" t="s">
        <v>222</v>
      </c>
      <c r="R169" s="363"/>
      <c r="S169" s="363"/>
      <c r="T169" s="363"/>
      <c r="U169" s="363"/>
      <c r="V169" s="363"/>
      <c r="W169" s="363"/>
      <c r="X169" s="363"/>
      <c r="Y169" s="363"/>
      <c r="Z169" s="364"/>
      <c r="AG169" s="144"/>
      <c r="AH169" s="144"/>
    </row>
    <row r="170" spans="5:58" customFormat="1">
      <c r="G170" s="365" t="s">
        <v>108</v>
      </c>
      <c r="H170" s="366"/>
      <c r="I170" s="366"/>
      <c r="J170" s="366"/>
      <c r="K170" s="366"/>
      <c r="L170" s="366"/>
      <c r="M170" s="366"/>
      <c r="N170" s="366"/>
      <c r="O170" s="366"/>
      <c r="P170" s="366"/>
      <c r="Q170" s="366"/>
      <c r="R170" s="366"/>
      <c r="S170" s="366"/>
      <c r="T170" s="366"/>
      <c r="U170" s="366"/>
      <c r="V170" s="366"/>
      <c r="W170" s="366"/>
      <c r="X170" s="366"/>
      <c r="Y170" s="366"/>
      <c r="Z170" s="367"/>
      <c r="AJ170" s="143"/>
      <c r="AK170" s="143"/>
      <c r="AL170" s="143"/>
      <c r="AM170" s="143"/>
      <c r="AN170" s="143"/>
      <c r="AO170" s="143"/>
      <c r="AP170" s="143"/>
      <c r="AQ170" s="143"/>
      <c r="AR170" s="143"/>
      <c r="AS170" s="143"/>
      <c r="AT170" s="143"/>
      <c r="AU170" s="143"/>
      <c r="AV170" s="143"/>
      <c r="AW170" s="143"/>
      <c r="AX170" s="143"/>
      <c r="AY170" s="143"/>
      <c r="AZ170" s="143"/>
      <c r="BA170" s="143"/>
      <c r="BB170" s="143"/>
      <c r="BC170" s="143"/>
      <c r="BD170" s="143"/>
      <c r="BE170" s="143"/>
      <c r="BF170" s="143"/>
    </row>
    <row r="171" spans="5:58" customFormat="1">
      <c r="G171" s="145"/>
      <c r="H171" s="146"/>
      <c r="I171" s="146"/>
      <c r="J171" s="146"/>
      <c r="K171" s="146"/>
      <c r="L171" s="146"/>
      <c r="M171" s="146"/>
      <c r="N171" s="146"/>
      <c r="O171" s="146"/>
      <c r="P171" s="146"/>
      <c r="Q171" s="146"/>
      <c r="R171" s="146"/>
      <c r="S171" s="146"/>
      <c r="T171" s="146"/>
      <c r="U171" s="146"/>
      <c r="V171" s="146"/>
      <c r="W171" s="146"/>
      <c r="X171" s="146"/>
      <c r="Y171" s="146"/>
      <c r="Z171" s="147"/>
      <c r="AJ171" s="143"/>
      <c r="AK171" s="143"/>
      <c r="AL171" s="143"/>
      <c r="AM171" s="143"/>
      <c r="AN171" s="143"/>
      <c r="AO171" s="143"/>
      <c r="AP171" s="143"/>
      <c r="AQ171" s="143"/>
      <c r="AR171" s="143"/>
      <c r="AS171" s="143"/>
      <c r="AT171" s="143"/>
      <c r="AU171" s="143"/>
      <c r="AV171" s="143"/>
      <c r="AW171" s="143"/>
      <c r="AX171" s="143"/>
      <c r="AY171" s="143"/>
      <c r="AZ171" s="143"/>
      <c r="BA171" s="143"/>
      <c r="BB171" s="143"/>
      <c r="BC171" s="143"/>
      <c r="BD171" s="143"/>
      <c r="BE171" s="143"/>
      <c r="BF171" s="143"/>
    </row>
    <row r="172" spans="5:58" customFormat="1">
      <c r="G172" s="148"/>
      <c r="H172" s="132" t="s">
        <v>302</v>
      </c>
      <c r="I172" s="132"/>
      <c r="J172" s="132"/>
      <c r="K172" s="132"/>
      <c r="L172" s="149"/>
      <c r="M172" s="149" t="s">
        <v>109</v>
      </c>
      <c r="N172" s="132"/>
      <c r="O172" s="132"/>
      <c r="P172" s="132" t="s">
        <v>303</v>
      </c>
      <c r="Q172" s="132"/>
      <c r="R172" s="132"/>
      <c r="S172" s="132"/>
      <c r="T172" s="132"/>
      <c r="U172" s="132"/>
      <c r="V172" s="150"/>
      <c r="W172" s="132"/>
      <c r="X172" s="132"/>
      <c r="Y172" s="132"/>
      <c r="Z172" s="151"/>
      <c r="AJ172" s="143"/>
      <c r="AK172" s="143"/>
      <c r="AL172" s="143"/>
      <c r="AM172" s="143"/>
      <c r="AN172" s="143"/>
      <c r="AO172" s="143"/>
      <c r="AP172" s="143"/>
      <c r="AQ172" s="143"/>
      <c r="AR172" s="143"/>
      <c r="AS172" s="143"/>
      <c r="AT172" s="143"/>
      <c r="AU172" s="143"/>
      <c r="AV172" s="143"/>
      <c r="AW172" s="143"/>
      <c r="AX172" s="143"/>
      <c r="AY172" s="143"/>
      <c r="AZ172" s="143"/>
      <c r="BA172" s="143"/>
      <c r="BB172" s="143"/>
      <c r="BC172" s="143"/>
      <c r="BD172" s="143"/>
      <c r="BE172" s="143"/>
      <c r="BF172" s="143"/>
    </row>
    <row r="173" spans="5:58" customFormat="1">
      <c r="G173" s="152"/>
      <c r="H173" s="153"/>
      <c r="I173" s="153"/>
      <c r="J173" s="153"/>
      <c r="K173" s="153"/>
      <c r="L173" s="154"/>
      <c r="M173" s="154"/>
      <c r="N173" s="153"/>
      <c r="O173" s="153"/>
      <c r="P173" s="153"/>
      <c r="Q173" s="153"/>
      <c r="R173" s="153"/>
      <c r="S173" s="153"/>
      <c r="T173" s="153"/>
      <c r="U173" s="153"/>
      <c r="V173" s="155"/>
      <c r="W173" s="153"/>
      <c r="X173" s="153"/>
      <c r="Y173" s="153"/>
      <c r="Z173" s="156"/>
      <c r="AJ173" s="143"/>
      <c r="AK173" s="143"/>
      <c r="AL173" s="143"/>
      <c r="AM173" s="143"/>
      <c r="AN173" s="143"/>
      <c r="AO173" s="143"/>
      <c r="AP173" s="143"/>
      <c r="AQ173" s="143"/>
      <c r="AR173" s="143"/>
      <c r="AS173" s="143"/>
      <c r="AT173" s="143"/>
      <c r="AU173" s="143"/>
      <c r="AV173" s="143"/>
      <c r="AW173" s="143"/>
      <c r="AX173" s="143"/>
      <c r="AY173" s="143"/>
      <c r="AZ173" s="143"/>
      <c r="BA173" s="143"/>
      <c r="BB173" s="143"/>
      <c r="BC173" s="143"/>
      <c r="BD173" s="143"/>
      <c r="BE173" s="143"/>
      <c r="BF173" s="143"/>
    </row>
    <row r="174" spans="5:58" customFormat="1">
      <c r="G174" s="132"/>
      <c r="H174" s="132"/>
      <c r="I174" s="132"/>
      <c r="J174" s="132"/>
      <c r="K174" s="132"/>
      <c r="L174" s="149"/>
      <c r="M174" s="149"/>
      <c r="N174" s="132"/>
      <c r="O174" s="132"/>
      <c r="P174" s="132"/>
      <c r="Q174" s="132"/>
      <c r="R174" s="132"/>
      <c r="S174" s="132"/>
      <c r="T174" s="132"/>
      <c r="U174" s="132"/>
      <c r="V174" s="150"/>
      <c r="W174" s="132"/>
      <c r="X174" s="132"/>
      <c r="Y174" s="132"/>
      <c r="Z174" s="157"/>
      <c r="AJ174" s="143"/>
      <c r="AK174" s="143"/>
      <c r="AL174" s="143"/>
      <c r="AM174" s="143"/>
      <c r="AN174" s="143"/>
      <c r="AO174" s="143"/>
      <c r="AP174" s="143"/>
      <c r="AQ174" s="143"/>
      <c r="AR174" s="143"/>
      <c r="AS174" s="143"/>
      <c r="AT174" s="143"/>
      <c r="AU174" s="143"/>
      <c r="AV174" s="143"/>
      <c r="AW174" s="143"/>
      <c r="AX174" s="143"/>
      <c r="AY174" s="143"/>
      <c r="AZ174" s="143"/>
      <c r="BA174" s="143"/>
      <c r="BB174" s="143"/>
      <c r="BC174" s="143"/>
      <c r="BD174" s="143"/>
      <c r="BE174" s="143"/>
      <c r="BF174" s="143"/>
    </row>
    <row r="175" spans="5:58" customFormat="1">
      <c r="F175" t="s">
        <v>306</v>
      </c>
      <c r="G175" s="132"/>
      <c r="H175" s="132"/>
      <c r="I175" s="132"/>
      <c r="J175" s="132"/>
      <c r="K175" s="132"/>
      <c r="L175" s="149"/>
      <c r="M175" s="149"/>
      <c r="N175" s="132"/>
      <c r="O175" s="132"/>
      <c r="P175" s="132"/>
      <c r="Q175" s="132"/>
      <c r="R175" s="132"/>
      <c r="S175" s="132"/>
      <c r="T175" s="132"/>
      <c r="U175" s="132"/>
      <c r="V175" s="150"/>
      <c r="W175" s="132"/>
      <c r="X175" s="132"/>
      <c r="Y175" s="132"/>
      <c r="Z175" s="157"/>
      <c r="AJ175" s="143"/>
      <c r="AK175" s="143"/>
      <c r="AL175" s="143"/>
      <c r="AM175" s="143"/>
      <c r="AN175" s="143"/>
      <c r="AO175" s="143"/>
      <c r="AP175" s="143"/>
      <c r="AQ175" s="143"/>
      <c r="AR175" s="143"/>
      <c r="AS175" s="143"/>
      <c r="AT175" s="143"/>
      <c r="AU175" s="143"/>
      <c r="AV175" s="143"/>
      <c r="AW175" s="143"/>
      <c r="AX175" s="143"/>
      <c r="AY175" s="143"/>
      <c r="AZ175" s="143"/>
      <c r="BA175" s="143"/>
      <c r="BB175" s="143"/>
      <c r="BC175" s="143"/>
      <c r="BD175" s="143"/>
      <c r="BE175" s="143"/>
      <c r="BF175" s="143"/>
    </row>
    <row r="176" spans="5:58" customFormat="1">
      <c r="E176" s="26"/>
      <c r="F176" s="26"/>
    </row>
    <row r="177" spans="5:38">
      <c r="E177" s="29"/>
      <c r="F177" s="29"/>
    </row>
    <row r="178" spans="5:38" customFormat="1">
      <c r="E178" s="50" t="s">
        <v>328</v>
      </c>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row>
    <row r="179" spans="5:38">
      <c r="E179" s="64"/>
      <c r="F179" s="44" t="s">
        <v>262</v>
      </c>
      <c r="G179" s="92"/>
      <c r="H179" s="92"/>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c r="AG179" s="96"/>
      <c r="AH179" s="96"/>
      <c r="AI179" s="96"/>
      <c r="AJ179" s="96"/>
      <c r="AK179" s="96"/>
      <c r="AL179" s="96"/>
    </row>
  </sheetData>
  <mergeCells count="187">
    <mergeCell ref="G168:P168"/>
    <mergeCell ref="Q168:Z168"/>
    <mergeCell ref="G169:P169"/>
    <mergeCell ref="Q169:Z169"/>
    <mergeCell ref="G170:Z170"/>
    <mergeCell ref="AL58:AP58"/>
    <mergeCell ref="AL62:AP62"/>
    <mergeCell ref="G104:Z104"/>
    <mergeCell ref="R84:Y84"/>
    <mergeCell ref="Z84:AD84"/>
    <mergeCell ref="E78:J78"/>
    <mergeCell ref="K78:N78"/>
    <mergeCell ref="T78:U78"/>
    <mergeCell ref="M70:T70"/>
    <mergeCell ref="M69:T69"/>
    <mergeCell ref="AD62:AG62"/>
    <mergeCell ref="AL68:AP68"/>
    <mergeCell ref="AL71:AP71"/>
    <mergeCell ref="AL65:AP65"/>
    <mergeCell ref="AD68:AG68"/>
    <mergeCell ref="AD71:AG71"/>
    <mergeCell ref="Z68:AB68"/>
    <mergeCell ref="Z71:AB71"/>
    <mergeCell ref="M71:T71"/>
    <mergeCell ref="U57:Y58"/>
    <mergeCell ref="Z67:AB67"/>
    <mergeCell ref="Z70:AB70"/>
    <mergeCell ref="U62:Y62"/>
    <mergeCell ref="U71:Y71"/>
    <mergeCell ref="M57:T58"/>
    <mergeCell ref="Q51:U51"/>
    <mergeCell ref="V51:AC51"/>
    <mergeCell ref="E68:H68"/>
    <mergeCell ref="U63:Y63"/>
    <mergeCell ref="U64:Y64"/>
    <mergeCell ref="U69:Y69"/>
    <mergeCell ref="U70:Y70"/>
    <mergeCell ref="U66:Y66"/>
    <mergeCell ref="U67:Y67"/>
    <mergeCell ref="U68:Y68"/>
    <mergeCell ref="Z63:AB63"/>
    <mergeCell ref="Z64:AB64"/>
    <mergeCell ref="Z69:AB69"/>
    <mergeCell ref="E62:H62"/>
    <mergeCell ref="I62:L62"/>
    <mergeCell ref="E66:H66"/>
    <mergeCell ref="E67:H67"/>
    <mergeCell ref="I57:L58"/>
    <mergeCell ref="E57:H58"/>
    <mergeCell ref="E56:AC56"/>
    <mergeCell ref="Z57:AB58"/>
    <mergeCell ref="AC57:AC58"/>
    <mergeCell ref="E65:H65"/>
    <mergeCell ref="E71:H71"/>
    <mergeCell ref="I71:L71"/>
    <mergeCell ref="E50:M50"/>
    <mergeCell ref="N50:P50"/>
    <mergeCell ref="Q50:U50"/>
    <mergeCell ref="V50:AC50"/>
    <mergeCell ref="E51:M51"/>
    <mergeCell ref="N51:P51"/>
    <mergeCell ref="E69:H69"/>
    <mergeCell ref="E70:H70"/>
    <mergeCell ref="M64:T64"/>
    <mergeCell ref="M63:T63"/>
    <mergeCell ref="M62:T62"/>
    <mergeCell ref="E63:H63"/>
    <mergeCell ref="E64:H64"/>
    <mergeCell ref="I66:L66"/>
    <mergeCell ref="E61:H61"/>
    <mergeCell ref="I61:L61"/>
    <mergeCell ref="E60:H60"/>
    <mergeCell ref="I60:L60"/>
    <mergeCell ref="D59:AG59"/>
    <mergeCell ref="U60:Y60"/>
    <mergeCell ref="Z60:AB60"/>
    <mergeCell ref="D56:D58"/>
    <mergeCell ref="AG2:AI2"/>
    <mergeCell ref="A1:D1"/>
    <mergeCell ref="E1:N1"/>
    <mergeCell ref="O1:R3"/>
    <mergeCell ref="S1:Z3"/>
    <mergeCell ref="AA1:AB1"/>
    <mergeCell ref="AC1:AF1"/>
    <mergeCell ref="A3:D3"/>
    <mergeCell ref="E3:N3"/>
    <mergeCell ref="AA3:AB3"/>
    <mergeCell ref="AC3:AF3"/>
    <mergeCell ref="AG3:AI3"/>
    <mergeCell ref="AG1:AI1"/>
    <mergeCell ref="A2:D2"/>
    <mergeCell ref="E2:N2"/>
    <mergeCell ref="AA2:AB2"/>
    <mergeCell ref="AC2:AF2"/>
    <mergeCell ref="AD56:AG58"/>
    <mergeCell ref="M60:T60"/>
    <mergeCell ref="D76:D77"/>
    <mergeCell ref="E76:J77"/>
    <mergeCell ref="K76:N77"/>
    <mergeCell ref="G157:L157"/>
    <mergeCell ref="G158:L158"/>
    <mergeCell ref="G159:L159"/>
    <mergeCell ref="M157:V157"/>
    <mergeCell ref="V78:AH78"/>
    <mergeCell ref="E84:J84"/>
    <mergeCell ref="Z158:AC158"/>
    <mergeCell ref="Z159:AC159"/>
    <mergeCell ref="Z157:AC157"/>
    <mergeCell ref="M158:V158"/>
    <mergeCell ref="Q101:Z101"/>
    <mergeCell ref="G101:P101"/>
    <mergeCell ref="G102:P103"/>
    <mergeCell ref="E87:J87"/>
    <mergeCell ref="K87:Q87"/>
    <mergeCell ref="K84:Q84"/>
    <mergeCell ref="AD159:AG159"/>
    <mergeCell ref="M159:V159"/>
    <mergeCell ref="W157:Y157"/>
    <mergeCell ref="W158:Y158"/>
    <mergeCell ref="R83:Y83"/>
    <mergeCell ref="W159:Y159"/>
    <mergeCell ref="Q102:Z102"/>
    <mergeCell ref="Q103:Z103"/>
    <mergeCell ref="R87:Y87"/>
    <mergeCell ref="AD157:AG157"/>
    <mergeCell ref="AD158:AG158"/>
    <mergeCell ref="G130:Z130"/>
    <mergeCell ref="E85:J85"/>
    <mergeCell ref="K85:Q85"/>
    <mergeCell ref="R85:Y85"/>
    <mergeCell ref="Z85:AD85"/>
    <mergeCell ref="AE85:AH85"/>
    <mergeCell ref="E86:J86"/>
    <mergeCell ref="G128:P129"/>
    <mergeCell ref="Q128:Z128"/>
    <mergeCell ref="Q129:Z129"/>
    <mergeCell ref="Z87:AD87"/>
    <mergeCell ref="AE87:AH87"/>
    <mergeCell ref="Z66:AB66"/>
    <mergeCell ref="Z83:AD83"/>
    <mergeCell ref="AE84:AH84"/>
    <mergeCell ref="AE86:AH86"/>
    <mergeCell ref="G127:P127"/>
    <mergeCell ref="Q127:Z127"/>
    <mergeCell ref="O76:O77"/>
    <mergeCell ref="V76:AH77"/>
    <mergeCell ref="T77:U77"/>
    <mergeCell ref="M61:T61"/>
    <mergeCell ref="U61:Y61"/>
    <mergeCell ref="Z61:AB61"/>
    <mergeCell ref="AD61:AG61"/>
    <mergeCell ref="K86:Q86"/>
    <mergeCell ref="R86:Y86"/>
    <mergeCell ref="Z86:AD86"/>
    <mergeCell ref="M65:T65"/>
    <mergeCell ref="I69:L69"/>
    <mergeCell ref="I70:L70"/>
    <mergeCell ref="I67:L67"/>
    <mergeCell ref="E83:J83"/>
    <mergeCell ref="K83:Q83"/>
    <mergeCell ref="I65:L65"/>
    <mergeCell ref="U65:Y65"/>
    <mergeCell ref="I68:L68"/>
    <mergeCell ref="M68:T68"/>
    <mergeCell ref="I63:L63"/>
    <mergeCell ref="I64:L64"/>
    <mergeCell ref="Z65:AB65"/>
    <mergeCell ref="M67:T67"/>
    <mergeCell ref="M66:T66"/>
    <mergeCell ref="Z62:AB62"/>
    <mergeCell ref="AE83:AH83"/>
    <mergeCell ref="AL61:AP61"/>
    <mergeCell ref="AL60:AP60"/>
    <mergeCell ref="AL63:AP63"/>
    <mergeCell ref="AL64:AP64"/>
    <mergeCell ref="AL69:AP69"/>
    <mergeCell ref="AL70:AP70"/>
    <mergeCell ref="AL66:AP66"/>
    <mergeCell ref="AL67:AP67"/>
    <mergeCell ref="AD70:AG70"/>
    <mergeCell ref="AD66:AG66"/>
    <mergeCell ref="AD67:AG67"/>
    <mergeCell ref="AD63:AG63"/>
    <mergeCell ref="AD64:AG64"/>
    <mergeCell ref="AD69:AG69"/>
    <mergeCell ref="AD60:AG60"/>
    <mergeCell ref="AD65:AG65"/>
  </mergeCells>
  <phoneticPr fontId="11"/>
  <dataValidations disablePrompts="1" count="5">
    <dataValidation type="list" allowBlank="1" showInputMessage="1" showErrorMessage="1" sqref="N51:P51" xr:uid="{00000000-0002-0000-0400-000000000000}">
      <formula1>"-,有,無"</formula1>
    </dataValidation>
    <dataValidation type="list" allowBlank="1" showInputMessage="1" showErrorMessage="1" sqref="AC60:AC71 P78:U78" xr:uid="{00000000-0002-0000-0400-000001000000}">
      <formula1>"-,○"</formula1>
    </dataValidation>
    <dataValidation type="list" allowBlank="1" showInputMessage="1" showErrorMessage="1" sqref="I60:I71" xr:uid="{00000000-0002-0000-0400-000002000000}">
      <formula1>画面項目種類</formula1>
    </dataValidation>
    <dataValidation type="list" allowBlank="1" showInputMessage="1" showErrorMessage="1" sqref="K78:N78" xr:uid="{00000000-0002-0000-0400-000003000000}">
      <formula1>種別一覧</formula1>
    </dataValidation>
    <dataValidation type="list" allowBlank="1" showInputMessage="1" showErrorMessage="1" sqref="O78" xr:uid="{00000000-0002-0000-0400-000004000000}">
      <formula1>"I,O"</formula1>
    </dataValidation>
  </dataValidations>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4" manualBreakCount="4">
    <brk id="46" max="34" man="1"/>
    <brk id="72" max="34" man="1"/>
    <brk id="115" max="34" man="1"/>
    <brk id="153" max="34" man="1"/>
  </rowBreaks>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400-000005000000}">
          <x14:formula1>
            <xm:f>データ!$D$2:$D$4</xm:f>
          </x14:formula1>
          <xm:sqref>AH88 AE84:AH87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BF136"/>
  <sheetViews>
    <sheetView showGridLines="0" view="pageBreakPreview" zoomScaleNormal="100" zoomScaleSheetLayoutView="100" workbookViewId="0">
      <selection sqref="A1:D1"/>
    </sheetView>
  </sheetViews>
  <sheetFormatPr defaultColWidth="4.83203125" defaultRowHeight="11.25"/>
  <cols>
    <col min="1" max="7" width="4.83203125" style="16"/>
    <col min="8" max="8" width="4.83203125" style="16" customWidth="1"/>
    <col min="9" max="16384" width="4.83203125" style="16"/>
  </cols>
  <sheetData>
    <row r="1" spans="1:36" s="11" customFormat="1">
      <c r="A1" s="339" t="s">
        <v>0</v>
      </c>
      <c r="B1" s="340"/>
      <c r="C1" s="340"/>
      <c r="D1" s="341"/>
      <c r="E1" s="227" t="str">
        <f ca="1">IF(INDIRECT("変更履歴!E1")&lt;&gt;"",INDIRECT("変更履歴!E1"),"")</f>
        <v>サンプルプロジェクト</v>
      </c>
      <c r="F1" s="180"/>
      <c r="G1" s="180"/>
      <c r="H1" s="180"/>
      <c r="I1" s="180"/>
      <c r="J1" s="180"/>
      <c r="K1" s="180"/>
      <c r="L1" s="180"/>
      <c r="M1" s="180"/>
      <c r="N1" s="181"/>
      <c r="O1" s="213" t="s">
        <v>37</v>
      </c>
      <c r="P1" s="214"/>
      <c r="Q1" s="214"/>
      <c r="R1" s="215"/>
      <c r="S1" s="228" t="str">
        <f ca="1">IF(INDIRECT("変更履歴!S1")&lt;&gt;"",INDIRECT("変更履歴!S1"),"")</f>
        <v>システム機能設計書（画面）
WA10201/プロジェクト登録</v>
      </c>
      <c r="T1" s="229"/>
      <c r="U1" s="229"/>
      <c r="V1" s="229"/>
      <c r="W1" s="229"/>
      <c r="X1" s="229"/>
      <c r="Y1" s="229"/>
      <c r="Z1" s="230"/>
      <c r="AA1" s="210" t="s">
        <v>3</v>
      </c>
      <c r="AB1" s="212"/>
      <c r="AC1" s="160" t="str">
        <f ca="1">IF(INDIRECT("変更履歴!AC1")&lt;&gt;"",INDIRECT("変更履歴!AC1"),"")</f>
        <v>TIS</v>
      </c>
      <c r="AD1" s="161"/>
      <c r="AE1" s="161"/>
      <c r="AF1" s="162"/>
      <c r="AG1" s="336">
        <f ca="1">IF(INDIRECT("変更履歴!AG1")&lt;&gt;"",INDIRECT("変更履歴!AG1"),"")</f>
        <v>43598</v>
      </c>
      <c r="AH1" s="337"/>
      <c r="AI1" s="338"/>
      <c r="AJ1" s="27"/>
    </row>
    <row r="2" spans="1:36" s="11" customFormat="1">
      <c r="A2" s="339" t="s">
        <v>1</v>
      </c>
      <c r="B2" s="340"/>
      <c r="C2" s="340"/>
      <c r="D2" s="341"/>
      <c r="E2" s="227" t="str">
        <f ca="1">IF(INDIRECT("変更履歴!E2")&lt;&gt;"",INDIRECT("変更履歴!E2"),"")</f>
        <v>サンプルシステム</v>
      </c>
      <c r="F2" s="180"/>
      <c r="G2" s="180"/>
      <c r="H2" s="180"/>
      <c r="I2" s="180"/>
      <c r="J2" s="180"/>
      <c r="K2" s="180"/>
      <c r="L2" s="180"/>
      <c r="M2" s="180"/>
      <c r="N2" s="181"/>
      <c r="O2" s="216"/>
      <c r="P2" s="217"/>
      <c r="Q2" s="217"/>
      <c r="R2" s="218"/>
      <c r="S2" s="231"/>
      <c r="T2" s="232"/>
      <c r="U2" s="232"/>
      <c r="V2" s="232"/>
      <c r="W2" s="232"/>
      <c r="X2" s="232"/>
      <c r="Y2" s="232"/>
      <c r="Z2" s="233"/>
      <c r="AA2" s="210" t="s">
        <v>4</v>
      </c>
      <c r="AB2" s="212"/>
      <c r="AC2" s="160" t="str">
        <f ca="1">IF(INDIRECT("変更履歴!AC2")&lt;&gt;"",INDIRECT("変更履歴!AC2"),"")</f>
        <v>TIS</v>
      </c>
      <c r="AD2" s="161"/>
      <c r="AE2" s="161"/>
      <c r="AF2" s="162"/>
      <c r="AG2" s="336">
        <f ca="1">IF(INDIRECT("変更履歴!AG2")&lt;&gt;"",INDIRECT("変更履歴!AG2"),"")</f>
        <v>44908</v>
      </c>
      <c r="AH2" s="337"/>
      <c r="AI2" s="338"/>
      <c r="AJ2" s="27"/>
    </row>
    <row r="3" spans="1:36" s="11" customFormat="1">
      <c r="A3" s="339" t="s">
        <v>2</v>
      </c>
      <c r="B3" s="340"/>
      <c r="C3" s="340"/>
      <c r="D3" s="341"/>
      <c r="E3" s="227" t="str">
        <f ca="1">IF(INDIRECT("変更履歴!E3")&lt;&gt;"",INDIRECT("変更履歴!E3"),"")</f>
        <v>プロジェクト管理システム</v>
      </c>
      <c r="F3" s="180"/>
      <c r="G3" s="180"/>
      <c r="H3" s="180"/>
      <c r="I3" s="180"/>
      <c r="J3" s="180"/>
      <c r="K3" s="180"/>
      <c r="L3" s="180"/>
      <c r="M3" s="180"/>
      <c r="N3" s="181"/>
      <c r="O3" s="219"/>
      <c r="P3" s="220"/>
      <c r="Q3" s="220"/>
      <c r="R3" s="221"/>
      <c r="S3" s="234"/>
      <c r="T3" s="235"/>
      <c r="U3" s="235"/>
      <c r="V3" s="235"/>
      <c r="W3" s="235"/>
      <c r="X3" s="235"/>
      <c r="Y3" s="235"/>
      <c r="Z3" s="236"/>
      <c r="AA3" s="210"/>
      <c r="AB3" s="212"/>
      <c r="AC3" s="160" t="str">
        <f ca="1">IF(INDIRECT("変更履歴!AC3")&lt;&gt;"",INDIRECT("変更履歴!AC3"),"")</f>
        <v/>
      </c>
      <c r="AD3" s="161"/>
      <c r="AE3" s="161"/>
      <c r="AF3" s="162"/>
      <c r="AG3" s="336" t="str">
        <f ca="1">IF(INDIRECT("変更履歴!AG3")&lt;&gt;"",INDIRECT("変更履歴!AG3"),"")</f>
        <v/>
      </c>
      <c r="AH3" s="337"/>
      <c r="AI3" s="338"/>
      <c r="AJ3" s="27"/>
    </row>
    <row r="4" spans="1:36" ht="12" customHeight="1"/>
    <row r="5" spans="1:36" ht="12" customHeight="1">
      <c r="B5" s="50" t="s">
        <v>254</v>
      </c>
    </row>
    <row r="6" spans="1:36" ht="12" customHeight="1">
      <c r="C6" s="16" t="s">
        <v>111</v>
      </c>
    </row>
    <row r="7" spans="1:36" ht="12" customHeight="1">
      <c r="AJ7" s="140"/>
    </row>
    <row r="8" spans="1:36" ht="12" customHeight="1"/>
    <row r="9" spans="1:36" ht="12" customHeight="1"/>
    <row r="10" spans="1:36" ht="12" customHeight="1"/>
    <row r="11" spans="1:36" ht="12" customHeight="1"/>
    <row r="12" spans="1:36" ht="12" customHeight="1"/>
    <row r="13" spans="1:36" ht="12" customHeight="1"/>
    <row r="14" spans="1:36" ht="12" customHeight="1"/>
    <row r="15" spans="1:36" ht="12" customHeight="1"/>
    <row r="16" spans="1:3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spans="3:53" ht="12" customHeight="1"/>
    <row r="34" spans="3:53" ht="12" customHeight="1"/>
    <row r="35" spans="3:53" ht="12" customHeight="1"/>
    <row r="36" spans="3:53" ht="12" customHeight="1"/>
    <row r="37" spans="3:53" ht="12" customHeight="1"/>
    <row r="38" spans="3:53" ht="12" customHeight="1"/>
    <row r="39" spans="3:53" ht="12" customHeight="1"/>
    <row r="40" spans="3:53" ht="12" customHeight="1">
      <c r="C40" t="s">
        <v>116</v>
      </c>
    </row>
    <row r="41" spans="3:53" ht="12" customHeight="1"/>
    <row r="42" spans="3:53" ht="12" customHeight="1">
      <c r="D42" s="97" t="s">
        <v>117</v>
      </c>
      <c r="E42" s="390" t="s">
        <v>69</v>
      </c>
      <c r="F42" s="390"/>
      <c r="G42" s="390"/>
      <c r="H42" s="390"/>
      <c r="I42" s="390"/>
      <c r="J42" s="390"/>
      <c r="K42" s="390"/>
      <c r="L42" s="390"/>
      <c r="M42" s="390"/>
      <c r="N42" s="342" t="s">
        <v>43</v>
      </c>
      <c r="O42" s="342"/>
      <c r="P42" s="342"/>
      <c r="Q42" s="391" t="s">
        <v>118</v>
      </c>
      <c r="R42" s="392"/>
      <c r="S42" s="392"/>
      <c r="T42" s="392"/>
      <c r="U42" s="393"/>
      <c r="V42" s="390" t="s">
        <v>14</v>
      </c>
      <c r="W42" s="390"/>
      <c r="X42" s="390"/>
      <c r="Y42" s="390"/>
      <c r="Z42" s="390"/>
      <c r="AA42" s="390"/>
      <c r="AB42" s="390"/>
      <c r="AC42" s="390"/>
    </row>
    <row r="43" spans="3:53" ht="12" customHeight="1">
      <c r="D43" s="124">
        <v>1</v>
      </c>
      <c r="E43" s="352" t="s">
        <v>119</v>
      </c>
      <c r="F43" s="352"/>
      <c r="G43" s="352"/>
      <c r="H43" s="352"/>
      <c r="I43" s="352"/>
      <c r="J43" s="352"/>
      <c r="K43" s="352"/>
      <c r="L43" s="352"/>
      <c r="M43" s="352"/>
      <c r="N43" s="352" t="s">
        <v>119</v>
      </c>
      <c r="O43" s="352"/>
      <c r="P43" s="352"/>
      <c r="Q43" s="394" t="s">
        <v>95</v>
      </c>
      <c r="R43" s="274"/>
      <c r="S43" s="274"/>
      <c r="T43" s="274"/>
      <c r="U43" s="275"/>
      <c r="V43" s="352" t="s">
        <v>93</v>
      </c>
      <c r="W43" s="352" t="s">
        <v>119</v>
      </c>
      <c r="X43" s="352"/>
      <c r="Y43" s="352"/>
      <c r="Z43" s="352"/>
      <c r="AA43" s="352"/>
      <c r="AB43" s="352"/>
      <c r="AC43" s="352"/>
    </row>
    <row r="44" spans="3:53" ht="11.25" customHeight="1"/>
    <row r="45" spans="3:53">
      <c r="C45" t="s">
        <v>160</v>
      </c>
      <c r="AK45" s="64"/>
      <c r="AL45" s="64"/>
      <c r="AM45" s="64"/>
      <c r="AN45" s="64"/>
      <c r="AO45" s="64"/>
      <c r="AP45" s="64"/>
      <c r="AQ45" s="64"/>
      <c r="AR45" s="64"/>
      <c r="AS45" s="64"/>
      <c r="AT45" s="64"/>
      <c r="AU45" s="64"/>
      <c r="AV45" s="64"/>
      <c r="AW45" s="64"/>
      <c r="AX45" s="64"/>
      <c r="AY45" s="64"/>
      <c r="AZ45" s="64"/>
      <c r="BA45" s="64"/>
    </row>
    <row r="46" spans="3:53" s="63" customFormat="1">
      <c r="AJ46" s="92"/>
      <c r="AK46" s="92"/>
      <c r="AL46" s="92"/>
      <c r="AM46" s="92"/>
      <c r="AN46" s="92"/>
      <c r="AO46" s="92"/>
      <c r="AP46" s="92"/>
      <c r="AQ46" s="92"/>
      <c r="AR46" s="92"/>
      <c r="AS46" s="92"/>
      <c r="AT46" s="92"/>
      <c r="AU46" s="92"/>
      <c r="AV46" s="92"/>
      <c r="AW46" s="92"/>
      <c r="AX46" s="92"/>
      <c r="AY46" s="92"/>
      <c r="AZ46" s="92"/>
    </row>
    <row r="47" spans="3:53" s="63" customFormat="1">
      <c r="D47" s="141"/>
      <c r="AJ47" s="92"/>
      <c r="AK47" s="92"/>
      <c r="AL47" s="92"/>
      <c r="AM47" s="92"/>
      <c r="AN47" s="92"/>
      <c r="AO47" s="92"/>
      <c r="AP47" s="92"/>
      <c r="AQ47" s="92"/>
      <c r="AR47" s="92"/>
      <c r="AS47" s="92"/>
      <c r="AT47" s="92"/>
      <c r="AU47" s="92"/>
      <c r="AV47" s="92"/>
      <c r="AW47" s="92"/>
      <c r="AX47" s="92"/>
      <c r="AY47" s="92"/>
      <c r="AZ47" s="92"/>
    </row>
    <row r="48" spans="3:53" s="63" customFormat="1">
      <c r="D48" s="333" t="s">
        <v>41</v>
      </c>
      <c r="E48" s="270" t="s">
        <v>29</v>
      </c>
      <c r="F48" s="271"/>
      <c r="G48" s="271"/>
      <c r="H48" s="271"/>
      <c r="I48" s="271"/>
      <c r="J48" s="271"/>
      <c r="K48" s="271"/>
      <c r="L48" s="271"/>
      <c r="M48" s="271"/>
      <c r="N48" s="271"/>
      <c r="O48" s="271"/>
      <c r="P48" s="271"/>
      <c r="Q48" s="271"/>
      <c r="R48" s="271"/>
      <c r="S48" s="271"/>
      <c r="T48" s="271"/>
      <c r="U48" s="271"/>
      <c r="V48" s="271"/>
      <c r="W48" s="271"/>
      <c r="X48" s="271"/>
      <c r="Y48" s="271"/>
      <c r="Z48" s="271"/>
      <c r="AA48" s="271"/>
      <c r="AB48" s="271"/>
      <c r="AC48" s="272"/>
      <c r="AD48" s="238" t="s">
        <v>33</v>
      </c>
      <c r="AE48" s="239"/>
      <c r="AF48" s="239"/>
      <c r="AG48" s="240"/>
      <c r="AH48" s="92"/>
      <c r="AI48" s="92"/>
      <c r="AJ48" s="92"/>
      <c r="AK48" s="44" t="s">
        <v>164</v>
      </c>
      <c r="AL48" s="92"/>
      <c r="AM48" s="92"/>
      <c r="AN48" s="92"/>
    </row>
    <row r="49" spans="4:48" s="63" customFormat="1" ht="11.25" customHeight="1">
      <c r="D49" s="334"/>
      <c r="E49" s="238" t="s">
        <v>31</v>
      </c>
      <c r="F49" s="239"/>
      <c r="G49" s="239"/>
      <c r="H49" s="240"/>
      <c r="I49" s="354" t="s">
        <v>39</v>
      </c>
      <c r="J49" s="347"/>
      <c r="K49" s="347"/>
      <c r="L49" s="348"/>
      <c r="M49" s="346" t="s">
        <v>151</v>
      </c>
      <c r="N49" s="347"/>
      <c r="O49" s="347"/>
      <c r="P49" s="347"/>
      <c r="Q49" s="347"/>
      <c r="R49" s="347"/>
      <c r="S49" s="347"/>
      <c r="T49" s="348"/>
      <c r="U49" s="238" t="s">
        <v>32</v>
      </c>
      <c r="V49" s="239"/>
      <c r="W49" s="239"/>
      <c r="X49" s="239"/>
      <c r="Y49" s="240"/>
      <c r="Z49" s="238" t="s">
        <v>27</v>
      </c>
      <c r="AA49" s="239"/>
      <c r="AB49" s="240"/>
      <c r="AC49" s="333" t="s">
        <v>44</v>
      </c>
      <c r="AD49" s="241"/>
      <c r="AE49" s="242"/>
      <c r="AF49" s="242"/>
      <c r="AG49" s="243"/>
      <c r="AH49" s="92"/>
      <c r="AI49" s="92"/>
      <c r="AJ49" s="92"/>
      <c r="AK49" s="92"/>
      <c r="AL49" s="44"/>
      <c r="AM49" s="92"/>
      <c r="AN49" s="92"/>
      <c r="AO49" s="92"/>
      <c r="AP49" s="92"/>
      <c r="AQ49" s="92"/>
      <c r="AR49" s="92"/>
      <c r="AS49" s="92"/>
      <c r="AT49" s="92"/>
    </row>
    <row r="50" spans="4:48" s="63" customFormat="1">
      <c r="D50" s="335"/>
      <c r="E50" s="244"/>
      <c r="F50" s="245"/>
      <c r="G50" s="245"/>
      <c r="H50" s="246"/>
      <c r="I50" s="349"/>
      <c r="J50" s="350"/>
      <c r="K50" s="350"/>
      <c r="L50" s="351"/>
      <c r="M50" s="349"/>
      <c r="N50" s="350"/>
      <c r="O50" s="350"/>
      <c r="P50" s="350"/>
      <c r="Q50" s="350"/>
      <c r="R50" s="350"/>
      <c r="S50" s="350"/>
      <c r="T50" s="351"/>
      <c r="U50" s="244"/>
      <c r="V50" s="245"/>
      <c r="W50" s="245"/>
      <c r="X50" s="245"/>
      <c r="Y50" s="246"/>
      <c r="Z50" s="244"/>
      <c r="AA50" s="245"/>
      <c r="AB50" s="246"/>
      <c r="AC50" s="335"/>
      <c r="AD50" s="244"/>
      <c r="AE50" s="245"/>
      <c r="AF50" s="245"/>
      <c r="AG50" s="246"/>
      <c r="AH50" s="92"/>
      <c r="AI50" s="92"/>
      <c r="AJ50" s="92"/>
      <c r="AK50" s="92"/>
      <c r="AL50" s="276" t="s">
        <v>40</v>
      </c>
      <c r="AM50" s="277"/>
      <c r="AN50" s="277"/>
      <c r="AO50" s="277"/>
      <c r="AP50" s="278"/>
      <c r="AQ50" s="92"/>
      <c r="AR50" s="92"/>
      <c r="AS50" s="92"/>
      <c r="AT50" s="92"/>
    </row>
    <row r="51" spans="4:48" s="63" customFormat="1">
      <c r="D51" s="330" t="s">
        <v>243</v>
      </c>
      <c r="E51" s="331"/>
      <c r="F51" s="331"/>
      <c r="G51" s="331"/>
      <c r="H51" s="331"/>
      <c r="I51" s="331"/>
      <c r="J51" s="331"/>
      <c r="K51" s="331"/>
      <c r="L51" s="331"/>
      <c r="M51" s="331"/>
      <c r="N51" s="331"/>
      <c r="O51" s="331"/>
      <c r="P51" s="331"/>
      <c r="Q51" s="331"/>
      <c r="R51" s="331"/>
      <c r="S51" s="331"/>
      <c r="T51" s="331"/>
      <c r="U51" s="331"/>
      <c r="V51" s="331"/>
      <c r="W51" s="331"/>
      <c r="X51" s="331"/>
      <c r="Y51" s="331"/>
      <c r="Z51" s="331"/>
      <c r="AA51" s="331"/>
      <c r="AB51" s="331"/>
      <c r="AC51" s="331"/>
      <c r="AD51" s="331"/>
      <c r="AE51" s="331"/>
      <c r="AF51" s="331"/>
      <c r="AG51" s="332"/>
      <c r="AH51" s="92"/>
      <c r="AI51" s="92"/>
      <c r="AJ51" s="92"/>
      <c r="AK51" s="92"/>
      <c r="AL51" s="371" t="s">
        <v>80</v>
      </c>
      <c r="AM51" s="372"/>
      <c r="AN51" s="372"/>
      <c r="AO51" s="372"/>
      <c r="AP51" s="373"/>
      <c r="AQ51" s="92"/>
      <c r="AR51" s="92"/>
      <c r="AS51" s="92"/>
      <c r="AT51" s="92"/>
    </row>
    <row r="52" spans="4:48" s="64" customFormat="1" ht="73.5" customHeight="1">
      <c r="D52" s="158">
        <v>1</v>
      </c>
      <c r="E52" s="185" t="s">
        <v>206</v>
      </c>
      <c r="F52" s="186"/>
      <c r="G52" s="186"/>
      <c r="H52" s="187"/>
      <c r="I52" s="260" t="s">
        <v>88</v>
      </c>
      <c r="J52" s="260"/>
      <c r="K52" s="260"/>
      <c r="L52" s="260"/>
      <c r="M52" s="255" t="s">
        <v>245</v>
      </c>
      <c r="N52" s="256"/>
      <c r="O52" s="256"/>
      <c r="P52" s="256"/>
      <c r="Q52" s="256"/>
      <c r="R52" s="256"/>
      <c r="S52" s="256"/>
      <c r="T52" s="257"/>
      <c r="U52" s="182" t="s">
        <v>314</v>
      </c>
      <c r="V52" s="183"/>
      <c r="W52" s="183"/>
      <c r="X52" s="183"/>
      <c r="Y52" s="184"/>
      <c r="Z52" s="182" t="s">
        <v>80</v>
      </c>
      <c r="AA52" s="183"/>
      <c r="AB52" s="184"/>
      <c r="AC52" s="142" t="s">
        <v>96</v>
      </c>
      <c r="AD52" s="182" t="s">
        <v>247</v>
      </c>
      <c r="AE52" s="183"/>
      <c r="AF52" s="183"/>
      <c r="AG52" s="184"/>
      <c r="AL52" s="371" t="s">
        <v>80</v>
      </c>
      <c r="AM52" s="372"/>
      <c r="AN52" s="372"/>
      <c r="AO52" s="372"/>
      <c r="AP52" s="373"/>
    </row>
    <row r="53" spans="4:48" s="64" customFormat="1" ht="73.5" customHeight="1">
      <c r="D53" s="158">
        <v>2</v>
      </c>
      <c r="E53" s="185" t="s">
        <v>208</v>
      </c>
      <c r="F53" s="186"/>
      <c r="G53" s="186"/>
      <c r="H53" s="187"/>
      <c r="I53" s="260" t="s">
        <v>88</v>
      </c>
      <c r="J53" s="260"/>
      <c r="K53" s="260"/>
      <c r="L53" s="260"/>
      <c r="M53" s="255" t="s">
        <v>245</v>
      </c>
      <c r="N53" s="256"/>
      <c r="O53" s="256"/>
      <c r="P53" s="256"/>
      <c r="Q53" s="256"/>
      <c r="R53" s="256"/>
      <c r="S53" s="256"/>
      <c r="T53" s="257"/>
      <c r="U53" s="182" t="s">
        <v>314</v>
      </c>
      <c r="V53" s="183"/>
      <c r="W53" s="183"/>
      <c r="X53" s="183"/>
      <c r="Y53" s="184"/>
      <c r="Z53" s="182" t="s">
        <v>80</v>
      </c>
      <c r="AA53" s="183"/>
      <c r="AB53" s="184"/>
      <c r="AC53" s="142" t="s">
        <v>96</v>
      </c>
      <c r="AD53" s="182" t="s">
        <v>248</v>
      </c>
      <c r="AE53" s="183"/>
      <c r="AF53" s="183"/>
      <c r="AG53" s="184"/>
      <c r="AL53" s="371" t="s">
        <v>80</v>
      </c>
      <c r="AM53" s="372"/>
      <c r="AN53" s="372"/>
      <c r="AO53" s="372"/>
      <c r="AP53" s="373"/>
    </row>
    <row r="54" spans="4:48" s="63" customFormat="1">
      <c r="D54" s="158">
        <v>3</v>
      </c>
      <c r="E54" s="185" t="s">
        <v>323</v>
      </c>
      <c r="F54" s="186"/>
      <c r="G54" s="186"/>
      <c r="H54" s="187"/>
      <c r="I54" s="260" t="s">
        <v>88</v>
      </c>
      <c r="J54" s="260"/>
      <c r="K54" s="260"/>
      <c r="L54" s="260"/>
      <c r="M54" s="345" t="s">
        <v>80</v>
      </c>
      <c r="N54" s="345"/>
      <c r="O54" s="345"/>
      <c r="P54" s="345"/>
      <c r="Q54" s="345"/>
      <c r="R54" s="345"/>
      <c r="S54" s="345"/>
      <c r="T54" s="345"/>
      <c r="U54" s="266" t="s">
        <v>80</v>
      </c>
      <c r="V54" s="266"/>
      <c r="W54" s="266"/>
      <c r="X54" s="266"/>
      <c r="Y54" s="266"/>
      <c r="Z54" s="266" t="s">
        <v>80</v>
      </c>
      <c r="AA54" s="266"/>
      <c r="AB54" s="266"/>
      <c r="AC54" s="142" t="s">
        <v>96</v>
      </c>
      <c r="AD54" s="182" t="s">
        <v>183</v>
      </c>
      <c r="AE54" s="183"/>
      <c r="AF54" s="183"/>
      <c r="AG54" s="184"/>
      <c r="AH54" s="92"/>
      <c r="AI54" s="92"/>
      <c r="AJ54" s="92"/>
      <c r="AK54" s="92"/>
      <c r="AL54" s="371" t="s">
        <v>80</v>
      </c>
      <c r="AM54" s="372"/>
      <c r="AN54" s="372"/>
      <c r="AO54" s="372"/>
      <c r="AP54" s="373"/>
      <c r="AQ54" s="92"/>
      <c r="AR54" s="92"/>
      <c r="AS54" s="92"/>
      <c r="AT54" s="92"/>
    </row>
    <row r="55" spans="4:48" s="63" customFormat="1" ht="29.25" customHeight="1">
      <c r="D55" s="158">
        <v>4</v>
      </c>
      <c r="E55" s="185" t="s">
        <v>324</v>
      </c>
      <c r="F55" s="186"/>
      <c r="G55" s="186"/>
      <c r="H55" s="187"/>
      <c r="I55" s="260" t="s">
        <v>88</v>
      </c>
      <c r="J55" s="260"/>
      <c r="K55" s="260"/>
      <c r="L55" s="260"/>
      <c r="M55" s="255" t="s">
        <v>80</v>
      </c>
      <c r="N55" s="256"/>
      <c r="O55" s="256"/>
      <c r="P55" s="256"/>
      <c r="Q55" s="256"/>
      <c r="R55" s="256"/>
      <c r="S55" s="256"/>
      <c r="T55" s="257"/>
      <c r="U55" s="182" t="s">
        <v>315</v>
      </c>
      <c r="V55" s="183"/>
      <c r="W55" s="183"/>
      <c r="X55" s="183"/>
      <c r="Y55" s="184"/>
      <c r="Z55" s="266" t="s">
        <v>80</v>
      </c>
      <c r="AA55" s="266"/>
      <c r="AB55" s="266"/>
      <c r="AC55" s="142" t="s">
        <v>96</v>
      </c>
      <c r="AD55" s="182" t="s">
        <v>184</v>
      </c>
      <c r="AE55" s="183"/>
      <c r="AF55" s="183"/>
      <c r="AG55" s="184"/>
      <c r="AH55" s="92"/>
      <c r="AI55" s="92"/>
      <c r="AJ55" s="92"/>
      <c r="AK55" s="92"/>
      <c r="AL55" s="371" t="s">
        <v>80</v>
      </c>
      <c r="AM55" s="372"/>
      <c r="AN55" s="372"/>
      <c r="AO55" s="372"/>
      <c r="AP55" s="373"/>
      <c r="AQ55" s="92"/>
      <c r="AR55" s="92"/>
      <c r="AS55" s="92"/>
      <c r="AT55" s="92"/>
    </row>
    <row r="56" spans="4:48" s="63" customFormat="1" ht="29.25" customHeight="1">
      <c r="D56" s="158">
        <v>5</v>
      </c>
      <c r="E56" s="185" t="s">
        <v>325</v>
      </c>
      <c r="F56" s="186"/>
      <c r="G56" s="186"/>
      <c r="H56" s="187"/>
      <c r="I56" s="260" t="s">
        <v>88</v>
      </c>
      <c r="J56" s="260"/>
      <c r="K56" s="260"/>
      <c r="L56" s="260"/>
      <c r="M56" s="255" t="s">
        <v>80</v>
      </c>
      <c r="N56" s="256"/>
      <c r="O56" s="256"/>
      <c r="P56" s="256"/>
      <c r="Q56" s="256"/>
      <c r="R56" s="256"/>
      <c r="S56" s="256"/>
      <c r="T56" s="257"/>
      <c r="U56" s="182" t="s">
        <v>316</v>
      </c>
      <c r="V56" s="183"/>
      <c r="W56" s="183"/>
      <c r="X56" s="183"/>
      <c r="Y56" s="184"/>
      <c r="Z56" s="266" t="s">
        <v>80</v>
      </c>
      <c r="AA56" s="266"/>
      <c r="AB56" s="266"/>
      <c r="AC56" s="142" t="s">
        <v>96</v>
      </c>
      <c r="AD56" s="182" t="s">
        <v>185</v>
      </c>
      <c r="AE56" s="183"/>
      <c r="AF56" s="183"/>
      <c r="AG56" s="184"/>
      <c r="AH56" s="92"/>
      <c r="AI56" s="92"/>
      <c r="AJ56" s="92"/>
      <c r="AK56" s="92"/>
      <c r="AL56" s="371" t="s">
        <v>80</v>
      </c>
      <c r="AM56" s="372"/>
      <c r="AN56" s="372"/>
      <c r="AO56" s="372"/>
      <c r="AP56" s="373"/>
      <c r="AQ56" s="92"/>
      <c r="AR56" s="92"/>
      <c r="AS56" s="92"/>
      <c r="AT56" s="92"/>
    </row>
    <row r="57" spans="4:48" ht="52.5" customHeight="1">
      <c r="D57" s="158">
        <v>6</v>
      </c>
      <c r="E57" s="185" t="s">
        <v>326</v>
      </c>
      <c r="F57" s="186"/>
      <c r="G57" s="186"/>
      <c r="H57" s="187"/>
      <c r="I57" s="260" t="s">
        <v>88</v>
      </c>
      <c r="J57" s="260"/>
      <c r="K57" s="260"/>
      <c r="L57" s="260"/>
      <c r="M57" s="255" t="s">
        <v>80</v>
      </c>
      <c r="N57" s="256"/>
      <c r="O57" s="256"/>
      <c r="P57" s="256"/>
      <c r="Q57" s="256"/>
      <c r="R57" s="256"/>
      <c r="S57" s="256"/>
      <c r="T57" s="257"/>
      <c r="U57" s="182" t="s">
        <v>297</v>
      </c>
      <c r="V57" s="183"/>
      <c r="W57" s="183"/>
      <c r="X57" s="183"/>
      <c r="Y57" s="184"/>
      <c r="Z57" s="182" t="s">
        <v>80</v>
      </c>
      <c r="AA57" s="183"/>
      <c r="AB57" s="184"/>
      <c r="AC57" s="142" t="s">
        <v>93</v>
      </c>
      <c r="AD57" s="182" t="s">
        <v>321</v>
      </c>
      <c r="AE57" s="183"/>
      <c r="AF57" s="183"/>
      <c r="AG57" s="184"/>
      <c r="AL57" s="371" t="s">
        <v>80</v>
      </c>
      <c r="AM57" s="372"/>
      <c r="AN57" s="372"/>
      <c r="AO57" s="372"/>
      <c r="AP57" s="373"/>
    </row>
    <row r="58" spans="4:48" s="64" customFormat="1" ht="47.25" customHeight="1">
      <c r="D58" s="158">
        <v>7</v>
      </c>
      <c r="E58" s="185" t="s">
        <v>193</v>
      </c>
      <c r="F58" s="186"/>
      <c r="G58" s="186"/>
      <c r="H58" s="187"/>
      <c r="I58" s="260" t="s">
        <v>88</v>
      </c>
      <c r="J58" s="260"/>
      <c r="K58" s="260"/>
      <c r="L58" s="260"/>
      <c r="M58" s="255" t="s">
        <v>80</v>
      </c>
      <c r="N58" s="256"/>
      <c r="O58" s="256"/>
      <c r="P58" s="256"/>
      <c r="Q58" s="256"/>
      <c r="R58" s="256"/>
      <c r="S58" s="256"/>
      <c r="T58" s="257"/>
      <c r="U58" s="182" t="s">
        <v>317</v>
      </c>
      <c r="V58" s="183"/>
      <c r="W58" s="183"/>
      <c r="X58" s="183"/>
      <c r="Y58" s="184"/>
      <c r="Z58" s="182" t="s">
        <v>80</v>
      </c>
      <c r="AA58" s="183"/>
      <c r="AB58" s="184"/>
      <c r="AC58" s="142" t="s">
        <v>96</v>
      </c>
      <c r="AD58" s="182" t="s">
        <v>347</v>
      </c>
      <c r="AE58" s="183"/>
      <c r="AF58" s="183"/>
      <c r="AG58" s="184"/>
      <c r="AL58" s="371" t="s">
        <v>80</v>
      </c>
      <c r="AM58" s="372"/>
      <c r="AN58" s="372"/>
      <c r="AO58" s="372"/>
      <c r="AP58" s="373"/>
    </row>
    <row r="59" spans="4:48" s="64" customFormat="1">
      <c r="D59" s="158">
        <v>8</v>
      </c>
      <c r="E59" s="185" t="s">
        <v>257</v>
      </c>
      <c r="F59" s="186"/>
      <c r="G59" s="186"/>
      <c r="H59" s="187"/>
      <c r="I59" s="260" t="s">
        <v>88</v>
      </c>
      <c r="J59" s="260"/>
      <c r="K59" s="260"/>
      <c r="L59" s="260"/>
      <c r="M59" s="255" t="s">
        <v>80</v>
      </c>
      <c r="N59" s="256"/>
      <c r="O59" s="256"/>
      <c r="P59" s="256"/>
      <c r="Q59" s="256"/>
      <c r="R59" s="256"/>
      <c r="S59" s="256"/>
      <c r="T59" s="257"/>
      <c r="U59" s="182" t="s">
        <v>80</v>
      </c>
      <c r="V59" s="183"/>
      <c r="W59" s="183"/>
      <c r="X59" s="183"/>
      <c r="Y59" s="184"/>
      <c r="Z59" s="182" t="s">
        <v>80</v>
      </c>
      <c r="AA59" s="183"/>
      <c r="AB59" s="184"/>
      <c r="AC59" s="142" t="s">
        <v>96</v>
      </c>
      <c r="AD59" s="182" t="s">
        <v>191</v>
      </c>
      <c r="AE59" s="183"/>
      <c r="AF59" s="183"/>
      <c r="AG59" s="184"/>
      <c r="AL59" s="371" t="s">
        <v>80</v>
      </c>
      <c r="AM59" s="372"/>
      <c r="AN59" s="372"/>
      <c r="AO59" s="372"/>
      <c r="AP59" s="373"/>
      <c r="AV59" s="75"/>
    </row>
    <row r="60" spans="4:48" s="64" customFormat="1">
      <c r="D60" s="158">
        <v>9</v>
      </c>
      <c r="E60" s="185" t="s">
        <v>327</v>
      </c>
      <c r="F60" s="186"/>
      <c r="G60" s="186"/>
      <c r="H60" s="187"/>
      <c r="I60" s="260" t="s">
        <v>88</v>
      </c>
      <c r="J60" s="260"/>
      <c r="K60" s="260"/>
      <c r="L60" s="260"/>
      <c r="M60" s="255" t="s">
        <v>80</v>
      </c>
      <c r="N60" s="256"/>
      <c r="O60" s="256"/>
      <c r="P60" s="256"/>
      <c r="Q60" s="256"/>
      <c r="R60" s="256"/>
      <c r="S60" s="256"/>
      <c r="T60" s="257"/>
      <c r="U60" s="182" t="s">
        <v>80</v>
      </c>
      <c r="V60" s="183"/>
      <c r="W60" s="183"/>
      <c r="X60" s="183"/>
      <c r="Y60" s="184"/>
      <c r="Z60" s="182" t="s">
        <v>80</v>
      </c>
      <c r="AA60" s="183"/>
      <c r="AB60" s="184"/>
      <c r="AC60" s="142" t="s">
        <v>96</v>
      </c>
      <c r="AD60" s="182" t="s">
        <v>191</v>
      </c>
      <c r="AE60" s="183"/>
      <c r="AF60" s="183"/>
      <c r="AG60" s="184"/>
      <c r="AL60" s="371" t="s">
        <v>80</v>
      </c>
      <c r="AM60" s="372"/>
      <c r="AN60" s="372"/>
      <c r="AO60" s="372"/>
      <c r="AP60" s="373"/>
      <c r="AR60" s="92"/>
      <c r="AS60" s="92"/>
    </row>
    <row r="61" spans="4:48" s="63" customFormat="1" ht="22.5" customHeight="1">
      <c r="D61" s="158">
        <v>10</v>
      </c>
      <c r="E61" s="182" t="s">
        <v>292</v>
      </c>
      <c r="F61" s="183"/>
      <c r="G61" s="183"/>
      <c r="H61" s="184"/>
      <c r="I61" s="260" t="s">
        <v>88</v>
      </c>
      <c r="J61" s="260"/>
      <c r="K61" s="260"/>
      <c r="L61" s="260"/>
      <c r="M61" s="255" t="s">
        <v>80</v>
      </c>
      <c r="N61" s="256"/>
      <c r="O61" s="256"/>
      <c r="P61" s="256"/>
      <c r="Q61" s="256"/>
      <c r="R61" s="256"/>
      <c r="S61" s="256"/>
      <c r="T61" s="257"/>
      <c r="U61" s="182" t="s">
        <v>298</v>
      </c>
      <c r="V61" s="183"/>
      <c r="W61" s="183"/>
      <c r="X61" s="183"/>
      <c r="Y61" s="184"/>
      <c r="Z61" s="182" t="s">
        <v>80</v>
      </c>
      <c r="AA61" s="183"/>
      <c r="AB61" s="184"/>
      <c r="AC61" s="142" t="s">
        <v>96</v>
      </c>
      <c r="AD61" s="182" t="s">
        <v>189</v>
      </c>
      <c r="AE61" s="183"/>
      <c r="AF61" s="183"/>
      <c r="AG61" s="184"/>
      <c r="AH61" s="92"/>
      <c r="AI61" s="92"/>
      <c r="AJ61" s="92"/>
      <c r="AK61" s="92"/>
      <c r="AL61" s="371" t="s">
        <v>80</v>
      </c>
      <c r="AM61" s="372"/>
      <c r="AN61" s="372"/>
      <c r="AO61" s="372"/>
      <c r="AP61" s="373"/>
      <c r="AQ61" s="92"/>
      <c r="AR61" s="92"/>
    </row>
    <row r="62" spans="4:48" s="64" customFormat="1" ht="22.5" customHeight="1">
      <c r="D62" s="158">
        <v>11</v>
      </c>
      <c r="E62" s="182" t="s">
        <v>293</v>
      </c>
      <c r="F62" s="183"/>
      <c r="G62" s="183"/>
      <c r="H62" s="184"/>
      <c r="I62" s="260" t="s">
        <v>88</v>
      </c>
      <c r="J62" s="260"/>
      <c r="K62" s="260"/>
      <c r="L62" s="260"/>
      <c r="M62" s="255" t="s">
        <v>80</v>
      </c>
      <c r="N62" s="256"/>
      <c r="O62" s="256"/>
      <c r="P62" s="256"/>
      <c r="Q62" s="256"/>
      <c r="R62" s="256"/>
      <c r="S62" s="256"/>
      <c r="T62" s="257"/>
      <c r="U62" s="182" t="s">
        <v>298</v>
      </c>
      <c r="V62" s="183"/>
      <c r="W62" s="183"/>
      <c r="X62" s="183"/>
      <c r="Y62" s="184"/>
      <c r="Z62" s="182" t="s">
        <v>80</v>
      </c>
      <c r="AA62" s="183"/>
      <c r="AB62" s="184"/>
      <c r="AC62" s="142" t="s">
        <v>96</v>
      </c>
      <c r="AD62" s="182" t="s">
        <v>189</v>
      </c>
      <c r="AE62" s="183"/>
      <c r="AF62" s="183"/>
      <c r="AG62" s="184"/>
      <c r="AL62" s="371" t="s">
        <v>80</v>
      </c>
      <c r="AM62" s="372"/>
      <c r="AN62" s="372"/>
      <c r="AO62" s="372"/>
      <c r="AP62" s="373"/>
    </row>
    <row r="63" spans="4:48" ht="28.5" customHeight="1">
      <c r="D63" s="158">
        <v>12</v>
      </c>
      <c r="E63" s="185" t="s">
        <v>90</v>
      </c>
      <c r="F63" s="186"/>
      <c r="G63" s="186"/>
      <c r="H63" s="187"/>
      <c r="I63" s="260" t="s">
        <v>88</v>
      </c>
      <c r="J63" s="260"/>
      <c r="K63" s="260"/>
      <c r="L63" s="260"/>
      <c r="M63" s="255" t="s">
        <v>80</v>
      </c>
      <c r="N63" s="256"/>
      <c r="O63" s="256"/>
      <c r="P63" s="256"/>
      <c r="Q63" s="256"/>
      <c r="R63" s="256"/>
      <c r="S63" s="256"/>
      <c r="T63" s="257"/>
      <c r="U63" s="182" t="s">
        <v>301</v>
      </c>
      <c r="V63" s="183"/>
      <c r="W63" s="183"/>
      <c r="X63" s="183"/>
      <c r="Y63" s="184"/>
      <c r="Z63" s="182" t="s">
        <v>80</v>
      </c>
      <c r="AA63" s="183"/>
      <c r="AB63" s="184"/>
      <c r="AC63" s="142" t="s">
        <v>93</v>
      </c>
      <c r="AD63" s="182" t="s">
        <v>90</v>
      </c>
      <c r="AE63" s="183"/>
      <c r="AF63" s="183"/>
      <c r="AG63" s="184"/>
      <c r="AL63" s="371" t="s">
        <v>80</v>
      </c>
      <c r="AM63" s="372"/>
      <c r="AN63" s="372"/>
      <c r="AO63" s="372"/>
      <c r="AP63" s="373"/>
    </row>
    <row r="64" spans="4:48" s="64" customFormat="1" ht="73.5" customHeight="1">
      <c r="D64" s="158">
        <v>13</v>
      </c>
      <c r="E64" s="185" t="s">
        <v>206</v>
      </c>
      <c r="F64" s="186"/>
      <c r="G64" s="186"/>
      <c r="H64" s="187"/>
      <c r="I64" s="260" t="s">
        <v>310</v>
      </c>
      <c r="J64" s="260"/>
      <c r="K64" s="260"/>
      <c r="L64" s="260"/>
      <c r="M64" s="255" t="s">
        <v>80</v>
      </c>
      <c r="N64" s="256"/>
      <c r="O64" s="256"/>
      <c r="P64" s="256"/>
      <c r="Q64" s="256"/>
      <c r="R64" s="256"/>
      <c r="S64" s="256"/>
      <c r="T64" s="257"/>
      <c r="U64" s="266" t="s">
        <v>80</v>
      </c>
      <c r="V64" s="266"/>
      <c r="W64" s="266"/>
      <c r="X64" s="266"/>
      <c r="Y64" s="266"/>
      <c r="Z64" s="182" t="s">
        <v>80</v>
      </c>
      <c r="AA64" s="183"/>
      <c r="AB64" s="184"/>
      <c r="AC64" s="142" t="s">
        <v>96</v>
      </c>
      <c r="AD64" s="182" t="s">
        <v>247</v>
      </c>
      <c r="AE64" s="183"/>
      <c r="AF64" s="183"/>
      <c r="AG64" s="184"/>
      <c r="AL64" s="185" t="s">
        <v>281</v>
      </c>
      <c r="AM64" s="250" t="s">
        <v>200</v>
      </c>
      <c r="AN64" s="250" t="s">
        <v>200</v>
      </c>
      <c r="AO64" s="250" t="s">
        <v>200</v>
      </c>
      <c r="AP64" s="254" t="s">
        <v>200</v>
      </c>
    </row>
    <row r="65" spans="3:52" s="64" customFormat="1" ht="73.5" customHeight="1">
      <c r="D65" s="158">
        <v>14</v>
      </c>
      <c r="E65" s="185" t="s">
        <v>208</v>
      </c>
      <c r="F65" s="186"/>
      <c r="G65" s="186"/>
      <c r="H65" s="187"/>
      <c r="I65" s="260" t="s">
        <v>310</v>
      </c>
      <c r="J65" s="260"/>
      <c r="K65" s="260"/>
      <c r="L65" s="260"/>
      <c r="M65" s="255" t="s">
        <v>80</v>
      </c>
      <c r="N65" s="256"/>
      <c r="O65" s="256"/>
      <c r="P65" s="256"/>
      <c r="Q65" s="256"/>
      <c r="R65" s="256"/>
      <c r="S65" s="256"/>
      <c r="T65" s="257"/>
      <c r="U65" s="266" t="s">
        <v>80</v>
      </c>
      <c r="V65" s="266"/>
      <c r="W65" s="266"/>
      <c r="X65" s="266"/>
      <c r="Y65" s="266"/>
      <c r="Z65" s="182" t="s">
        <v>80</v>
      </c>
      <c r="AA65" s="183"/>
      <c r="AB65" s="184"/>
      <c r="AC65" s="142" t="s">
        <v>96</v>
      </c>
      <c r="AD65" s="182" t="s">
        <v>221</v>
      </c>
      <c r="AE65" s="183"/>
      <c r="AF65" s="183"/>
      <c r="AG65" s="184"/>
      <c r="AL65" s="185" t="s">
        <v>282</v>
      </c>
      <c r="AM65" s="250" t="s">
        <v>200</v>
      </c>
      <c r="AN65" s="250" t="s">
        <v>200</v>
      </c>
      <c r="AO65" s="250" t="s">
        <v>200</v>
      </c>
      <c r="AP65" s="254" t="s">
        <v>200</v>
      </c>
    </row>
    <row r="66" spans="3:52" s="63" customFormat="1" ht="11.25" customHeight="1">
      <c r="D66" s="158">
        <v>15</v>
      </c>
      <c r="E66" s="185" t="s">
        <v>87</v>
      </c>
      <c r="F66" s="186"/>
      <c r="G66" s="186"/>
      <c r="H66" s="187"/>
      <c r="I66" s="260" t="s">
        <v>310</v>
      </c>
      <c r="J66" s="260"/>
      <c r="K66" s="260"/>
      <c r="L66" s="260"/>
      <c r="M66" s="345" t="s">
        <v>80</v>
      </c>
      <c r="N66" s="345"/>
      <c r="O66" s="345"/>
      <c r="P66" s="345"/>
      <c r="Q66" s="345"/>
      <c r="R66" s="345"/>
      <c r="S66" s="345"/>
      <c r="T66" s="345"/>
      <c r="U66" s="266" t="s">
        <v>80</v>
      </c>
      <c r="V66" s="266"/>
      <c r="W66" s="266"/>
      <c r="X66" s="266"/>
      <c r="Y66" s="266"/>
      <c r="Z66" s="266" t="s">
        <v>80</v>
      </c>
      <c r="AA66" s="266"/>
      <c r="AB66" s="266"/>
      <c r="AC66" s="142" t="s">
        <v>96</v>
      </c>
      <c r="AD66" s="182" t="s">
        <v>183</v>
      </c>
      <c r="AE66" s="183"/>
      <c r="AF66" s="183"/>
      <c r="AG66" s="184"/>
      <c r="AH66" s="92"/>
      <c r="AI66" s="92"/>
      <c r="AJ66" s="92"/>
      <c r="AK66" s="92"/>
      <c r="AL66" s="185" t="s">
        <v>283</v>
      </c>
      <c r="AM66" s="250" t="s">
        <v>195</v>
      </c>
      <c r="AN66" s="250" t="s">
        <v>195</v>
      </c>
      <c r="AO66" s="250" t="s">
        <v>195</v>
      </c>
      <c r="AP66" s="254" t="s">
        <v>195</v>
      </c>
      <c r="AQ66" s="92"/>
      <c r="AR66" s="92"/>
      <c r="AS66" s="92"/>
      <c r="AT66" s="92"/>
    </row>
    <row r="67" spans="3:52" s="63" customFormat="1" ht="29.25" customHeight="1">
      <c r="D67" s="158">
        <v>16</v>
      </c>
      <c r="E67" s="185" t="s">
        <v>318</v>
      </c>
      <c r="F67" s="186"/>
      <c r="G67" s="186"/>
      <c r="H67" s="187"/>
      <c r="I67" s="260" t="s">
        <v>310</v>
      </c>
      <c r="J67" s="260"/>
      <c r="K67" s="260"/>
      <c r="L67" s="260"/>
      <c r="M67" s="255" t="s">
        <v>80</v>
      </c>
      <c r="N67" s="256"/>
      <c r="O67" s="256"/>
      <c r="P67" s="256"/>
      <c r="Q67" s="256"/>
      <c r="R67" s="256"/>
      <c r="S67" s="256"/>
      <c r="T67" s="257"/>
      <c r="U67" s="266" t="s">
        <v>80</v>
      </c>
      <c r="V67" s="266"/>
      <c r="W67" s="266"/>
      <c r="X67" s="266"/>
      <c r="Y67" s="266"/>
      <c r="Z67" s="266" t="s">
        <v>80</v>
      </c>
      <c r="AA67" s="266"/>
      <c r="AB67" s="266"/>
      <c r="AC67" s="142" t="s">
        <v>96</v>
      </c>
      <c r="AD67" s="182" t="s">
        <v>184</v>
      </c>
      <c r="AE67" s="183"/>
      <c r="AF67" s="183"/>
      <c r="AG67" s="184"/>
      <c r="AH67" s="92"/>
      <c r="AI67" s="92"/>
      <c r="AJ67" s="92"/>
      <c r="AK67" s="92"/>
      <c r="AL67" s="185" t="s">
        <v>284</v>
      </c>
      <c r="AM67" s="250" t="s">
        <v>196</v>
      </c>
      <c r="AN67" s="250" t="s">
        <v>196</v>
      </c>
      <c r="AO67" s="250" t="s">
        <v>196</v>
      </c>
      <c r="AP67" s="254" t="s">
        <v>196</v>
      </c>
      <c r="AQ67" s="92"/>
      <c r="AR67" s="92"/>
      <c r="AS67" s="92"/>
      <c r="AT67" s="92"/>
    </row>
    <row r="68" spans="3:52" s="63" customFormat="1" ht="29.25" customHeight="1">
      <c r="D68" s="158">
        <v>17</v>
      </c>
      <c r="E68" s="185" t="s">
        <v>319</v>
      </c>
      <c r="F68" s="186"/>
      <c r="G68" s="186"/>
      <c r="H68" s="187"/>
      <c r="I68" s="260" t="s">
        <v>310</v>
      </c>
      <c r="J68" s="260"/>
      <c r="K68" s="260"/>
      <c r="L68" s="260"/>
      <c r="M68" s="255" t="s">
        <v>80</v>
      </c>
      <c r="N68" s="256"/>
      <c r="O68" s="256"/>
      <c r="P68" s="256"/>
      <c r="Q68" s="256"/>
      <c r="R68" s="256"/>
      <c r="S68" s="256"/>
      <c r="T68" s="257"/>
      <c r="U68" s="266" t="s">
        <v>80</v>
      </c>
      <c r="V68" s="266"/>
      <c r="W68" s="266"/>
      <c r="X68" s="266"/>
      <c r="Y68" s="266"/>
      <c r="Z68" s="266" t="s">
        <v>80</v>
      </c>
      <c r="AA68" s="266"/>
      <c r="AB68" s="266"/>
      <c r="AC68" s="142" t="s">
        <v>96</v>
      </c>
      <c r="AD68" s="182" t="s">
        <v>185</v>
      </c>
      <c r="AE68" s="183"/>
      <c r="AF68" s="183"/>
      <c r="AG68" s="184"/>
      <c r="AH68" s="92"/>
      <c r="AI68" s="92"/>
      <c r="AJ68" s="92"/>
      <c r="AK68" s="92"/>
      <c r="AL68" s="185" t="s">
        <v>285</v>
      </c>
      <c r="AM68" s="250" t="s">
        <v>197</v>
      </c>
      <c r="AN68" s="250" t="s">
        <v>197</v>
      </c>
      <c r="AO68" s="250" t="s">
        <v>197</v>
      </c>
      <c r="AP68" s="254" t="s">
        <v>197</v>
      </c>
      <c r="AQ68" s="92"/>
      <c r="AR68" s="92"/>
      <c r="AS68" s="92"/>
      <c r="AT68" s="92"/>
    </row>
    <row r="69" spans="3:52" ht="52.5" customHeight="1">
      <c r="D69" s="158">
        <v>18</v>
      </c>
      <c r="E69" s="185" t="s">
        <v>320</v>
      </c>
      <c r="F69" s="186"/>
      <c r="G69" s="186"/>
      <c r="H69" s="187"/>
      <c r="I69" s="260" t="s">
        <v>310</v>
      </c>
      <c r="J69" s="260"/>
      <c r="K69" s="260"/>
      <c r="L69" s="260"/>
      <c r="M69" s="255" t="s">
        <v>80</v>
      </c>
      <c r="N69" s="256"/>
      <c r="O69" s="256"/>
      <c r="P69" s="256"/>
      <c r="Q69" s="256"/>
      <c r="R69" s="256"/>
      <c r="S69" s="256"/>
      <c r="T69" s="257"/>
      <c r="U69" s="266" t="s">
        <v>80</v>
      </c>
      <c r="V69" s="266"/>
      <c r="W69" s="266"/>
      <c r="X69" s="266"/>
      <c r="Y69" s="266"/>
      <c r="Z69" s="182" t="s">
        <v>80</v>
      </c>
      <c r="AA69" s="183"/>
      <c r="AB69" s="184"/>
      <c r="AC69" s="142" t="s">
        <v>93</v>
      </c>
      <c r="AD69" s="182" t="s">
        <v>321</v>
      </c>
      <c r="AE69" s="183"/>
      <c r="AF69" s="183"/>
      <c r="AG69" s="184"/>
      <c r="AL69" s="185" t="s">
        <v>286</v>
      </c>
      <c r="AM69" s="250" t="s">
        <v>204</v>
      </c>
      <c r="AN69" s="250" t="s">
        <v>204</v>
      </c>
      <c r="AO69" s="250" t="s">
        <v>204</v>
      </c>
      <c r="AP69" s="254" t="s">
        <v>204</v>
      </c>
    </row>
    <row r="70" spans="3:52" s="64" customFormat="1" ht="47.25" customHeight="1">
      <c r="D70" s="158">
        <v>19</v>
      </c>
      <c r="E70" s="185" t="s">
        <v>193</v>
      </c>
      <c r="F70" s="186"/>
      <c r="G70" s="186"/>
      <c r="H70" s="187"/>
      <c r="I70" s="260" t="s">
        <v>310</v>
      </c>
      <c r="J70" s="260"/>
      <c r="K70" s="260"/>
      <c r="L70" s="260"/>
      <c r="M70" s="255" t="s">
        <v>80</v>
      </c>
      <c r="N70" s="256"/>
      <c r="O70" s="256"/>
      <c r="P70" s="256"/>
      <c r="Q70" s="256"/>
      <c r="R70" s="256"/>
      <c r="S70" s="256"/>
      <c r="T70" s="257"/>
      <c r="U70" s="266" t="s">
        <v>80</v>
      </c>
      <c r="V70" s="266"/>
      <c r="W70" s="266"/>
      <c r="X70" s="266"/>
      <c r="Y70" s="266"/>
      <c r="Z70" s="182" t="s">
        <v>80</v>
      </c>
      <c r="AA70" s="183"/>
      <c r="AB70" s="184"/>
      <c r="AC70" s="142" t="s">
        <v>96</v>
      </c>
      <c r="AD70" s="182" t="s">
        <v>296</v>
      </c>
      <c r="AE70" s="183"/>
      <c r="AF70" s="183"/>
      <c r="AG70" s="184"/>
      <c r="AL70" s="185" t="s">
        <v>287</v>
      </c>
      <c r="AM70" s="250" t="s">
        <v>200</v>
      </c>
      <c r="AN70" s="250" t="s">
        <v>200</v>
      </c>
      <c r="AO70" s="250" t="s">
        <v>200</v>
      </c>
      <c r="AP70" s="254" t="s">
        <v>200</v>
      </c>
    </row>
    <row r="71" spans="3:52" s="64" customFormat="1" ht="11.25" customHeight="1">
      <c r="D71" s="158">
        <v>20</v>
      </c>
      <c r="E71" s="185" t="s">
        <v>249</v>
      </c>
      <c r="F71" s="186"/>
      <c r="G71" s="186"/>
      <c r="H71" s="187"/>
      <c r="I71" s="260" t="s">
        <v>310</v>
      </c>
      <c r="J71" s="260"/>
      <c r="K71" s="260"/>
      <c r="L71" s="260"/>
      <c r="M71" s="255" t="s">
        <v>80</v>
      </c>
      <c r="N71" s="256"/>
      <c r="O71" s="256"/>
      <c r="P71" s="256"/>
      <c r="Q71" s="256"/>
      <c r="R71" s="256"/>
      <c r="S71" s="256"/>
      <c r="T71" s="257"/>
      <c r="U71" s="182" t="s">
        <v>80</v>
      </c>
      <c r="V71" s="183"/>
      <c r="W71" s="183"/>
      <c r="X71" s="183"/>
      <c r="Y71" s="184"/>
      <c r="Z71" s="182" t="s">
        <v>80</v>
      </c>
      <c r="AA71" s="183"/>
      <c r="AB71" s="184"/>
      <c r="AC71" s="142" t="s">
        <v>96</v>
      </c>
      <c r="AD71" s="182" t="s">
        <v>191</v>
      </c>
      <c r="AE71" s="183"/>
      <c r="AF71" s="183"/>
      <c r="AG71" s="184"/>
      <c r="AL71" s="185" t="s">
        <v>288</v>
      </c>
      <c r="AM71" s="250" t="s">
        <v>201</v>
      </c>
      <c r="AN71" s="250" t="s">
        <v>201</v>
      </c>
      <c r="AO71" s="250" t="s">
        <v>201</v>
      </c>
      <c r="AP71" s="254" t="s">
        <v>201</v>
      </c>
      <c r="AV71" s="75"/>
    </row>
    <row r="72" spans="3:52" s="64" customFormat="1" ht="11.25" customHeight="1">
      <c r="D72" s="158">
        <v>21</v>
      </c>
      <c r="E72" s="185" t="s">
        <v>280</v>
      </c>
      <c r="F72" s="186"/>
      <c r="G72" s="186"/>
      <c r="H72" s="187"/>
      <c r="I72" s="260" t="s">
        <v>310</v>
      </c>
      <c r="J72" s="260"/>
      <c r="K72" s="260"/>
      <c r="L72" s="260"/>
      <c r="M72" s="255" t="s">
        <v>80</v>
      </c>
      <c r="N72" s="256"/>
      <c r="O72" s="256"/>
      <c r="P72" s="256"/>
      <c r="Q72" s="256"/>
      <c r="R72" s="256"/>
      <c r="S72" s="256"/>
      <c r="T72" s="257"/>
      <c r="U72" s="182" t="s">
        <v>80</v>
      </c>
      <c r="V72" s="183"/>
      <c r="W72" s="183"/>
      <c r="X72" s="183"/>
      <c r="Y72" s="184"/>
      <c r="Z72" s="182" t="s">
        <v>80</v>
      </c>
      <c r="AA72" s="183"/>
      <c r="AB72" s="184"/>
      <c r="AC72" s="142" t="s">
        <v>96</v>
      </c>
      <c r="AD72" s="182" t="s">
        <v>191</v>
      </c>
      <c r="AE72" s="183"/>
      <c r="AF72" s="183"/>
      <c r="AG72" s="184"/>
      <c r="AL72" s="182" t="s">
        <v>289</v>
      </c>
      <c r="AM72" s="258" t="s">
        <v>202</v>
      </c>
      <c r="AN72" s="258" t="s">
        <v>202</v>
      </c>
      <c r="AO72" s="258" t="s">
        <v>202</v>
      </c>
      <c r="AP72" s="259" t="s">
        <v>202</v>
      </c>
      <c r="AR72" s="92"/>
      <c r="AS72" s="92"/>
    </row>
    <row r="73" spans="3:52" s="63" customFormat="1" ht="22.5" customHeight="1">
      <c r="D73" s="158">
        <v>22</v>
      </c>
      <c r="E73" s="182" t="s">
        <v>292</v>
      </c>
      <c r="F73" s="183"/>
      <c r="G73" s="183"/>
      <c r="H73" s="184"/>
      <c r="I73" s="260" t="s">
        <v>310</v>
      </c>
      <c r="J73" s="260"/>
      <c r="K73" s="260"/>
      <c r="L73" s="260"/>
      <c r="M73" s="255" t="s">
        <v>80</v>
      </c>
      <c r="N73" s="256"/>
      <c r="O73" s="256"/>
      <c r="P73" s="256"/>
      <c r="Q73" s="256"/>
      <c r="R73" s="256"/>
      <c r="S73" s="256"/>
      <c r="T73" s="257"/>
      <c r="U73" s="182" t="s">
        <v>80</v>
      </c>
      <c r="V73" s="183"/>
      <c r="W73" s="183"/>
      <c r="X73" s="183"/>
      <c r="Y73" s="184"/>
      <c r="Z73" s="182" t="s">
        <v>80</v>
      </c>
      <c r="AA73" s="183"/>
      <c r="AB73" s="184"/>
      <c r="AC73" s="142" t="s">
        <v>96</v>
      </c>
      <c r="AD73" s="182" t="s">
        <v>189</v>
      </c>
      <c r="AE73" s="183"/>
      <c r="AF73" s="183"/>
      <c r="AG73" s="184"/>
      <c r="AH73" s="92"/>
      <c r="AI73" s="92"/>
      <c r="AJ73" s="92"/>
      <c r="AK73" s="92"/>
      <c r="AL73" s="185" t="s">
        <v>290</v>
      </c>
      <c r="AM73" s="250" t="s">
        <v>198</v>
      </c>
      <c r="AN73" s="250" t="s">
        <v>198</v>
      </c>
      <c r="AO73" s="250" t="s">
        <v>198</v>
      </c>
      <c r="AP73" s="254" t="s">
        <v>198</v>
      </c>
      <c r="AQ73" s="92"/>
      <c r="AR73" s="92"/>
    </row>
    <row r="74" spans="3:52" s="64" customFormat="1" ht="22.5" customHeight="1">
      <c r="D74" s="158">
        <v>23</v>
      </c>
      <c r="E74" s="182" t="s">
        <v>293</v>
      </c>
      <c r="F74" s="183"/>
      <c r="G74" s="183"/>
      <c r="H74" s="184"/>
      <c r="I74" s="260" t="s">
        <v>310</v>
      </c>
      <c r="J74" s="260"/>
      <c r="K74" s="260"/>
      <c r="L74" s="260"/>
      <c r="M74" s="255" t="s">
        <v>80</v>
      </c>
      <c r="N74" s="256"/>
      <c r="O74" s="256"/>
      <c r="P74" s="256"/>
      <c r="Q74" s="256"/>
      <c r="R74" s="256"/>
      <c r="S74" s="256"/>
      <c r="T74" s="257"/>
      <c r="U74" s="182" t="s">
        <v>80</v>
      </c>
      <c r="V74" s="183"/>
      <c r="W74" s="183"/>
      <c r="X74" s="183"/>
      <c r="Y74" s="184"/>
      <c r="Z74" s="182" t="s">
        <v>80</v>
      </c>
      <c r="AA74" s="183"/>
      <c r="AB74" s="184"/>
      <c r="AC74" s="142" t="s">
        <v>96</v>
      </c>
      <c r="AD74" s="182" t="s">
        <v>189</v>
      </c>
      <c r="AE74" s="183"/>
      <c r="AF74" s="183"/>
      <c r="AG74" s="184"/>
      <c r="AL74" s="185" t="s">
        <v>291</v>
      </c>
      <c r="AM74" s="250" t="s">
        <v>199</v>
      </c>
      <c r="AN74" s="250" t="s">
        <v>199</v>
      </c>
      <c r="AO74" s="250" t="s">
        <v>199</v>
      </c>
      <c r="AP74" s="254" t="s">
        <v>199</v>
      </c>
    </row>
    <row r="75" spans="3:52" ht="28.5" customHeight="1">
      <c r="D75" s="158">
        <v>24</v>
      </c>
      <c r="E75" s="185" t="s">
        <v>90</v>
      </c>
      <c r="F75" s="186"/>
      <c r="G75" s="186"/>
      <c r="H75" s="187"/>
      <c r="I75" s="260" t="s">
        <v>310</v>
      </c>
      <c r="J75" s="260"/>
      <c r="K75" s="260"/>
      <c r="L75" s="260"/>
      <c r="M75" s="255" t="s">
        <v>80</v>
      </c>
      <c r="N75" s="256"/>
      <c r="O75" s="256"/>
      <c r="P75" s="256"/>
      <c r="Q75" s="256"/>
      <c r="R75" s="256"/>
      <c r="S75" s="256"/>
      <c r="T75" s="257"/>
      <c r="U75" s="266" t="s">
        <v>80</v>
      </c>
      <c r="V75" s="266"/>
      <c r="W75" s="266"/>
      <c r="X75" s="266"/>
      <c r="Y75" s="266"/>
      <c r="Z75" s="182" t="s">
        <v>80</v>
      </c>
      <c r="AA75" s="183"/>
      <c r="AB75" s="184"/>
      <c r="AC75" s="142" t="s">
        <v>93</v>
      </c>
      <c r="AD75" s="182" t="s">
        <v>90</v>
      </c>
      <c r="AE75" s="183"/>
      <c r="AF75" s="183"/>
      <c r="AG75" s="184"/>
      <c r="AL75" s="370" t="s">
        <v>203</v>
      </c>
      <c r="AM75" s="250" t="s">
        <v>203</v>
      </c>
      <c r="AN75" s="250" t="s">
        <v>203</v>
      </c>
      <c r="AO75" s="250" t="s">
        <v>203</v>
      </c>
      <c r="AP75" s="254" t="s">
        <v>203</v>
      </c>
    </row>
    <row r="76" spans="3:52" s="63" customFormat="1">
      <c r="AJ76" s="92"/>
      <c r="AK76" s="92"/>
      <c r="AL76" s="92"/>
      <c r="AM76" s="92"/>
      <c r="AN76" s="92"/>
      <c r="AO76" s="92"/>
      <c r="AP76" s="92"/>
      <c r="AQ76" s="92"/>
      <c r="AR76" s="92"/>
      <c r="AS76" s="92"/>
      <c r="AT76" s="92"/>
      <c r="AU76" s="92"/>
      <c r="AV76" s="92"/>
      <c r="AW76" s="92"/>
      <c r="AX76" s="92"/>
      <c r="AY76" s="92"/>
      <c r="AZ76" s="92"/>
    </row>
    <row r="77" spans="3:52">
      <c r="D77" s="64"/>
      <c r="E77" s="96"/>
      <c r="F77" s="96"/>
      <c r="G77" s="96"/>
      <c r="H77" s="96"/>
      <c r="I77" s="96"/>
      <c r="J77" s="96"/>
      <c r="K77" s="96"/>
      <c r="L77" s="96"/>
      <c r="M77" s="96"/>
      <c r="N77" s="96"/>
      <c r="O77" s="96"/>
      <c r="P77" s="96"/>
      <c r="Q77" s="96"/>
      <c r="R77" s="96"/>
      <c r="S77" s="96"/>
      <c r="T77" s="96"/>
      <c r="U77" s="96"/>
      <c r="V77" s="96"/>
      <c r="W77" s="96"/>
      <c r="X77" s="100"/>
      <c r="Y77" s="100"/>
      <c r="Z77" s="100"/>
      <c r="AA77" s="100"/>
      <c r="AB77" s="96"/>
      <c r="AC77" s="96"/>
      <c r="AD77" s="96"/>
      <c r="AE77" s="96"/>
      <c r="AF77" s="96"/>
      <c r="AG77" s="96"/>
      <c r="AH77" s="96"/>
      <c r="AI77" s="96"/>
      <c r="AJ77" s="96"/>
    </row>
    <row r="78" spans="3:52">
      <c r="C78" s="16" t="s">
        <v>113</v>
      </c>
      <c r="D78" s="64"/>
      <c r="E78" s="96"/>
      <c r="F78" s="126"/>
      <c r="G78" s="96"/>
      <c r="H78" s="96"/>
      <c r="I78" s="96"/>
      <c r="J78" s="96"/>
      <c r="K78" s="96"/>
      <c r="L78" s="96"/>
      <c r="M78" s="96"/>
      <c r="N78" s="96"/>
      <c r="O78" s="96"/>
      <c r="P78" s="96"/>
      <c r="Q78" s="96"/>
      <c r="R78" s="96"/>
      <c r="S78" s="96"/>
      <c r="T78" s="96"/>
      <c r="U78" s="96"/>
      <c r="V78" s="96"/>
      <c r="W78" s="96"/>
      <c r="X78" s="100"/>
      <c r="Y78" s="100"/>
      <c r="Z78" s="100"/>
      <c r="AA78" s="100"/>
      <c r="AB78" s="96"/>
      <c r="AC78" s="96"/>
      <c r="AD78" s="96"/>
      <c r="AE78" s="96"/>
      <c r="AF78" s="96"/>
      <c r="AG78" s="96"/>
      <c r="AH78" s="96"/>
      <c r="AI78" s="96"/>
      <c r="AJ78" s="96"/>
    </row>
    <row r="79" spans="3:52" ht="11.25" customHeight="1">
      <c r="AI79" s="96"/>
      <c r="AJ79" s="96"/>
    </row>
    <row r="80" spans="3:52">
      <c r="D80" s="318" t="s">
        <v>154</v>
      </c>
      <c r="E80" s="284" t="s">
        <v>49</v>
      </c>
      <c r="F80" s="285"/>
      <c r="G80" s="285"/>
      <c r="H80" s="285"/>
      <c r="I80" s="285"/>
      <c r="J80" s="286"/>
      <c r="K80" s="284" t="s">
        <v>50</v>
      </c>
      <c r="L80" s="285"/>
      <c r="M80" s="285"/>
      <c r="N80" s="286"/>
      <c r="O80" s="282" t="s">
        <v>51</v>
      </c>
      <c r="P80" s="108" t="s">
        <v>58</v>
      </c>
      <c r="Q80" s="109"/>
      <c r="R80" s="109"/>
      <c r="S80" s="109"/>
      <c r="T80" s="109"/>
      <c r="U80" s="109"/>
      <c r="V80" s="284" t="s">
        <v>30</v>
      </c>
      <c r="W80" s="285"/>
      <c r="X80" s="285"/>
      <c r="Y80" s="285"/>
      <c r="Z80" s="285"/>
      <c r="AA80" s="285"/>
      <c r="AB80" s="285"/>
      <c r="AC80" s="285"/>
      <c r="AD80" s="285"/>
      <c r="AE80" s="285"/>
      <c r="AF80" s="285"/>
      <c r="AG80" s="285"/>
      <c r="AH80" s="286"/>
    </row>
    <row r="81" spans="3:58">
      <c r="D81" s="319"/>
      <c r="E81" s="287"/>
      <c r="F81" s="288"/>
      <c r="G81" s="288"/>
      <c r="H81" s="288"/>
      <c r="I81" s="288"/>
      <c r="J81" s="289"/>
      <c r="K81" s="287"/>
      <c r="L81" s="288"/>
      <c r="M81" s="288"/>
      <c r="N81" s="289"/>
      <c r="O81" s="283"/>
      <c r="P81" s="110" t="s">
        <v>52</v>
      </c>
      <c r="Q81" s="110" t="s">
        <v>53</v>
      </c>
      <c r="R81" s="110" t="s">
        <v>54</v>
      </c>
      <c r="S81" s="110" t="s">
        <v>55</v>
      </c>
      <c r="T81" s="290" t="s">
        <v>59</v>
      </c>
      <c r="U81" s="291"/>
      <c r="V81" s="287"/>
      <c r="W81" s="288"/>
      <c r="X81" s="288"/>
      <c r="Y81" s="288"/>
      <c r="Z81" s="288"/>
      <c r="AA81" s="288"/>
      <c r="AB81" s="288"/>
      <c r="AC81" s="288"/>
      <c r="AD81" s="288"/>
      <c r="AE81" s="288"/>
      <c r="AF81" s="288"/>
      <c r="AG81" s="288"/>
      <c r="AH81" s="289"/>
    </row>
    <row r="82" spans="3:58" ht="11.25" customHeight="1">
      <c r="D82" s="111">
        <v>1</v>
      </c>
      <c r="E82" s="295" t="s">
        <v>205</v>
      </c>
      <c r="F82" s="296"/>
      <c r="G82" s="296"/>
      <c r="H82" s="296"/>
      <c r="I82" s="296"/>
      <c r="J82" s="297"/>
      <c r="K82" s="323" t="s">
        <v>98</v>
      </c>
      <c r="L82" s="258"/>
      <c r="M82" s="258"/>
      <c r="N82" s="259"/>
      <c r="O82" s="131" t="s">
        <v>120</v>
      </c>
      <c r="P82" s="112" t="s">
        <v>96</v>
      </c>
      <c r="Q82" s="112" t="s">
        <v>93</v>
      </c>
      <c r="R82" s="112" t="s">
        <v>93</v>
      </c>
      <c r="S82" s="112" t="s">
        <v>93</v>
      </c>
      <c r="T82" s="368" t="s">
        <v>93</v>
      </c>
      <c r="U82" s="369"/>
      <c r="V82" s="323" t="s">
        <v>80</v>
      </c>
      <c r="W82" s="258"/>
      <c r="X82" s="258"/>
      <c r="Y82" s="258"/>
      <c r="Z82" s="258"/>
      <c r="AA82" s="258"/>
      <c r="AB82" s="258"/>
      <c r="AC82" s="258"/>
      <c r="AD82" s="258"/>
      <c r="AE82" s="258"/>
      <c r="AF82" s="258"/>
      <c r="AG82" s="258"/>
      <c r="AH82" s="259"/>
    </row>
    <row r="83" spans="3:58">
      <c r="D83" s="111">
        <v>2</v>
      </c>
      <c r="E83" s="295" t="s">
        <v>209</v>
      </c>
      <c r="F83" s="296"/>
      <c r="G83" s="296"/>
      <c r="H83" s="296"/>
      <c r="I83" s="296"/>
      <c r="J83" s="297"/>
      <c r="K83" s="323" t="s">
        <v>98</v>
      </c>
      <c r="L83" s="258"/>
      <c r="M83" s="258"/>
      <c r="N83" s="259"/>
      <c r="O83" s="105" t="s">
        <v>99</v>
      </c>
      <c r="P83" s="112" t="s">
        <v>93</v>
      </c>
      <c r="Q83" s="112" t="s">
        <v>96</v>
      </c>
      <c r="R83" s="112" t="s">
        <v>93</v>
      </c>
      <c r="S83" s="112" t="s">
        <v>93</v>
      </c>
      <c r="T83" s="368" t="s">
        <v>93</v>
      </c>
      <c r="U83" s="369"/>
      <c r="V83" s="323" t="s">
        <v>80</v>
      </c>
      <c r="W83" s="258"/>
      <c r="X83" s="258"/>
      <c r="Y83" s="258"/>
      <c r="Z83" s="258"/>
      <c r="AA83" s="258"/>
      <c r="AB83" s="258"/>
      <c r="AC83" s="258"/>
      <c r="AD83" s="258"/>
      <c r="AE83" s="258"/>
      <c r="AF83" s="258"/>
      <c r="AG83" s="258"/>
      <c r="AH83" s="259"/>
    </row>
    <row r="84" spans="3:58">
      <c r="D84" s="101"/>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row>
    <row r="85" spans="3:58">
      <c r="D85" s="64"/>
      <c r="E85" s="96"/>
      <c r="F85" s="96"/>
      <c r="G85" s="96"/>
      <c r="H85" s="96"/>
      <c r="I85" s="96"/>
      <c r="J85" s="96"/>
      <c r="K85" s="96"/>
      <c r="L85" s="96"/>
      <c r="M85" s="96"/>
      <c r="N85" s="96"/>
      <c r="O85" s="96"/>
      <c r="P85" s="96"/>
      <c r="Q85" s="96"/>
      <c r="R85" s="96"/>
      <c r="S85" s="96"/>
      <c r="T85" s="96"/>
      <c r="U85" s="96"/>
      <c r="V85" s="96"/>
      <c r="W85" s="96"/>
      <c r="X85" s="100"/>
      <c r="Y85" s="100"/>
      <c r="Z85" s="100"/>
      <c r="AA85" s="100"/>
      <c r="AB85" s="96"/>
      <c r="AC85" s="96"/>
      <c r="AD85" s="96"/>
      <c r="AE85" s="96"/>
      <c r="AF85" s="96"/>
      <c r="AG85" s="96"/>
      <c r="AH85" s="96"/>
      <c r="AI85" s="96"/>
      <c r="AJ85" s="96"/>
    </row>
    <row r="86" spans="3:58">
      <c r="C86" t="s">
        <v>114</v>
      </c>
      <c r="G86"/>
    </row>
    <row r="88" spans="3:58" ht="11.25" customHeight="1">
      <c r="C88" s="75"/>
      <c r="D88" s="113" t="s">
        <v>11</v>
      </c>
      <c r="E88" s="261" t="s">
        <v>72</v>
      </c>
      <c r="F88" s="262"/>
      <c r="G88" s="262"/>
      <c r="H88" s="262"/>
      <c r="I88" s="262"/>
      <c r="J88" s="263"/>
      <c r="K88" s="261" t="s">
        <v>38</v>
      </c>
      <c r="L88" s="262"/>
      <c r="M88" s="262"/>
      <c r="N88" s="262"/>
      <c r="O88" s="262"/>
      <c r="P88" s="262"/>
      <c r="Q88" s="264"/>
      <c r="R88" s="247" t="s">
        <v>73</v>
      </c>
      <c r="S88" s="262"/>
      <c r="T88" s="262"/>
      <c r="U88" s="262"/>
      <c r="V88" s="262"/>
      <c r="W88" s="262"/>
      <c r="X88" s="262"/>
      <c r="Y88" s="264"/>
      <c r="Z88" s="270" t="s">
        <v>26</v>
      </c>
      <c r="AA88" s="271"/>
      <c r="AB88" s="271"/>
      <c r="AC88" s="271"/>
      <c r="AD88" s="272"/>
      <c r="AE88" s="267" t="s">
        <v>170</v>
      </c>
      <c r="AF88" s="268"/>
      <c r="AG88" s="268"/>
      <c r="AH88" s="269"/>
    </row>
    <row r="89" spans="3:58" ht="23.25" customHeight="1">
      <c r="D89" s="106">
        <v>1</v>
      </c>
      <c r="E89" s="182" t="s">
        <v>329</v>
      </c>
      <c r="F89" s="183"/>
      <c r="G89" s="183"/>
      <c r="H89" s="183"/>
      <c r="I89" s="183"/>
      <c r="J89" s="184"/>
      <c r="K89" s="182" t="s">
        <v>330</v>
      </c>
      <c r="L89" s="183"/>
      <c r="M89" s="183"/>
      <c r="N89" s="183"/>
      <c r="O89" s="183"/>
      <c r="P89" s="183"/>
      <c r="Q89" s="184"/>
      <c r="R89" s="182" t="s">
        <v>261</v>
      </c>
      <c r="S89" s="258"/>
      <c r="T89" s="258"/>
      <c r="U89" s="258"/>
      <c r="V89" s="258"/>
      <c r="W89" s="258"/>
      <c r="X89" s="258"/>
      <c r="Y89" s="259"/>
      <c r="Z89" s="182" t="s">
        <v>233</v>
      </c>
      <c r="AA89" s="258"/>
      <c r="AB89" s="258"/>
      <c r="AC89" s="258"/>
      <c r="AD89" s="259"/>
      <c r="AE89" s="387" t="s">
        <v>71</v>
      </c>
      <c r="AF89" s="388"/>
      <c r="AG89" s="388"/>
      <c r="AH89" s="389"/>
    </row>
    <row r="90" spans="3:58" ht="24" customHeight="1">
      <c r="D90" s="106">
        <v>2</v>
      </c>
      <c r="E90" s="323" t="s">
        <v>121</v>
      </c>
      <c r="F90" s="258"/>
      <c r="G90" s="258"/>
      <c r="H90" s="258"/>
      <c r="I90" s="258"/>
      <c r="J90" s="259"/>
      <c r="K90" s="323" t="s">
        <v>122</v>
      </c>
      <c r="L90" s="258"/>
      <c r="M90" s="258"/>
      <c r="N90" s="258"/>
      <c r="O90" s="258"/>
      <c r="P90" s="258"/>
      <c r="Q90" s="259"/>
      <c r="R90" s="182" t="s">
        <v>260</v>
      </c>
      <c r="S90" s="258"/>
      <c r="T90" s="258"/>
      <c r="U90" s="258"/>
      <c r="V90" s="258"/>
      <c r="W90" s="258"/>
      <c r="X90" s="258"/>
      <c r="Y90" s="259"/>
      <c r="Z90" s="182" t="s">
        <v>234</v>
      </c>
      <c r="AA90" s="258"/>
      <c r="AB90" s="258"/>
      <c r="AC90" s="258"/>
      <c r="AD90" s="259"/>
      <c r="AE90" s="387" t="s">
        <v>71</v>
      </c>
      <c r="AF90" s="388"/>
      <c r="AG90" s="388"/>
      <c r="AH90" s="389"/>
    </row>
    <row r="91" spans="3:58">
      <c r="D91" s="95"/>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row>
    <row r="92" spans="3:58">
      <c r="D92" s="95"/>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row>
    <row r="93" spans="3:58">
      <c r="C93" t="s">
        <v>115</v>
      </c>
      <c r="G93"/>
    </row>
    <row r="94" spans="3:58">
      <c r="E94" s="92"/>
      <c r="F94" s="93"/>
      <c r="G94" s="44"/>
      <c r="AJ94" s="77"/>
      <c r="AK94" s="77"/>
      <c r="AL94" s="77"/>
      <c r="AM94" s="77"/>
      <c r="AN94" s="77"/>
      <c r="AO94" s="77"/>
      <c r="AP94" s="77"/>
      <c r="AQ94" s="77"/>
      <c r="AR94" s="77"/>
      <c r="AS94" s="77"/>
      <c r="AT94" s="77"/>
      <c r="AU94" s="77"/>
      <c r="AV94" s="77"/>
      <c r="AW94" s="77"/>
      <c r="AX94" s="77"/>
      <c r="AY94" s="77"/>
      <c r="AZ94" s="77"/>
      <c r="BA94" s="77"/>
      <c r="BB94" s="77"/>
      <c r="BC94" s="77"/>
      <c r="BD94" s="77"/>
      <c r="BE94" s="77"/>
      <c r="BF94" s="77"/>
    </row>
    <row r="95" spans="3:58" customFormat="1">
      <c r="D95" t="s">
        <v>331</v>
      </c>
    </row>
    <row r="96" spans="3:58" customFormat="1">
      <c r="E96" s="26" t="s">
        <v>104</v>
      </c>
      <c r="F96" s="26"/>
    </row>
    <row r="97" spans="5:34" customFormat="1">
      <c r="E97" s="26"/>
      <c r="F97" s="26"/>
    </row>
    <row r="98" spans="5:34" customFormat="1">
      <c r="E98" s="26"/>
      <c r="F98" s="26" t="s">
        <v>339</v>
      </c>
    </row>
    <row r="99" spans="5:34" customFormat="1"/>
    <row r="100" spans="5:34" customFormat="1">
      <c r="E100" s="26"/>
      <c r="F100" t="s">
        <v>307</v>
      </c>
    </row>
    <row r="101" spans="5:34">
      <c r="E101" s="29"/>
      <c r="F101" s="29"/>
      <c r="G101"/>
    </row>
    <row r="104" spans="5:34">
      <c r="E104" t="s">
        <v>165</v>
      </c>
    </row>
    <row r="106" spans="5:34">
      <c r="F106" t="s">
        <v>235</v>
      </c>
    </row>
    <row r="108" spans="5:34">
      <c r="F108" t="s">
        <v>240</v>
      </c>
    </row>
    <row r="109" spans="5:34" ht="12" customHeight="1"/>
    <row r="110" spans="5:34" ht="12" customHeight="1">
      <c r="G110" s="333" t="s">
        <v>123</v>
      </c>
      <c r="H110" s="238" t="s">
        <v>124</v>
      </c>
      <c r="I110" s="239"/>
      <c r="J110" s="239"/>
      <c r="K110" s="239"/>
      <c r="L110" s="239"/>
      <c r="M110" s="240"/>
      <c r="N110" s="279" t="s">
        <v>150</v>
      </c>
      <c r="O110" s="280"/>
      <c r="P110" s="280"/>
      <c r="Q110" s="280"/>
      <c r="R110" s="280"/>
      <c r="S110" s="280"/>
      <c r="T110" s="280"/>
      <c r="U110" s="280"/>
      <c r="V110" s="280"/>
      <c r="W110" s="280"/>
      <c r="X110" s="281"/>
      <c r="Y110" s="238" t="s">
        <v>32</v>
      </c>
      <c r="Z110" s="239"/>
      <c r="AA110" s="239"/>
      <c r="AB110" s="239"/>
      <c r="AC110" s="239"/>
      <c r="AD110" s="240"/>
      <c r="AE110" s="238" t="s">
        <v>30</v>
      </c>
      <c r="AF110" s="239"/>
      <c r="AG110" s="239"/>
      <c r="AH110" s="240"/>
    </row>
    <row r="111" spans="5:34" ht="12" customHeight="1">
      <c r="G111" s="335"/>
      <c r="H111" s="244"/>
      <c r="I111" s="245"/>
      <c r="J111" s="245"/>
      <c r="K111" s="245"/>
      <c r="L111" s="245"/>
      <c r="M111" s="246"/>
      <c r="N111" s="279" t="s">
        <v>151</v>
      </c>
      <c r="O111" s="280"/>
      <c r="P111" s="280"/>
      <c r="Q111" s="280"/>
      <c r="R111" s="281"/>
      <c r="S111" s="276" t="s">
        <v>125</v>
      </c>
      <c r="T111" s="277"/>
      <c r="U111" s="277"/>
      <c r="V111" s="277"/>
      <c r="W111" s="277"/>
      <c r="X111" s="278"/>
      <c r="Y111" s="244"/>
      <c r="Z111" s="245"/>
      <c r="AA111" s="245"/>
      <c r="AB111" s="245"/>
      <c r="AC111" s="245"/>
      <c r="AD111" s="246"/>
      <c r="AE111" s="244"/>
      <c r="AF111" s="245"/>
      <c r="AG111" s="245"/>
      <c r="AH111" s="246"/>
    </row>
    <row r="112" spans="5:34" ht="12" customHeight="1">
      <c r="G112" s="106">
        <v>1</v>
      </c>
      <c r="H112" s="374" t="s">
        <v>256</v>
      </c>
      <c r="I112" s="375"/>
      <c r="J112" s="375"/>
      <c r="K112" s="375"/>
      <c r="L112" s="375"/>
      <c r="M112" s="376"/>
      <c r="N112" s="56" t="s">
        <v>255</v>
      </c>
      <c r="O112" s="133"/>
      <c r="P112" s="133"/>
      <c r="Q112" s="133"/>
      <c r="R112" s="134"/>
      <c r="S112" s="374" t="s">
        <v>256</v>
      </c>
      <c r="T112" s="375"/>
      <c r="U112" s="375"/>
      <c r="V112" s="375"/>
      <c r="W112" s="375"/>
      <c r="X112" s="376"/>
      <c r="Y112" s="323" t="s">
        <v>126</v>
      </c>
      <c r="Z112" s="258"/>
      <c r="AA112" s="258"/>
      <c r="AB112" s="258"/>
      <c r="AC112" s="258"/>
      <c r="AD112" s="259"/>
      <c r="AE112" s="323"/>
      <c r="AF112" s="258"/>
      <c r="AG112" s="258"/>
      <c r="AH112" s="259"/>
    </row>
    <row r="113" spans="5:34" ht="12" customHeight="1">
      <c r="G113" s="106">
        <v>2</v>
      </c>
      <c r="H113" s="374" t="s">
        <v>271</v>
      </c>
      <c r="I113" s="375"/>
      <c r="J113" s="375"/>
      <c r="K113" s="375"/>
      <c r="L113" s="375"/>
      <c r="M113" s="376"/>
      <c r="N113" s="378" t="s">
        <v>236</v>
      </c>
      <c r="O113" s="379"/>
      <c r="P113" s="379"/>
      <c r="Q113" s="379"/>
      <c r="R113" s="380"/>
      <c r="S113" s="374" t="s">
        <v>276</v>
      </c>
      <c r="T113" s="375"/>
      <c r="U113" s="375"/>
      <c r="V113" s="375"/>
      <c r="W113" s="375"/>
      <c r="X113" s="376"/>
      <c r="Y113" s="323" t="s">
        <v>126</v>
      </c>
      <c r="Z113" s="258"/>
      <c r="AA113" s="258"/>
      <c r="AB113" s="258"/>
      <c r="AC113" s="258"/>
      <c r="AD113" s="259"/>
      <c r="AE113" s="323"/>
      <c r="AF113" s="258"/>
      <c r="AG113" s="258"/>
      <c r="AH113" s="259"/>
    </row>
    <row r="114" spans="5:34" ht="12" customHeight="1">
      <c r="G114" s="106">
        <v>3</v>
      </c>
      <c r="H114" s="374" t="s">
        <v>272</v>
      </c>
      <c r="I114" s="375"/>
      <c r="J114" s="375"/>
      <c r="K114" s="375"/>
      <c r="L114" s="375"/>
      <c r="M114" s="376"/>
      <c r="N114" s="381"/>
      <c r="O114" s="382"/>
      <c r="P114" s="382"/>
      <c r="Q114" s="382"/>
      <c r="R114" s="383"/>
      <c r="S114" s="374" t="s">
        <v>277</v>
      </c>
      <c r="T114" s="375"/>
      <c r="U114" s="375"/>
      <c r="V114" s="375"/>
      <c r="W114" s="375"/>
      <c r="X114" s="376"/>
      <c r="Y114" s="323" t="s">
        <v>126</v>
      </c>
      <c r="Z114" s="258"/>
      <c r="AA114" s="258"/>
      <c r="AB114" s="258"/>
      <c r="AC114" s="258"/>
      <c r="AD114" s="259"/>
      <c r="AE114" s="323"/>
      <c r="AF114" s="258"/>
      <c r="AG114" s="258"/>
      <c r="AH114" s="259"/>
    </row>
    <row r="115" spans="5:34" ht="12.75" customHeight="1">
      <c r="G115" s="106">
        <v>4</v>
      </c>
      <c r="H115" s="374" t="s">
        <v>273</v>
      </c>
      <c r="I115" s="375"/>
      <c r="J115" s="375"/>
      <c r="K115" s="375"/>
      <c r="L115" s="375"/>
      <c r="M115" s="376"/>
      <c r="N115" s="381"/>
      <c r="O115" s="382"/>
      <c r="P115" s="382"/>
      <c r="Q115" s="382"/>
      <c r="R115" s="383"/>
      <c r="S115" s="374" t="s">
        <v>278</v>
      </c>
      <c r="T115" s="375"/>
      <c r="U115" s="375"/>
      <c r="V115" s="375"/>
      <c r="W115" s="375"/>
      <c r="X115" s="376"/>
      <c r="Y115" s="323" t="s">
        <v>126</v>
      </c>
      <c r="Z115" s="258"/>
      <c r="AA115" s="258"/>
      <c r="AB115" s="258"/>
      <c r="AC115" s="258"/>
      <c r="AD115" s="259"/>
      <c r="AE115" s="323"/>
      <c r="AF115" s="258"/>
      <c r="AG115" s="258"/>
      <c r="AH115" s="259"/>
    </row>
    <row r="116" spans="5:34" ht="12" customHeight="1">
      <c r="G116" s="106">
        <v>5</v>
      </c>
      <c r="H116" s="377" t="s">
        <v>186</v>
      </c>
      <c r="I116" s="375"/>
      <c r="J116" s="375"/>
      <c r="K116" s="375"/>
      <c r="L116" s="375"/>
      <c r="M116" s="376"/>
      <c r="N116" s="381"/>
      <c r="O116" s="382"/>
      <c r="P116" s="382"/>
      <c r="Q116" s="382"/>
      <c r="R116" s="383"/>
      <c r="S116" s="374" t="s">
        <v>292</v>
      </c>
      <c r="T116" s="375"/>
      <c r="U116" s="375"/>
      <c r="V116" s="375"/>
      <c r="W116" s="375"/>
      <c r="X116" s="376"/>
      <c r="Y116" s="323" t="s">
        <v>126</v>
      </c>
      <c r="Z116" s="258"/>
      <c r="AA116" s="258"/>
      <c r="AB116" s="258"/>
      <c r="AC116" s="258"/>
      <c r="AD116" s="259"/>
      <c r="AE116" s="323"/>
      <c r="AF116" s="258"/>
      <c r="AG116" s="258"/>
      <c r="AH116" s="259"/>
    </row>
    <row r="117" spans="5:34" ht="12" customHeight="1">
      <c r="G117" s="106">
        <v>6</v>
      </c>
      <c r="H117" s="377" t="s">
        <v>187</v>
      </c>
      <c r="I117" s="375"/>
      <c r="J117" s="375"/>
      <c r="K117" s="375"/>
      <c r="L117" s="375"/>
      <c r="M117" s="376"/>
      <c r="N117" s="381"/>
      <c r="O117" s="382"/>
      <c r="P117" s="382"/>
      <c r="Q117" s="382"/>
      <c r="R117" s="383"/>
      <c r="S117" s="374" t="s">
        <v>294</v>
      </c>
      <c r="T117" s="375"/>
      <c r="U117" s="375"/>
      <c r="V117" s="375"/>
      <c r="W117" s="375"/>
      <c r="X117" s="376"/>
      <c r="Y117" s="323" t="s">
        <v>126</v>
      </c>
      <c r="Z117" s="258"/>
      <c r="AA117" s="258"/>
      <c r="AB117" s="258"/>
      <c r="AC117" s="258"/>
      <c r="AD117" s="259"/>
      <c r="AE117" s="323"/>
      <c r="AF117" s="258"/>
      <c r="AG117" s="258"/>
      <c r="AH117" s="259"/>
    </row>
    <row r="118" spans="5:34" ht="12" customHeight="1">
      <c r="G118" s="106">
        <v>7</v>
      </c>
      <c r="H118" s="374" t="s">
        <v>295</v>
      </c>
      <c r="I118" s="375"/>
      <c r="J118" s="375"/>
      <c r="K118" s="375"/>
      <c r="L118" s="375"/>
      <c r="M118" s="376"/>
      <c r="N118" s="381"/>
      <c r="O118" s="382"/>
      <c r="P118" s="382"/>
      <c r="Q118" s="382"/>
      <c r="R118" s="383"/>
      <c r="S118" s="377" t="s">
        <v>207</v>
      </c>
      <c r="T118" s="375"/>
      <c r="U118" s="375"/>
      <c r="V118" s="375"/>
      <c r="W118" s="375"/>
      <c r="X118" s="376"/>
      <c r="Y118" s="323" t="s">
        <v>126</v>
      </c>
      <c r="Z118" s="258"/>
      <c r="AA118" s="258"/>
      <c r="AB118" s="258"/>
      <c r="AC118" s="258"/>
      <c r="AD118" s="259"/>
      <c r="AE118" s="323"/>
      <c r="AF118" s="258"/>
      <c r="AG118" s="258"/>
      <c r="AH118" s="259"/>
    </row>
    <row r="119" spans="5:34" ht="12" customHeight="1">
      <c r="G119" s="106">
        <v>8</v>
      </c>
      <c r="H119" s="374" t="s">
        <v>296</v>
      </c>
      <c r="I119" s="375"/>
      <c r="J119" s="375"/>
      <c r="K119" s="375"/>
      <c r="L119" s="375"/>
      <c r="M119" s="376"/>
      <c r="N119" s="381"/>
      <c r="O119" s="382"/>
      <c r="P119" s="382"/>
      <c r="Q119" s="382"/>
      <c r="R119" s="383"/>
      <c r="S119" s="377" t="s">
        <v>192</v>
      </c>
      <c r="T119" s="375"/>
      <c r="U119" s="375"/>
      <c r="V119" s="375"/>
      <c r="W119" s="375"/>
      <c r="X119" s="376"/>
      <c r="Y119" s="323" t="s">
        <v>126</v>
      </c>
      <c r="Z119" s="258"/>
      <c r="AA119" s="258"/>
      <c r="AB119" s="258"/>
      <c r="AC119" s="258"/>
      <c r="AD119" s="259"/>
      <c r="AE119" s="323"/>
      <c r="AF119" s="258"/>
      <c r="AG119" s="258"/>
      <c r="AH119" s="259"/>
    </row>
    <row r="120" spans="5:34" ht="39.950000000000003" customHeight="1">
      <c r="G120" s="106">
        <v>9</v>
      </c>
      <c r="H120" s="374" t="s">
        <v>274</v>
      </c>
      <c r="I120" s="375"/>
      <c r="J120" s="375"/>
      <c r="K120" s="375"/>
      <c r="L120" s="375"/>
      <c r="M120" s="376"/>
      <c r="N120" s="381"/>
      <c r="O120" s="382"/>
      <c r="P120" s="382"/>
      <c r="Q120" s="382"/>
      <c r="R120" s="383"/>
      <c r="S120" s="374" t="s">
        <v>279</v>
      </c>
      <c r="T120" s="375"/>
      <c r="U120" s="375"/>
      <c r="V120" s="375"/>
      <c r="W120" s="375"/>
      <c r="X120" s="376"/>
      <c r="Y120" s="323" t="s">
        <v>102</v>
      </c>
      <c r="Z120" s="258"/>
      <c r="AA120" s="258"/>
      <c r="AB120" s="258"/>
      <c r="AC120" s="258"/>
      <c r="AD120" s="259"/>
      <c r="AE120" s="323"/>
      <c r="AF120" s="258"/>
      <c r="AG120" s="258"/>
      <c r="AH120" s="259"/>
    </row>
    <row r="121" spans="5:34" ht="12" customHeight="1">
      <c r="G121" s="106">
        <v>10</v>
      </c>
      <c r="H121" s="374" t="s">
        <v>275</v>
      </c>
      <c r="I121" s="375"/>
      <c r="J121" s="375"/>
      <c r="K121" s="375"/>
      <c r="L121" s="375"/>
      <c r="M121" s="376"/>
      <c r="N121" s="381"/>
      <c r="O121" s="382"/>
      <c r="P121" s="382"/>
      <c r="Q121" s="382"/>
      <c r="R121" s="383"/>
      <c r="S121" s="374" t="s">
        <v>280</v>
      </c>
      <c r="T121" s="375"/>
      <c r="U121" s="375"/>
      <c r="V121" s="375"/>
      <c r="W121" s="375"/>
      <c r="X121" s="376"/>
      <c r="Y121" s="323" t="s">
        <v>126</v>
      </c>
      <c r="Z121" s="258"/>
      <c r="AA121" s="258"/>
      <c r="AB121" s="258"/>
      <c r="AC121" s="258"/>
      <c r="AD121" s="259"/>
      <c r="AE121" s="323"/>
      <c r="AF121" s="258"/>
      <c r="AG121" s="258"/>
      <c r="AH121" s="259"/>
    </row>
    <row r="122" spans="5:34" ht="12" customHeight="1">
      <c r="G122" s="106">
        <v>11</v>
      </c>
      <c r="H122" s="377" t="s">
        <v>90</v>
      </c>
      <c r="I122" s="375"/>
      <c r="J122" s="375"/>
      <c r="K122" s="375"/>
      <c r="L122" s="375"/>
      <c r="M122" s="376"/>
      <c r="N122" s="381"/>
      <c r="O122" s="382"/>
      <c r="P122" s="382"/>
      <c r="Q122" s="382"/>
      <c r="R122" s="383"/>
      <c r="S122" s="377" t="s">
        <v>90</v>
      </c>
      <c r="T122" s="375"/>
      <c r="U122" s="375"/>
      <c r="V122" s="375"/>
      <c r="W122" s="375"/>
      <c r="X122" s="376"/>
      <c r="Y122" s="323" t="s">
        <v>126</v>
      </c>
      <c r="Z122" s="258"/>
      <c r="AA122" s="258"/>
      <c r="AB122" s="258"/>
      <c r="AC122" s="258"/>
      <c r="AD122" s="259"/>
      <c r="AE122" s="323"/>
      <c r="AF122" s="258"/>
      <c r="AG122" s="258"/>
      <c r="AH122" s="259"/>
    </row>
    <row r="123" spans="5:34" ht="12" customHeight="1">
      <c r="G123" s="106">
        <v>12</v>
      </c>
      <c r="H123" s="377" t="s">
        <v>188</v>
      </c>
      <c r="I123" s="375"/>
      <c r="J123" s="375"/>
      <c r="K123" s="375"/>
      <c r="L123" s="375"/>
      <c r="M123" s="376"/>
      <c r="N123" s="384"/>
      <c r="O123" s="385"/>
      <c r="P123" s="385"/>
      <c r="Q123" s="385"/>
      <c r="R123" s="386"/>
      <c r="S123" s="377" t="s">
        <v>188</v>
      </c>
      <c r="T123" s="375"/>
      <c r="U123" s="375"/>
      <c r="V123" s="375"/>
      <c r="W123" s="375"/>
      <c r="X123" s="376"/>
      <c r="Y123" s="323" t="s">
        <v>126</v>
      </c>
      <c r="Z123" s="258"/>
      <c r="AA123" s="258"/>
      <c r="AB123" s="258"/>
      <c r="AC123" s="258"/>
      <c r="AD123" s="259"/>
      <c r="AE123" s="323"/>
      <c r="AF123" s="258"/>
      <c r="AG123" s="258"/>
      <c r="AH123" s="259"/>
    </row>
    <row r="124" spans="5:34" ht="12" customHeight="1">
      <c r="G124" s="106">
        <v>13</v>
      </c>
      <c r="H124" s="374" t="s">
        <v>237</v>
      </c>
      <c r="I124" s="375"/>
      <c r="J124" s="375"/>
      <c r="K124" s="375"/>
      <c r="L124" s="375"/>
      <c r="M124" s="376"/>
      <c r="N124" s="135" t="s">
        <v>194</v>
      </c>
      <c r="O124" s="127"/>
      <c r="P124" s="127"/>
      <c r="Q124" s="127"/>
      <c r="R124" s="128"/>
      <c r="S124" s="374" t="s">
        <v>238</v>
      </c>
      <c r="T124" s="375"/>
      <c r="U124" s="375"/>
      <c r="V124" s="375"/>
      <c r="W124" s="375"/>
      <c r="X124" s="376"/>
      <c r="Y124" s="182" t="s">
        <v>239</v>
      </c>
      <c r="Z124" s="258"/>
      <c r="AA124" s="258"/>
      <c r="AB124" s="258"/>
      <c r="AC124" s="258"/>
      <c r="AD124" s="259"/>
      <c r="AE124" s="323"/>
      <c r="AF124" s="258"/>
      <c r="AG124" s="258"/>
      <c r="AH124" s="259"/>
    </row>
    <row r="125" spans="5:34" ht="12" customHeight="1"/>
    <row r="127" spans="5:34">
      <c r="E127" s="16" t="s">
        <v>127</v>
      </c>
    </row>
    <row r="129" spans="4:6">
      <c r="F129" t="s">
        <v>265</v>
      </c>
    </row>
    <row r="132" spans="4:6">
      <c r="D132" t="s">
        <v>128</v>
      </c>
    </row>
    <row r="134" spans="4:6">
      <c r="E134" s="16" t="s">
        <v>129</v>
      </c>
    </row>
    <row r="136" spans="4:6">
      <c r="F136" t="s">
        <v>264</v>
      </c>
    </row>
  </sheetData>
  <mergeCells count="294">
    <mergeCell ref="AE114:AH114"/>
    <mergeCell ref="H115:M115"/>
    <mergeCell ref="S115:X115"/>
    <mergeCell ref="Y115:AD115"/>
    <mergeCell ref="E83:J83"/>
    <mergeCell ref="K83:N83"/>
    <mergeCell ref="T83:U83"/>
    <mergeCell ref="V83:AH83"/>
    <mergeCell ref="N110:X110"/>
    <mergeCell ref="H112:M112"/>
    <mergeCell ref="S112:X112"/>
    <mergeCell ref="Y112:AD112"/>
    <mergeCell ref="AE112:AH112"/>
    <mergeCell ref="G110:G111"/>
    <mergeCell ref="H110:M111"/>
    <mergeCell ref="S111:X111"/>
    <mergeCell ref="Y110:AD111"/>
    <mergeCell ref="AE110:AH111"/>
    <mergeCell ref="N111:R111"/>
    <mergeCell ref="E88:J88"/>
    <mergeCell ref="K88:Q88"/>
    <mergeCell ref="R88:Y88"/>
    <mergeCell ref="Z88:AD88"/>
    <mergeCell ref="AE89:AH89"/>
    <mergeCell ref="AG1:AI1"/>
    <mergeCell ref="E82:J82"/>
    <mergeCell ref="K82:N82"/>
    <mergeCell ref="T82:U82"/>
    <mergeCell ref="V82:AH82"/>
    <mergeCell ref="Q43:U43"/>
    <mergeCell ref="V43:AC43"/>
    <mergeCell ref="E59:H59"/>
    <mergeCell ref="I59:L59"/>
    <mergeCell ref="M59:T59"/>
    <mergeCell ref="U59:Y59"/>
    <mergeCell ref="Z59:AB59"/>
    <mergeCell ref="AD59:AG59"/>
    <mergeCell ref="E54:H54"/>
    <mergeCell ref="I54:L54"/>
    <mergeCell ref="M54:T54"/>
    <mergeCell ref="U54:Y54"/>
    <mergeCell ref="Z54:AB54"/>
    <mergeCell ref="AD54:AG54"/>
    <mergeCell ref="AD55:AG55"/>
    <mergeCell ref="Z53:AB53"/>
    <mergeCell ref="AD53:AG53"/>
    <mergeCell ref="E53:H53"/>
    <mergeCell ref="I53:L53"/>
    <mergeCell ref="A1:D1"/>
    <mergeCell ref="E1:N1"/>
    <mergeCell ref="O1:R3"/>
    <mergeCell ref="S1:Z3"/>
    <mergeCell ref="AA1:AB1"/>
    <mergeCell ref="AC1:AF1"/>
    <mergeCell ref="A3:D3"/>
    <mergeCell ref="E3:N3"/>
    <mergeCell ref="AA3:AB3"/>
    <mergeCell ref="AC3:AF3"/>
    <mergeCell ref="D80:D81"/>
    <mergeCell ref="E80:J81"/>
    <mergeCell ref="K80:N81"/>
    <mergeCell ref="O80:O81"/>
    <mergeCell ref="V80:AH81"/>
    <mergeCell ref="T81:U81"/>
    <mergeCell ref="A2:D2"/>
    <mergeCell ref="E2:N2"/>
    <mergeCell ref="AA2:AB2"/>
    <mergeCell ref="E60:H60"/>
    <mergeCell ref="I60:L60"/>
    <mergeCell ref="M60:T60"/>
    <mergeCell ref="U60:Y60"/>
    <mergeCell ref="Z60:AB60"/>
    <mergeCell ref="AD60:AG60"/>
    <mergeCell ref="AC2:AF2"/>
    <mergeCell ref="AG2:AI2"/>
    <mergeCell ref="AG3:AI3"/>
    <mergeCell ref="E42:M42"/>
    <mergeCell ref="N42:P42"/>
    <mergeCell ref="Q42:U42"/>
    <mergeCell ref="V42:AC42"/>
    <mergeCell ref="E43:M43"/>
    <mergeCell ref="N43:P43"/>
    <mergeCell ref="E90:J90"/>
    <mergeCell ref="K90:Q90"/>
    <mergeCell ref="R90:Y90"/>
    <mergeCell ref="Z90:AD90"/>
    <mergeCell ref="AE90:AH90"/>
    <mergeCell ref="AE88:AH88"/>
    <mergeCell ref="E89:J89"/>
    <mergeCell ref="K89:Q89"/>
    <mergeCell ref="R89:Y89"/>
    <mergeCell ref="Z89:AD89"/>
    <mergeCell ref="H124:M124"/>
    <mergeCell ref="S124:X124"/>
    <mergeCell ref="Y124:AD124"/>
    <mergeCell ref="AE124:AH124"/>
    <mergeCell ref="N113:R123"/>
    <mergeCell ref="H119:M119"/>
    <mergeCell ref="S119:X119"/>
    <mergeCell ref="Y119:AD119"/>
    <mergeCell ref="AE119:AH119"/>
    <mergeCell ref="H113:M113"/>
    <mergeCell ref="S113:X113"/>
    <mergeCell ref="Y113:AD113"/>
    <mergeCell ref="H123:M123"/>
    <mergeCell ref="S123:X123"/>
    <mergeCell ref="Y123:AD123"/>
    <mergeCell ref="AE123:AH123"/>
    <mergeCell ref="AE113:AH113"/>
    <mergeCell ref="H114:M114"/>
    <mergeCell ref="S114:X114"/>
    <mergeCell ref="Y114:AD114"/>
    <mergeCell ref="H122:M122"/>
    <mergeCell ref="S122:X122"/>
    <mergeCell ref="Y122:AD122"/>
    <mergeCell ref="AE122:AH122"/>
    <mergeCell ref="H121:M121"/>
    <mergeCell ref="S121:X121"/>
    <mergeCell ref="Y121:AD121"/>
    <mergeCell ref="AE121:AH121"/>
    <mergeCell ref="S120:X120"/>
    <mergeCell ref="Y120:AD120"/>
    <mergeCell ref="AE120:AH120"/>
    <mergeCell ref="H120:M120"/>
    <mergeCell ref="AE115:AH115"/>
    <mergeCell ref="H116:M116"/>
    <mergeCell ref="S116:X116"/>
    <mergeCell ref="Y116:AD116"/>
    <mergeCell ref="S118:X118"/>
    <mergeCell ref="H118:M118"/>
    <mergeCell ref="Y118:AD118"/>
    <mergeCell ref="AE118:AH118"/>
    <mergeCell ref="AE116:AH116"/>
    <mergeCell ref="H117:M117"/>
    <mergeCell ref="S117:X117"/>
    <mergeCell ref="Y117:AD117"/>
    <mergeCell ref="AE117:AH117"/>
    <mergeCell ref="AL50:AP50"/>
    <mergeCell ref="D51:AG51"/>
    <mergeCell ref="E52:H52"/>
    <mergeCell ref="I52:L52"/>
    <mergeCell ref="M52:T52"/>
    <mergeCell ref="U52:Y52"/>
    <mergeCell ref="Z52:AB52"/>
    <mergeCell ref="AD52:AG52"/>
    <mergeCell ref="D48:D50"/>
    <mergeCell ref="E48:AC48"/>
    <mergeCell ref="AD48:AG50"/>
    <mergeCell ref="E49:H50"/>
    <mergeCell ref="I49:L50"/>
    <mergeCell ref="M49:T50"/>
    <mergeCell ref="U49:Y50"/>
    <mergeCell ref="Z49:AB50"/>
    <mergeCell ref="AC49:AC50"/>
    <mergeCell ref="AL52:AP52"/>
    <mergeCell ref="AL51:AP51"/>
    <mergeCell ref="M53:T53"/>
    <mergeCell ref="U53:Y53"/>
    <mergeCell ref="E55:H55"/>
    <mergeCell ref="I55:L55"/>
    <mergeCell ref="M55:T55"/>
    <mergeCell ref="U55:Y55"/>
    <mergeCell ref="Z55:AB55"/>
    <mergeCell ref="AD57:AG57"/>
    <mergeCell ref="E58:H58"/>
    <mergeCell ref="I58:L58"/>
    <mergeCell ref="M58:T58"/>
    <mergeCell ref="U58:Y58"/>
    <mergeCell ref="Z58:AB58"/>
    <mergeCell ref="AD58:AG58"/>
    <mergeCell ref="E57:H57"/>
    <mergeCell ref="I57:L57"/>
    <mergeCell ref="M57:T57"/>
    <mergeCell ref="U57:Y57"/>
    <mergeCell ref="Z57:AB57"/>
    <mergeCell ref="E56:H56"/>
    <mergeCell ref="I56:L56"/>
    <mergeCell ref="M56:T56"/>
    <mergeCell ref="U56:Y56"/>
    <mergeCell ref="Z56:AB56"/>
    <mergeCell ref="AD56:AG56"/>
    <mergeCell ref="E63:H63"/>
    <mergeCell ref="I63:L63"/>
    <mergeCell ref="M63:T63"/>
    <mergeCell ref="U63:Y63"/>
    <mergeCell ref="Z63:AB63"/>
    <mergeCell ref="AD63:AG63"/>
    <mergeCell ref="E61:H61"/>
    <mergeCell ref="I61:L61"/>
    <mergeCell ref="M61:T61"/>
    <mergeCell ref="U61:Y61"/>
    <mergeCell ref="Z61:AB61"/>
    <mergeCell ref="AD61:AG61"/>
    <mergeCell ref="E62:H62"/>
    <mergeCell ref="I62:L62"/>
    <mergeCell ref="M62:T62"/>
    <mergeCell ref="U62:Y62"/>
    <mergeCell ref="Z62:AB62"/>
    <mergeCell ref="AD62:AG62"/>
    <mergeCell ref="E64:H64"/>
    <mergeCell ref="I64:L64"/>
    <mergeCell ref="M64:T64"/>
    <mergeCell ref="U64:Y64"/>
    <mergeCell ref="Z64:AB64"/>
    <mergeCell ref="AD64:AG64"/>
    <mergeCell ref="E65:H65"/>
    <mergeCell ref="I65:L65"/>
    <mergeCell ref="M65:T65"/>
    <mergeCell ref="U65:Y65"/>
    <mergeCell ref="Z65:AB65"/>
    <mergeCell ref="AD65:AG65"/>
    <mergeCell ref="E66:H66"/>
    <mergeCell ref="I66:L66"/>
    <mergeCell ref="M66:T66"/>
    <mergeCell ref="U66:Y66"/>
    <mergeCell ref="Z66:AB66"/>
    <mergeCell ref="AD66:AG66"/>
    <mergeCell ref="E67:H67"/>
    <mergeCell ref="I67:L67"/>
    <mergeCell ref="M67:T67"/>
    <mergeCell ref="U67:Y67"/>
    <mergeCell ref="Z67:AB67"/>
    <mergeCell ref="AD67:AG67"/>
    <mergeCell ref="E68:H68"/>
    <mergeCell ref="I68:L68"/>
    <mergeCell ref="M68:T68"/>
    <mergeCell ref="U68:Y68"/>
    <mergeCell ref="Z68:AB68"/>
    <mergeCell ref="AD68:AG68"/>
    <mergeCell ref="E69:H69"/>
    <mergeCell ref="I69:L69"/>
    <mergeCell ref="M69:T69"/>
    <mergeCell ref="U69:Y69"/>
    <mergeCell ref="Z69:AB69"/>
    <mergeCell ref="AD69:AG69"/>
    <mergeCell ref="E70:H70"/>
    <mergeCell ref="I70:L70"/>
    <mergeCell ref="M70:T70"/>
    <mergeCell ref="U70:Y70"/>
    <mergeCell ref="Z70:AB70"/>
    <mergeCell ref="AD70:AG70"/>
    <mergeCell ref="E71:H71"/>
    <mergeCell ref="I71:L71"/>
    <mergeCell ref="M71:T71"/>
    <mergeCell ref="U71:Y71"/>
    <mergeCell ref="Z71:AB71"/>
    <mergeCell ref="AD71:AG71"/>
    <mergeCell ref="E72:H72"/>
    <mergeCell ref="I72:L72"/>
    <mergeCell ref="M72:T72"/>
    <mergeCell ref="U72:Y72"/>
    <mergeCell ref="Z72:AB72"/>
    <mergeCell ref="AD72:AG72"/>
    <mergeCell ref="E73:H73"/>
    <mergeCell ref="I73:L73"/>
    <mergeCell ref="M73:T73"/>
    <mergeCell ref="U73:Y73"/>
    <mergeCell ref="Z73:AB73"/>
    <mergeCell ref="AD73:AG73"/>
    <mergeCell ref="E74:H74"/>
    <mergeCell ref="I74:L74"/>
    <mergeCell ref="M74:T74"/>
    <mergeCell ref="U74:Y74"/>
    <mergeCell ref="Z74:AB74"/>
    <mergeCell ref="AD74:AG74"/>
    <mergeCell ref="E75:H75"/>
    <mergeCell ref="I75:L75"/>
    <mergeCell ref="M75:T75"/>
    <mergeCell ref="U75:Y75"/>
    <mergeCell ref="Z75:AB75"/>
    <mergeCell ref="AD75:AG75"/>
    <mergeCell ref="AL53:AP53"/>
    <mergeCell ref="AL54:AP54"/>
    <mergeCell ref="AL55:AP55"/>
    <mergeCell ref="AL56:AP56"/>
    <mergeCell ref="AL57:AP57"/>
    <mergeCell ref="AL58:AP58"/>
    <mergeCell ref="AL59:AP59"/>
    <mergeCell ref="AL60:AP60"/>
    <mergeCell ref="AL69:AP69"/>
    <mergeCell ref="AL70:AP70"/>
    <mergeCell ref="AL71:AP71"/>
    <mergeCell ref="AL72:AP72"/>
    <mergeCell ref="AL73:AP73"/>
    <mergeCell ref="AL74:AP74"/>
    <mergeCell ref="AL75:AP75"/>
    <mergeCell ref="AL61:AP61"/>
    <mergeCell ref="AL62:AP62"/>
    <mergeCell ref="AL63:AP63"/>
    <mergeCell ref="AL64:AP64"/>
    <mergeCell ref="AL65:AP65"/>
    <mergeCell ref="AL66:AP66"/>
    <mergeCell ref="AL67:AP67"/>
    <mergeCell ref="AL68:AP68"/>
  </mergeCells>
  <phoneticPr fontId="11"/>
  <dataValidations disablePrompts="1" count="5">
    <dataValidation type="list" allowBlank="1" showInputMessage="1" showErrorMessage="1" sqref="N43:P43" xr:uid="{00000000-0002-0000-0500-000000000000}">
      <formula1>"-,○,×"</formula1>
    </dataValidation>
    <dataValidation type="list" allowBlank="1" showInputMessage="1" showErrorMessage="1" sqref="P82:U83 AC52:AC75" xr:uid="{00000000-0002-0000-0500-000001000000}">
      <formula1>"-,○"</formula1>
    </dataValidation>
    <dataValidation type="list" allowBlank="1" showInputMessage="1" showErrorMessage="1" sqref="I52:I75" xr:uid="{00000000-0002-0000-0500-000002000000}">
      <formula1>画面項目種類</formula1>
    </dataValidation>
    <dataValidation type="list" allowBlank="1" showInputMessage="1" showErrorMessage="1" sqref="K82:N83" xr:uid="{00000000-0002-0000-0500-000003000000}">
      <formula1>種別一覧</formula1>
    </dataValidation>
    <dataValidation type="list" allowBlank="1" showInputMessage="1" showErrorMessage="1" sqref="O82:O83" xr:uid="{00000000-0002-0000-0500-000004000000}">
      <formula1>"I,O"</formula1>
    </dataValidation>
  </dataValidations>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3" manualBreakCount="3">
    <brk id="38" max="34" man="1"/>
    <brk id="76" max="34" man="1"/>
    <brk id="91" max="34"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5000000}">
          <x14:formula1>
            <xm:f>データ!$D$2:$D$4</xm:f>
          </x14:formula1>
          <xm:sqref>AE89:AH92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pageSetUpPr fitToPage="1"/>
  </sheetPr>
  <dimension ref="A1:BA76"/>
  <sheetViews>
    <sheetView showGridLines="0" view="pageBreakPreview" zoomScaleNormal="100" zoomScaleSheetLayoutView="100" workbookViewId="0">
      <selection sqref="A1:D1"/>
    </sheetView>
  </sheetViews>
  <sheetFormatPr defaultColWidth="4.83203125" defaultRowHeight="11.25"/>
  <cols>
    <col min="1" max="7" width="4.83203125" style="16"/>
    <col min="8" max="8" width="4.83203125" style="16" customWidth="1"/>
    <col min="9" max="39" width="4.83203125" style="16"/>
    <col min="40" max="40" width="4.83203125" style="16" customWidth="1"/>
    <col min="41" max="16384" width="4.83203125" style="16"/>
  </cols>
  <sheetData>
    <row r="1" spans="1:37" s="11" customFormat="1">
      <c r="A1" s="339" t="s">
        <v>0</v>
      </c>
      <c r="B1" s="340"/>
      <c r="C1" s="340"/>
      <c r="D1" s="341"/>
      <c r="E1" s="227" t="str">
        <f ca="1">IF(INDIRECT("変更履歴!E1")&lt;&gt;"",INDIRECT("変更履歴!E1"),"")</f>
        <v>サンプルプロジェクト</v>
      </c>
      <c r="F1" s="180"/>
      <c r="G1" s="180"/>
      <c r="H1" s="180"/>
      <c r="I1" s="180"/>
      <c r="J1" s="180"/>
      <c r="K1" s="180"/>
      <c r="L1" s="180"/>
      <c r="M1" s="180"/>
      <c r="N1" s="181"/>
      <c r="O1" s="213" t="s">
        <v>37</v>
      </c>
      <c r="P1" s="214"/>
      <c r="Q1" s="214"/>
      <c r="R1" s="215"/>
      <c r="S1" s="228" t="str">
        <f ca="1">IF(INDIRECT("変更履歴!S1")&lt;&gt;"",INDIRECT("変更履歴!S1"),"")</f>
        <v>システム機能設計書（画面）
WA10201/プロジェクト登録</v>
      </c>
      <c r="T1" s="229"/>
      <c r="U1" s="229"/>
      <c r="V1" s="229"/>
      <c r="W1" s="229"/>
      <c r="X1" s="229"/>
      <c r="Y1" s="229"/>
      <c r="Z1" s="230"/>
      <c r="AA1" s="210" t="s">
        <v>3</v>
      </c>
      <c r="AB1" s="212"/>
      <c r="AC1" s="160" t="str">
        <f ca="1">IF(INDIRECT("変更履歴!AC1")&lt;&gt;"",INDIRECT("変更履歴!AC1"),"")</f>
        <v>TIS</v>
      </c>
      <c r="AD1" s="161"/>
      <c r="AE1" s="161"/>
      <c r="AF1" s="162"/>
      <c r="AG1" s="336">
        <f ca="1">IF(INDIRECT("変更履歴!AG1")&lt;&gt;"",INDIRECT("変更履歴!AG1"),"")</f>
        <v>43598</v>
      </c>
      <c r="AH1" s="337"/>
      <c r="AI1" s="338"/>
      <c r="AJ1" s="27"/>
    </row>
    <row r="2" spans="1:37" s="11" customFormat="1">
      <c r="A2" s="339" t="s">
        <v>1</v>
      </c>
      <c r="B2" s="340"/>
      <c r="C2" s="340"/>
      <c r="D2" s="341"/>
      <c r="E2" s="227" t="str">
        <f ca="1">IF(INDIRECT("変更履歴!E2")&lt;&gt;"",INDIRECT("変更履歴!E2"),"")</f>
        <v>サンプルシステム</v>
      </c>
      <c r="F2" s="180"/>
      <c r="G2" s="180"/>
      <c r="H2" s="180"/>
      <c r="I2" s="180"/>
      <c r="J2" s="180"/>
      <c r="K2" s="180"/>
      <c r="L2" s="180"/>
      <c r="M2" s="180"/>
      <c r="N2" s="181"/>
      <c r="O2" s="216"/>
      <c r="P2" s="217"/>
      <c r="Q2" s="217"/>
      <c r="R2" s="218"/>
      <c r="S2" s="231"/>
      <c r="T2" s="232"/>
      <c r="U2" s="232"/>
      <c r="V2" s="232"/>
      <c r="W2" s="232"/>
      <c r="X2" s="232"/>
      <c r="Y2" s="232"/>
      <c r="Z2" s="233"/>
      <c r="AA2" s="210" t="s">
        <v>4</v>
      </c>
      <c r="AB2" s="212"/>
      <c r="AC2" s="160" t="str">
        <f ca="1">IF(INDIRECT("変更履歴!AC2")&lt;&gt;"",INDIRECT("変更履歴!AC2"),"")</f>
        <v>TIS</v>
      </c>
      <c r="AD2" s="161"/>
      <c r="AE2" s="161"/>
      <c r="AF2" s="162"/>
      <c r="AG2" s="336">
        <f ca="1">IF(INDIRECT("変更履歴!AG2")&lt;&gt;"",INDIRECT("変更履歴!AG2"),"")</f>
        <v>44908</v>
      </c>
      <c r="AH2" s="337"/>
      <c r="AI2" s="338"/>
      <c r="AJ2" s="27"/>
    </row>
    <row r="3" spans="1:37" s="11" customFormat="1">
      <c r="A3" s="339" t="s">
        <v>2</v>
      </c>
      <c r="B3" s="340"/>
      <c r="C3" s="340"/>
      <c r="D3" s="341"/>
      <c r="E3" s="227" t="str">
        <f ca="1">IF(INDIRECT("変更履歴!E3")&lt;&gt;"",INDIRECT("変更履歴!E3"),"")</f>
        <v>プロジェクト管理システム</v>
      </c>
      <c r="F3" s="180"/>
      <c r="G3" s="180"/>
      <c r="H3" s="180"/>
      <c r="I3" s="180"/>
      <c r="J3" s="180"/>
      <c r="K3" s="180"/>
      <c r="L3" s="180"/>
      <c r="M3" s="180"/>
      <c r="N3" s="181"/>
      <c r="O3" s="219"/>
      <c r="P3" s="220"/>
      <c r="Q3" s="220"/>
      <c r="R3" s="221"/>
      <c r="S3" s="234"/>
      <c r="T3" s="235"/>
      <c r="U3" s="235"/>
      <c r="V3" s="235"/>
      <c r="W3" s="235"/>
      <c r="X3" s="235"/>
      <c r="Y3" s="235"/>
      <c r="Z3" s="236"/>
      <c r="AA3" s="210"/>
      <c r="AB3" s="212"/>
      <c r="AC3" s="160" t="str">
        <f ca="1">IF(INDIRECT("変更履歴!AC3")&lt;&gt;"",INDIRECT("変更履歴!AC3"),"")</f>
        <v/>
      </c>
      <c r="AD3" s="161"/>
      <c r="AE3" s="161"/>
      <c r="AF3" s="162"/>
      <c r="AG3" s="336" t="str">
        <f ca="1">IF(INDIRECT("変更履歴!AG3")&lt;&gt;"",INDIRECT("変更履歴!AG3"),"")</f>
        <v/>
      </c>
      <c r="AH3" s="337"/>
      <c r="AI3" s="338"/>
      <c r="AJ3" s="27"/>
    </row>
    <row r="4" spans="1:37" ht="12" customHeight="1"/>
    <row r="5" spans="1:37" ht="12" customHeight="1">
      <c r="B5" t="s">
        <v>242</v>
      </c>
    </row>
    <row r="6" spans="1:37" ht="12" customHeight="1">
      <c r="C6" s="16" t="s">
        <v>130</v>
      </c>
    </row>
    <row r="7" spans="1:37" ht="12" customHeight="1"/>
    <row r="8" spans="1:37" ht="12" customHeight="1">
      <c r="AK8" s="140"/>
    </row>
    <row r="9" spans="1:37" ht="12" customHeight="1"/>
    <row r="10" spans="1:37" ht="12" customHeight="1"/>
    <row r="11" spans="1:37" ht="12" customHeight="1"/>
    <row r="12" spans="1:37" ht="12" customHeight="1"/>
    <row r="13" spans="1:37" ht="12" customHeight="1"/>
    <row r="14" spans="1:37" ht="12" customHeight="1"/>
    <row r="15" spans="1:37" ht="12" customHeight="1"/>
    <row r="16" spans="1:37"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spans="3:53" ht="12" customHeight="1"/>
    <row r="34" spans="3:53" ht="12" customHeight="1">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row>
    <row r="35" spans="3:53">
      <c r="C35" s="26" t="s">
        <v>137</v>
      </c>
      <c r="D35" s="103"/>
      <c r="E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row>
    <row r="36" spans="3:53">
      <c r="C36" s="29"/>
      <c r="D36" s="103"/>
      <c r="E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row>
    <row r="37" spans="3:53">
      <c r="D37" s="97" t="s">
        <v>41</v>
      </c>
      <c r="E37" s="390" t="s">
        <v>69</v>
      </c>
      <c r="F37" s="390"/>
      <c r="G37" s="390"/>
      <c r="H37" s="390"/>
      <c r="I37" s="390"/>
      <c r="J37" s="390"/>
      <c r="K37" s="390"/>
      <c r="L37" s="390"/>
      <c r="M37" s="390"/>
      <c r="N37" s="342" t="s">
        <v>43</v>
      </c>
      <c r="O37" s="342"/>
      <c r="P37" s="342"/>
      <c r="Q37" s="342" t="s">
        <v>25</v>
      </c>
      <c r="R37" s="342"/>
      <c r="S37" s="342"/>
      <c r="T37" s="342"/>
      <c r="U37" s="342"/>
      <c r="V37" s="390" t="s">
        <v>14</v>
      </c>
      <c r="W37" s="390"/>
      <c r="X37" s="390"/>
      <c r="Y37" s="390"/>
      <c r="Z37" s="390"/>
      <c r="AA37" s="390"/>
      <c r="AB37" s="390"/>
      <c r="AC37" s="390"/>
      <c r="AD37" s="103"/>
      <c r="AE37" s="103"/>
      <c r="AF37" s="103"/>
      <c r="AG37" s="103"/>
      <c r="AH37" s="103"/>
    </row>
    <row r="38" spans="3:53" ht="11.25" customHeight="1">
      <c r="D38" s="124">
        <v>1</v>
      </c>
      <c r="E38" s="352" t="s">
        <v>135</v>
      </c>
      <c r="F38" s="352"/>
      <c r="G38" s="352"/>
      <c r="H38" s="352"/>
      <c r="I38" s="352"/>
      <c r="J38" s="352"/>
      <c r="K38" s="352"/>
      <c r="L38" s="352"/>
      <c r="M38" s="352"/>
      <c r="N38" s="352" t="s">
        <v>93</v>
      </c>
      <c r="O38" s="352"/>
      <c r="P38" s="352"/>
      <c r="Q38" s="352" t="s">
        <v>136</v>
      </c>
      <c r="R38" s="352"/>
      <c r="S38" s="352"/>
      <c r="T38" s="352"/>
      <c r="U38" s="352"/>
      <c r="V38" s="352"/>
      <c r="W38" s="352"/>
      <c r="X38" s="352"/>
      <c r="Y38" s="352"/>
      <c r="Z38" s="352"/>
      <c r="AA38" s="352"/>
      <c r="AB38" s="352"/>
      <c r="AC38" s="352"/>
      <c r="AM38" s="29"/>
    </row>
    <row r="39" spans="3:53" ht="11.25" customHeight="1">
      <c r="D39" s="103"/>
      <c r="E39" s="103"/>
      <c r="F39" s="103"/>
      <c r="G39" s="103"/>
      <c r="H39" s="103"/>
      <c r="I39" s="103"/>
      <c r="J39" s="103"/>
      <c r="K39" s="103"/>
      <c r="L39" s="103"/>
      <c r="M39" s="103"/>
      <c r="N39" s="103"/>
      <c r="O39" s="103"/>
      <c r="P39" s="103"/>
      <c r="Q39" s="103"/>
      <c r="R39" s="103"/>
      <c r="S39" s="103"/>
      <c r="T39" s="103"/>
      <c r="U39" s="103"/>
      <c r="V39" s="103"/>
      <c r="W39" s="103"/>
      <c r="X39" s="103"/>
      <c r="Y39" s="103"/>
      <c r="Z39" s="103"/>
      <c r="AA39" s="103"/>
      <c r="AB39" s="103"/>
      <c r="AC39" s="103"/>
      <c r="AM39" s="29"/>
    </row>
    <row r="40" spans="3:53" ht="11.25" customHeight="1"/>
    <row r="41" spans="3:53">
      <c r="C41" t="s">
        <v>161</v>
      </c>
      <c r="AK41" s="64"/>
      <c r="AL41" s="64"/>
      <c r="AM41" s="64"/>
      <c r="AN41" s="64"/>
      <c r="AO41" s="64"/>
      <c r="AP41" s="64"/>
      <c r="AQ41" s="64"/>
      <c r="AR41" s="64"/>
      <c r="AS41" s="64"/>
      <c r="AT41" s="64"/>
      <c r="AU41" s="64"/>
      <c r="AV41" s="64"/>
      <c r="AW41" s="64"/>
      <c r="AX41" s="64"/>
      <c r="AY41" s="64"/>
      <c r="AZ41" s="64"/>
      <c r="BA41" s="64"/>
    </row>
    <row r="42" spans="3:53" s="63" customFormat="1">
      <c r="AC42" s="92"/>
      <c r="AD42" s="92"/>
      <c r="AE42" s="92"/>
      <c r="AF42" s="92"/>
      <c r="AG42" s="92"/>
      <c r="AH42" s="92"/>
      <c r="AI42" s="92"/>
      <c r="AJ42" s="92"/>
      <c r="AK42" s="92"/>
      <c r="AL42" s="92"/>
      <c r="AM42" s="92"/>
      <c r="AN42" s="92"/>
      <c r="AO42" s="92"/>
      <c r="AP42" s="92"/>
    </row>
    <row r="43" spans="3:53" s="64" customFormat="1" ht="11.25" customHeight="1">
      <c r="D43" s="400" t="s">
        <v>41</v>
      </c>
      <c r="E43" s="247" t="s">
        <v>29</v>
      </c>
      <c r="F43" s="262"/>
      <c r="G43" s="262"/>
      <c r="H43" s="262"/>
      <c r="I43" s="262"/>
      <c r="J43" s="262"/>
      <c r="K43" s="262"/>
      <c r="L43" s="262"/>
      <c r="M43" s="262"/>
      <c r="N43" s="262"/>
      <c r="O43" s="262"/>
      <c r="P43" s="262"/>
      <c r="Q43" s="262"/>
      <c r="R43" s="262"/>
      <c r="S43" s="262"/>
      <c r="T43" s="262"/>
      <c r="U43" s="262"/>
      <c r="V43" s="262"/>
      <c r="W43" s="262"/>
      <c r="X43" s="262"/>
      <c r="Y43" s="262"/>
      <c r="Z43" s="262"/>
      <c r="AA43" s="262"/>
      <c r="AB43" s="262"/>
      <c r="AC43" s="264"/>
      <c r="AD43" s="238" t="s">
        <v>33</v>
      </c>
      <c r="AE43" s="239"/>
      <c r="AF43" s="239"/>
      <c r="AG43" s="240"/>
      <c r="AH43" s="29"/>
      <c r="AI43" s="29"/>
      <c r="AK43" s="92"/>
      <c r="AL43" s="92"/>
    </row>
    <row r="44" spans="3:53" s="64" customFormat="1" ht="11.25" customHeight="1">
      <c r="D44" s="401"/>
      <c r="E44" s="238" t="s">
        <v>31</v>
      </c>
      <c r="F44" s="239"/>
      <c r="G44" s="239"/>
      <c r="H44" s="240"/>
      <c r="I44" s="346" t="s">
        <v>39</v>
      </c>
      <c r="J44" s="395"/>
      <c r="K44" s="395"/>
      <c r="L44" s="396"/>
      <c r="M44" s="346" t="s">
        <v>151</v>
      </c>
      <c r="N44" s="347"/>
      <c r="O44" s="347"/>
      <c r="P44" s="347"/>
      <c r="Q44" s="347"/>
      <c r="R44" s="347"/>
      <c r="S44" s="347"/>
      <c r="T44" s="348"/>
      <c r="U44" s="405" t="s">
        <v>32</v>
      </c>
      <c r="V44" s="406"/>
      <c r="W44" s="406"/>
      <c r="X44" s="406"/>
      <c r="Y44" s="407"/>
      <c r="Z44" s="405" t="s">
        <v>27</v>
      </c>
      <c r="AA44" s="406"/>
      <c r="AB44" s="407"/>
      <c r="AC44" s="333" t="s">
        <v>44</v>
      </c>
      <c r="AD44" s="241"/>
      <c r="AE44" s="242"/>
      <c r="AF44" s="242"/>
      <c r="AG44" s="243"/>
      <c r="AH44" s="29"/>
      <c r="AI44" s="29"/>
      <c r="AK44" s="92"/>
      <c r="AL44" s="92"/>
    </row>
    <row r="45" spans="3:53" s="64" customFormat="1">
      <c r="D45" s="402"/>
      <c r="E45" s="244"/>
      <c r="F45" s="245"/>
      <c r="G45" s="245"/>
      <c r="H45" s="246"/>
      <c r="I45" s="397"/>
      <c r="J45" s="398"/>
      <c r="K45" s="398"/>
      <c r="L45" s="399"/>
      <c r="M45" s="349"/>
      <c r="N45" s="350"/>
      <c r="O45" s="350"/>
      <c r="P45" s="350"/>
      <c r="Q45" s="350"/>
      <c r="R45" s="350"/>
      <c r="S45" s="350"/>
      <c r="T45" s="351"/>
      <c r="U45" s="408"/>
      <c r="V45" s="409"/>
      <c r="W45" s="409"/>
      <c r="X45" s="409"/>
      <c r="Y45" s="410"/>
      <c r="Z45" s="408"/>
      <c r="AA45" s="409"/>
      <c r="AB45" s="410"/>
      <c r="AC45" s="335"/>
      <c r="AD45" s="244"/>
      <c r="AE45" s="245"/>
      <c r="AF45" s="245"/>
      <c r="AG45" s="246"/>
      <c r="AH45" s="29"/>
      <c r="AI45" s="29"/>
      <c r="AK45" s="92"/>
      <c r="AL45" s="92"/>
    </row>
    <row r="46" spans="3:53" ht="12" customHeight="1">
      <c r="D46" s="106">
        <v>1</v>
      </c>
      <c r="E46" s="323" t="s">
        <v>138</v>
      </c>
      <c r="F46" s="258"/>
      <c r="G46" s="258"/>
      <c r="H46" s="259"/>
      <c r="I46" s="403" t="s">
        <v>88</v>
      </c>
      <c r="J46" s="403"/>
      <c r="K46" s="403"/>
      <c r="L46" s="403"/>
      <c r="M46" s="266" t="s">
        <v>157</v>
      </c>
      <c r="N46" s="404"/>
      <c r="O46" s="404"/>
      <c r="P46" s="404"/>
      <c r="Q46" s="404"/>
      <c r="R46" s="404"/>
      <c r="S46" s="404"/>
      <c r="T46" s="404"/>
      <c r="U46" s="323" t="s">
        <v>135</v>
      </c>
      <c r="V46" s="258"/>
      <c r="W46" s="258"/>
      <c r="X46" s="258"/>
      <c r="Y46" s="259"/>
      <c r="Z46" s="320" t="s">
        <v>135</v>
      </c>
      <c r="AA46" s="301"/>
      <c r="AB46" s="302"/>
      <c r="AC46" s="112" t="s">
        <v>93</v>
      </c>
      <c r="AD46" s="118" t="s">
        <v>136</v>
      </c>
      <c r="AE46" s="119"/>
      <c r="AF46" s="119"/>
      <c r="AG46" s="120"/>
      <c r="AH46" s="103"/>
    </row>
    <row r="47" spans="3:53" ht="11.25" customHeight="1">
      <c r="D47" s="95"/>
      <c r="E47" s="75"/>
      <c r="F47" s="75"/>
      <c r="G47" s="75"/>
      <c r="H47" s="75"/>
      <c r="I47" s="107"/>
      <c r="J47" s="107"/>
      <c r="K47" s="107"/>
      <c r="L47" s="107"/>
      <c r="M47" s="96"/>
      <c r="N47" s="96"/>
      <c r="O47" s="96"/>
      <c r="P47" s="96"/>
      <c r="Q47" s="96"/>
      <c r="R47" s="75"/>
      <c r="S47" s="75"/>
      <c r="T47" s="75"/>
      <c r="U47" s="99"/>
      <c r="V47" s="75"/>
      <c r="W47" s="75"/>
      <c r="X47" s="75"/>
      <c r="Y47" s="75"/>
      <c r="Z47" s="104"/>
      <c r="AA47" s="104"/>
      <c r="AB47" s="104"/>
      <c r="AC47" s="104"/>
      <c r="AD47" s="104"/>
      <c r="AE47" s="104"/>
      <c r="AF47" s="104"/>
      <c r="AG47" s="104"/>
      <c r="AH47" s="103"/>
      <c r="AJ47" s="117"/>
      <c r="AK47" s="117"/>
      <c r="AL47" s="117"/>
      <c r="AM47" s="117"/>
    </row>
    <row r="48" spans="3:53">
      <c r="D48" s="64"/>
      <c r="E48" s="96"/>
      <c r="F48" s="96"/>
      <c r="G48" s="96"/>
      <c r="H48" s="96"/>
      <c r="I48" s="96"/>
      <c r="J48" s="96"/>
      <c r="K48" s="96"/>
      <c r="L48" s="96"/>
      <c r="M48" s="96"/>
      <c r="N48" s="96"/>
      <c r="O48" s="96"/>
      <c r="P48" s="96"/>
      <c r="Q48" s="96"/>
      <c r="R48" s="96"/>
      <c r="S48" s="96"/>
      <c r="T48" s="96"/>
      <c r="U48" s="96"/>
      <c r="V48" s="96"/>
      <c r="W48" s="96"/>
      <c r="X48" s="100"/>
      <c r="Y48" s="100"/>
      <c r="Z48" s="100"/>
      <c r="AA48" s="100"/>
      <c r="AB48" s="96"/>
      <c r="AC48" s="96"/>
      <c r="AD48" s="96"/>
      <c r="AE48" s="96"/>
      <c r="AF48" s="96"/>
      <c r="AG48" s="96"/>
      <c r="AH48" s="96"/>
      <c r="AI48" s="96"/>
      <c r="AJ48" s="96"/>
    </row>
    <row r="49" spans="3:36">
      <c r="C49" s="16" t="s">
        <v>132</v>
      </c>
      <c r="D49" s="64"/>
      <c r="E49" s="96"/>
      <c r="F49" s="126"/>
      <c r="G49" s="96"/>
      <c r="H49" s="96"/>
      <c r="I49" s="96"/>
      <c r="J49" s="96"/>
      <c r="K49" s="96"/>
      <c r="L49" s="96"/>
      <c r="M49" s="96"/>
      <c r="N49" s="96"/>
      <c r="O49" s="96"/>
      <c r="P49" s="96"/>
      <c r="Q49" s="96"/>
      <c r="R49" s="96"/>
      <c r="S49" s="96"/>
      <c r="T49" s="96"/>
      <c r="U49" s="96"/>
      <c r="V49" s="96"/>
      <c r="W49" s="96"/>
      <c r="X49" s="100"/>
      <c r="Y49" s="100"/>
      <c r="Z49" s="100"/>
      <c r="AA49" s="100"/>
      <c r="AB49" s="96"/>
      <c r="AC49" s="96"/>
      <c r="AD49" s="96"/>
      <c r="AE49" s="96"/>
      <c r="AF49" s="96"/>
      <c r="AG49" s="96"/>
      <c r="AH49" s="96"/>
      <c r="AI49" s="96"/>
      <c r="AJ49" s="96"/>
    </row>
    <row r="50" spans="3:36" ht="11.25" customHeight="1">
      <c r="AI50" s="96"/>
      <c r="AJ50" s="96"/>
    </row>
    <row r="51" spans="3:36">
      <c r="D51" s="318" t="s">
        <v>153</v>
      </c>
      <c r="E51" s="284" t="s">
        <v>49</v>
      </c>
      <c r="F51" s="285"/>
      <c r="G51" s="285"/>
      <c r="H51" s="285"/>
      <c r="I51" s="285"/>
      <c r="J51" s="286"/>
      <c r="K51" s="284" t="s">
        <v>50</v>
      </c>
      <c r="L51" s="285"/>
      <c r="M51" s="285"/>
      <c r="N51" s="286"/>
      <c r="O51" s="282" t="s">
        <v>51</v>
      </c>
      <c r="P51" s="108" t="s">
        <v>58</v>
      </c>
      <c r="Q51" s="109"/>
      <c r="R51" s="109"/>
      <c r="S51" s="109"/>
      <c r="T51" s="109"/>
      <c r="U51" s="109"/>
      <c r="V51" s="284" t="s">
        <v>30</v>
      </c>
      <c r="W51" s="285"/>
      <c r="X51" s="285"/>
      <c r="Y51" s="285"/>
      <c r="Z51" s="285"/>
      <c r="AA51" s="285"/>
      <c r="AB51" s="285"/>
      <c r="AC51" s="285"/>
      <c r="AD51" s="285"/>
      <c r="AE51" s="285"/>
      <c r="AF51" s="285"/>
      <c r="AG51" s="285"/>
      <c r="AH51" s="286"/>
    </row>
    <row r="52" spans="3:36">
      <c r="D52" s="319"/>
      <c r="E52" s="287"/>
      <c r="F52" s="288"/>
      <c r="G52" s="288"/>
      <c r="H52" s="288"/>
      <c r="I52" s="288"/>
      <c r="J52" s="289"/>
      <c r="K52" s="287"/>
      <c r="L52" s="288"/>
      <c r="M52" s="288"/>
      <c r="N52" s="289"/>
      <c r="O52" s="283"/>
      <c r="P52" s="110" t="s">
        <v>52</v>
      </c>
      <c r="Q52" s="110" t="s">
        <v>53</v>
      </c>
      <c r="R52" s="110" t="s">
        <v>54</v>
      </c>
      <c r="S52" s="110" t="s">
        <v>55</v>
      </c>
      <c r="T52" s="290" t="s">
        <v>59</v>
      </c>
      <c r="U52" s="291"/>
      <c r="V52" s="287"/>
      <c r="W52" s="288"/>
      <c r="X52" s="288"/>
      <c r="Y52" s="288"/>
      <c r="Z52" s="288"/>
      <c r="AA52" s="288"/>
      <c r="AB52" s="288"/>
      <c r="AC52" s="288"/>
      <c r="AD52" s="288"/>
      <c r="AE52" s="288"/>
      <c r="AF52" s="288"/>
      <c r="AG52" s="288"/>
      <c r="AH52" s="289"/>
    </row>
    <row r="53" spans="3:36">
      <c r="D53" s="111">
        <v>1</v>
      </c>
      <c r="E53" s="323" t="s">
        <v>135</v>
      </c>
      <c r="F53" s="258"/>
      <c r="G53" s="258"/>
      <c r="H53" s="258"/>
      <c r="I53" s="258"/>
      <c r="J53" s="259"/>
      <c r="K53" s="323" t="s">
        <v>139</v>
      </c>
      <c r="L53" s="258"/>
      <c r="M53" s="258"/>
      <c r="N53" s="259"/>
      <c r="O53" s="98" t="s">
        <v>93</v>
      </c>
      <c r="P53" s="112" t="s">
        <v>93</v>
      </c>
      <c r="Q53" s="112" t="s">
        <v>93</v>
      </c>
      <c r="R53" s="112" t="s">
        <v>93</v>
      </c>
      <c r="S53" s="112" t="s">
        <v>93</v>
      </c>
      <c r="T53" s="368" t="s">
        <v>93</v>
      </c>
      <c r="U53" s="369"/>
      <c r="V53" s="323"/>
      <c r="W53" s="258"/>
      <c r="X53" s="258"/>
      <c r="Y53" s="258"/>
      <c r="Z53" s="258"/>
      <c r="AA53" s="258"/>
      <c r="AB53" s="258"/>
      <c r="AC53" s="258"/>
      <c r="AD53" s="258"/>
      <c r="AE53" s="258"/>
      <c r="AF53" s="258"/>
      <c r="AG53" s="258"/>
      <c r="AH53" s="259"/>
    </row>
    <row r="54" spans="3:36">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row>
    <row r="55" spans="3:36">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row>
    <row r="56" spans="3:36">
      <c r="C56" s="16" t="s">
        <v>133</v>
      </c>
      <c r="G56"/>
    </row>
    <row r="58" spans="3:36" ht="15" customHeight="1">
      <c r="D58" s="125" t="s">
        <v>140</v>
      </c>
      <c r="E58" s="270" t="s">
        <v>141</v>
      </c>
      <c r="F58" s="271"/>
      <c r="G58" s="271"/>
      <c r="H58" s="272"/>
      <c r="I58" s="270" t="s">
        <v>38</v>
      </c>
      <c r="J58" s="271"/>
      <c r="K58" s="271"/>
      <c r="L58" s="271"/>
      <c r="M58" s="271"/>
      <c r="N58" s="271"/>
      <c r="O58" s="272"/>
      <c r="P58" s="412" t="s">
        <v>142</v>
      </c>
      <c r="Q58" s="413"/>
      <c r="R58" s="413"/>
      <c r="S58" s="413"/>
      <c r="T58" s="413"/>
      <c r="U58" s="413"/>
      <c r="V58" s="413"/>
      <c r="W58" s="413"/>
      <c r="X58" s="413"/>
      <c r="Y58" s="414"/>
      <c r="Z58" s="415" t="s">
        <v>26</v>
      </c>
      <c r="AA58" s="416"/>
      <c r="AB58" s="416"/>
      <c r="AC58" s="416"/>
      <c r="AD58" s="417"/>
      <c r="AE58" s="418" t="s">
        <v>170</v>
      </c>
      <c r="AF58" s="419"/>
      <c r="AG58" s="419"/>
      <c r="AH58" s="420"/>
    </row>
    <row r="59" spans="3:36" ht="24.95" customHeight="1">
      <c r="D59" s="116">
        <v>1</v>
      </c>
      <c r="E59" s="185" t="s">
        <v>269</v>
      </c>
      <c r="F59" s="250"/>
      <c r="G59" s="250"/>
      <c r="H59" s="254"/>
      <c r="I59" s="182" t="s">
        <v>258</v>
      </c>
      <c r="J59" s="258"/>
      <c r="K59" s="258"/>
      <c r="L59" s="258"/>
      <c r="M59" s="258"/>
      <c r="N59" s="258"/>
      <c r="O59" s="259"/>
      <c r="P59" s="182" t="s">
        <v>266</v>
      </c>
      <c r="Q59" s="258"/>
      <c r="R59" s="258"/>
      <c r="S59" s="258"/>
      <c r="T59" s="258"/>
      <c r="U59" s="258"/>
      <c r="V59" s="258"/>
      <c r="W59" s="258"/>
      <c r="X59" s="258"/>
      <c r="Y59" s="259"/>
      <c r="Z59" s="182" t="s">
        <v>267</v>
      </c>
      <c r="AA59" s="258"/>
      <c r="AB59" s="258"/>
      <c r="AC59" s="258"/>
      <c r="AD59" s="259"/>
      <c r="AE59" s="387" t="s">
        <v>71</v>
      </c>
      <c r="AF59" s="388"/>
      <c r="AG59" s="388"/>
      <c r="AH59" s="389"/>
    </row>
    <row r="60" spans="3:36">
      <c r="AE60" s="411"/>
      <c r="AF60" s="411"/>
      <c r="AG60" s="411"/>
      <c r="AH60" s="411"/>
    </row>
    <row r="62" spans="3:36">
      <c r="C62" t="s">
        <v>134</v>
      </c>
      <c r="G62"/>
    </row>
    <row r="63" spans="3:36">
      <c r="D63" t="s">
        <v>270</v>
      </c>
    </row>
    <row r="64" spans="3:36">
      <c r="D64"/>
    </row>
    <row r="65" spans="1:5">
      <c r="D65"/>
      <c r="E65" t="s">
        <v>268</v>
      </c>
    </row>
    <row r="66" spans="1:5">
      <c r="E66"/>
    </row>
    <row r="70" spans="1:5">
      <c r="A70" s="94"/>
    </row>
    <row r="71" spans="1:5">
      <c r="A71" s="94"/>
    </row>
    <row r="72" spans="1:5">
      <c r="A72" s="94"/>
    </row>
    <row r="74" spans="1:5" ht="11.25" customHeight="1"/>
    <row r="76" spans="1:5" ht="11.25" customHeight="1"/>
  </sheetData>
  <mergeCells count="60">
    <mergeCell ref="E51:J52"/>
    <mergeCell ref="K51:N52"/>
    <mergeCell ref="AE60:AH60"/>
    <mergeCell ref="E58:H58"/>
    <mergeCell ref="I58:O58"/>
    <mergeCell ref="P58:Y58"/>
    <mergeCell ref="E59:H59"/>
    <mergeCell ref="I59:O59"/>
    <mergeCell ref="P59:Y59"/>
    <mergeCell ref="Z59:AD59"/>
    <mergeCell ref="Z58:AD58"/>
    <mergeCell ref="AE58:AH58"/>
    <mergeCell ref="AE59:AH59"/>
    <mergeCell ref="V38:AC38"/>
    <mergeCell ref="U44:Y45"/>
    <mergeCell ref="Z44:AB45"/>
    <mergeCell ref="AC44:AC45"/>
    <mergeCell ref="E38:M38"/>
    <mergeCell ref="N38:P38"/>
    <mergeCell ref="M44:T45"/>
    <mergeCell ref="D43:D45"/>
    <mergeCell ref="O51:O52"/>
    <mergeCell ref="T52:U52"/>
    <mergeCell ref="T53:U53"/>
    <mergeCell ref="AD43:AG45"/>
    <mergeCell ref="U46:Y46"/>
    <mergeCell ref="Z46:AB46"/>
    <mergeCell ref="E43:AC43"/>
    <mergeCell ref="E46:H46"/>
    <mergeCell ref="I46:L46"/>
    <mergeCell ref="M46:T46"/>
    <mergeCell ref="V53:AH53"/>
    <mergeCell ref="V51:AH52"/>
    <mergeCell ref="D51:D52"/>
    <mergeCell ref="E53:J53"/>
    <mergeCell ref="K53:N53"/>
    <mergeCell ref="AG1:AI1"/>
    <mergeCell ref="AG3:AI3"/>
    <mergeCell ref="AA2:AB2"/>
    <mergeCell ref="AA3:AB3"/>
    <mergeCell ref="V37:AC37"/>
    <mergeCell ref="AC2:AF2"/>
    <mergeCell ref="S1:Z3"/>
    <mergeCell ref="AC1:AF1"/>
    <mergeCell ref="AA1:AB1"/>
    <mergeCell ref="AG2:AI2"/>
    <mergeCell ref="AC3:AF3"/>
    <mergeCell ref="A1:D1"/>
    <mergeCell ref="A2:D2"/>
    <mergeCell ref="A3:D3"/>
    <mergeCell ref="O1:R3"/>
    <mergeCell ref="E2:N2"/>
    <mergeCell ref="E3:N3"/>
    <mergeCell ref="E1:N1"/>
    <mergeCell ref="E37:M37"/>
    <mergeCell ref="N37:P37"/>
    <mergeCell ref="I44:L45"/>
    <mergeCell ref="Q37:U37"/>
    <mergeCell ref="Q38:U38"/>
    <mergeCell ref="E44:H45"/>
  </mergeCells>
  <phoneticPr fontId="11"/>
  <dataValidations disablePrompts="1" count="5">
    <dataValidation type="list" allowBlank="1" showInputMessage="1" showErrorMessage="1" sqref="I46:I47" xr:uid="{00000000-0002-0000-0600-000000000000}">
      <formula1>画面項目種類</formula1>
    </dataValidation>
    <dataValidation type="list" allowBlank="1" showInputMessage="1" showErrorMessage="1" sqref="N38:P38" xr:uid="{00000000-0002-0000-0600-000001000000}">
      <formula1>"-,有,無"</formula1>
    </dataValidation>
    <dataValidation type="list" allowBlank="1" showInputMessage="1" showErrorMessage="1" sqref="AC46 P53:T53" xr:uid="{00000000-0002-0000-0600-000002000000}">
      <formula1>"-,○,×"</formula1>
    </dataValidation>
    <dataValidation type="list" allowBlank="1" showInputMessage="1" showErrorMessage="1" sqref="K53:N53" xr:uid="{00000000-0002-0000-0600-000003000000}">
      <formula1>種別一覧</formula1>
    </dataValidation>
    <dataValidation type="list" allowBlank="1" showInputMessage="1" showErrorMessage="1" sqref="O53" xr:uid="{00000000-0002-0000-0600-000004000000}">
      <formula1>"-,I,O"</formula1>
    </dataValidation>
  </dataValidations>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1" manualBreakCount="1">
    <brk id="33" max="34"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600-000005000000}">
          <x14:formula1>
            <xm:f>データ!#REF!</xm:f>
          </x14:formula1>
          <xm:sqref>AE59:AH59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D14"/>
  <sheetViews>
    <sheetView showGridLines="0" view="pageBreakPreview" zoomScaleNormal="100" zoomScaleSheetLayoutView="100" workbookViewId="0"/>
  </sheetViews>
  <sheetFormatPr defaultColWidth="9.33203125" defaultRowHeight="11.25"/>
  <cols>
    <col min="1" max="1" width="21" customWidth="1"/>
    <col min="2" max="2" width="30.5" bestFit="1" customWidth="1"/>
    <col min="3" max="3" width="16.83203125" bestFit="1" customWidth="1"/>
    <col min="4" max="4" width="25.1640625" customWidth="1"/>
  </cols>
  <sheetData>
    <row r="1" spans="1:4">
      <c r="A1" s="53" t="s">
        <v>12</v>
      </c>
      <c r="B1" s="54" t="s">
        <v>13</v>
      </c>
      <c r="C1" s="55" t="s">
        <v>79</v>
      </c>
      <c r="D1" s="55" t="s">
        <v>170</v>
      </c>
    </row>
    <row r="2" spans="1:4">
      <c r="A2" s="52" t="s">
        <v>174</v>
      </c>
      <c r="B2" s="56" t="s">
        <v>166</v>
      </c>
      <c r="C2" s="57" t="s">
        <v>80</v>
      </c>
      <c r="D2" s="52" t="s">
        <v>71</v>
      </c>
    </row>
    <row r="3" spans="1:4">
      <c r="A3" s="52" t="s">
        <v>15</v>
      </c>
      <c r="B3" s="56" t="s">
        <v>168</v>
      </c>
      <c r="C3" s="52" t="s">
        <v>81</v>
      </c>
      <c r="D3" s="52" t="s">
        <v>74</v>
      </c>
    </row>
    <row r="4" spans="1:4">
      <c r="A4" s="52" t="s">
        <v>16</v>
      </c>
      <c r="B4" s="52" t="s">
        <v>169</v>
      </c>
      <c r="C4" s="52" t="s">
        <v>82</v>
      </c>
      <c r="D4" s="52" t="s">
        <v>75</v>
      </c>
    </row>
    <row r="5" spans="1:4">
      <c r="A5" s="52" t="s">
        <v>17</v>
      </c>
      <c r="B5" s="52" t="s">
        <v>167</v>
      </c>
      <c r="C5" s="52" t="s">
        <v>83</v>
      </c>
    </row>
    <row r="6" spans="1:4">
      <c r="A6" s="52" t="s">
        <v>18</v>
      </c>
      <c r="C6" s="52" t="s">
        <v>84</v>
      </c>
    </row>
    <row r="7" spans="1:4">
      <c r="A7" s="52" t="s">
        <v>19</v>
      </c>
      <c r="C7" s="52" t="s">
        <v>85</v>
      </c>
    </row>
    <row r="8" spans="1:4">
      <c r="A8" s="52" t="s">
        <v>20</v>
      </c>
    </row>
    <row r="9" spans="1:4">
      <c r="A9" s="52" t="s">
        <v>21</v>
      </c>
    </row>
    <row r="10" spans="1:4">
      <c r="A10" s="52" t="s">
        <v>22</v>
      </c>
    </row>
    <row r="11" spans="1:4">
      <c r="A11" s="52" t="s">
        <v>23</v>
      </c>
    </row>
    <row r="12" spans="1:4">
      <c r="A12" s="52" t="s">
        <v>309</v>
      </c>
    </row>
    <row r="13" spans="1:4">
      <c r="A13" s="52" t="s">
        <v>311</v>
      </c>
    </row>
    <row r="14" spans="1:4">
      <c r="A14" s="52" t="s">
        <v>24</v>
      </c>
    </row>
  </sheetData>
  <phoneticPr fontId="11"/>
  <pageMargins left="0.74803149606299213" right="0.74803149606299213" top="0.98425196850393704" bottom="0.98425196850393704" header="0.51181102362204722" footer="0.51181102362204722"/>
  <pageSetup paperSize="9"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表紙</vt:lpstr>
      <vt:lpstr>変更履歴</vt:lpstr>
      <vt:lpstr>目次</vt:lpstr>
      <vt:lpstr>1.  画面取引定義</vt:lpstr>
      <vt:lpstr>2. WA1020101(プロジェクト登録画面)</vt:lpstr>
      <vt:lpstr>3. WA1020102(プロジェクト登録確認画面)</vt:lpstr>
      <vt:lpstr>4. WA1020103(プロジェクト登録完了画面)</vt:lpstr>
      <vt:lpstr>データ</vt:lpstr>
      <vt:lpstr>'1.  画面取引定義'!_Toc46209822</vt:lpstr>
      <vt:lpstr>'1.  画面取引定義'!Print_Area</vt:lpstr>
      <vt:lpstr>'2. WA1020101(プロジェクト登録画面)'!Print_Area</vt:lpstr>
      <vt:lpstr>'3. WA1020102(プロジェクト登録確認画面)'!Print_Area</vt:lpstr>
      <vt:lpstr>'4. WA1020103(プロジェクト登録完了画面)'!Print_Area</vt:lpstr>
      <vt:lpstr>データ!Print_Area</vt:lpstr>
      <vt:lpstr>表紙!Print_Area</vt:lpstr>
      <vt:lpstr>変更履歴!Print_Area</vt:lpstr>
      <vt:lpstr>目次!Print_Area</vt:lpstr>
      <vt:lpstr>'1.  画面取引定義'!Print_Titles</vt:lpstr>
      <vt:lpstr>'2. WA1020101(プロジェクト登録画面)'!Print_Titles</vt:lpstr>
      <vt:lpstr>'3. WA1020102(プロジェクト登録確認画面)'!Print_Titles</vt:lpstr>
      <vt:lpstr>'4. WA1020103(プロジェクト登録完了画面)'!Print_Titles</vt:lpstr>
      <vt:lpstr>引継項目格納先</vt:lpstr>
      <vt:lpstr>画面項目種類</vt:lpstr>
      <vt:lpstr>種別一覧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2022-09-22T01:54:30Z</dcterms:created>
  <dcterms:modified xsi:type="dcterms:W3CDTF">2026-05-08T02:19:09Z</dcterms:modified>
</cp:coreProperties>
</file>