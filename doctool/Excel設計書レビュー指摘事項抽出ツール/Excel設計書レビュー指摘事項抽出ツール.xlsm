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filterPrivacy="1" codeName="ThisWorkbook" defaultThemeVersion="124226"/>
  <xr:revisionPtr revIDLastSave="0" documentId="13_ncr:1_{EC44F0F4-9BE8-4C4E-ADF2-7E4EDDD170EA}" xr6:coauthVersionLast="47" xr6:coauthVersionMax="47" xr10:uidLastSave="{00000000-0000-0000-0000-000000000000}"/>
  <bookViews>
    <workbookView xWindow="-120" yWindow="-120" windowWidth="51840" windowHeight="21120"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レビュー指摘事項抽出!$A$1:$T$156</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J10" i="4"/>
  <c r="B10" i="4"/>
  <c r="C9" i="4"/>
  <c r="C11" i="4" s="1"/>
  <c r="D9" i="4"/>
  <c r="D11" i="4" s="1"/>
  <c r="E9" i="4"/>
  <c r="E11" i="4" s="1"/>
  <c r="F9" i="4"/>
  <c r="F11" i="4" s="1"/>
  <c r="G9" i="4"/>
  <c r="G11" i="4" s="1"/>
  <c r="H9" i="4"/>
  <c r="H11" i="4" s="1"/>
  <c r="I9" i="4"/>
  <c r="J9" i="4"/>
  <c r="J11" i="4" s="1"/>
  <c r="B9" i="4"/>
  <c r="U16" i="4"/>
  <c r="U15" i="4"/>
  <c r="L16" i="4"/>
  <c r="M16" i="4"/>
  <c r="N16" i="4"/>
  <c r="O16" i="4"/>
  <c r="P16" i="4"/>
  <c r="Q16" i="4"/>
  <c r="R16" i="4"/>
  <c r="S16" i="4"/>
  <c r="T16" i="4"/>
  <c r="M15" i="4"/>
  <c r="N15" i="4"/>
  <c r="O15" i="4"/>
  <c r="P15" i="4"/>
  <c r="Q15" i="4"/>
  <c r="R15" i="4"/>
  <c r="S15" i="4"/>
  <c r="T15" i="4"/>
  <c r="L15" i="4"/>
  <c r="I11" i="4" l="1"/>
  <c r="B11" i="4"/>
  <c r="K10" i="4"/>
  <c r="K9" i="4"/>
  <c r="K11" i="4" l="1"/>
</calcChain>
</file>

<file path=xl/sharedStrings.xml><?xml version="1.0" encoding="utf-8"?>
<sst xmlns="http://schemas.openxmlformats.org/spreadsheetml/2006/main" count="359" uniqueCount="261">
  <si>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</si>
  <si>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</si>
  <si>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</si>
  <si>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</si>
  <si>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</si>
  <si>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</si>
  <si>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</si>
  <si>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</si>
  <si>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</si>
  <si>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</si>
  <si>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</si>
  <si>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</si>
  <si>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</si>
  <si>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</si>
  <si>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</si>
  <si>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</si>
  <si>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</si>
  <si>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</si>
  <si>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</si>
  <si>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</si>
  <si>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</si>
  <si>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</si>
  <si>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</si>
  <si>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</si>
  <si>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</si>
  <si>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シート</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</si>
  <si>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</si>
  <si>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</si>
  <si>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</si>
  <si>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</si>
  <si>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</si>
  <si>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</si>
  <si>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</si>
  <si>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</si>
  <si>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</si>
  <si>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</si>
  <si>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</si>
  <si>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</si>
  <si>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</si>
  <si>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</si>
  <si>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</si>
  <si>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</si>
  <si>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</si>
  <si>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</si>
  <si>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</si>
  <si>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</si>
  <si>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</si>
  <si>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</si>
  <si>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</si>
  <si>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</si>
  <si>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</si>
  <si>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</si>
  <si>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</si>
  <si>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</si>
  <si>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</si>
  <si>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</si>
  <si>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</si>
  <si>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</si>
  <si>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</si>
  <si>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</si>
  <si>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</si>
  <si>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</si>
  <si>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</si>
  <si>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</si>
  <si>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</si>
  <si>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</si>
  <si>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</si>
  <si>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</si>
  <si>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</si>
  <si>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</si>
  <si>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</si>
  <si>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</si>
  <si>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</si>
  <si>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</si>
  <si>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</si>
  <si>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</si>
  <si>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</si>
  <si>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</si>
  <si>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</si>
  <si>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</si>
  <si>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</si>
  <si>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</si>
  <si>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</si>
  <si>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</si>
  <si>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</si>
  <si>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</si>
  <si>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</si>
  <si>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</si>
  <si>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</si>
  <si>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</si>
  <si>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</si>
  <si>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</si>
  <si>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</si>
  <si>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</si>
  <si>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</si>
  <si>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</si>
  <si>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</si>
  <si>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</si>
  <si>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</si>
  <si>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</si>
  <si>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</si>
  <si>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</si>
  <si>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</si>
  <si>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</si>
  <si>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</si>
  <si>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</si>
  <si>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</si>
  <si>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</si>
  <si>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</si>
  <si>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</si>
  <si>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</si>
  <si>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</si>
  <si>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</si>
  <si>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</si>
  <si>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</si>
  <si>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</si>
  <si>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</si>
  <si>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</si>
  <si>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</si>
  <si>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</si>
  <si>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</si>
  <si>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</si>
  <si>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</si>
  <si>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</si>
  <si>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</si>
  <si>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</si>
  <si>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</si>
  <si>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</si>
  <si>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</si>
  <si>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</si>
  <si>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</si>
  <si>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</si>
  <si>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</si>
  <si>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</si>
  <si>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</si>
  <si>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</si>
  <si>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</si>
  <si>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</si>
  <si>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</si>
  <si>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</si>
  <si>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</si>
  <si>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</si>
  <si>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</si>
  <si>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</si>
  <si>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</si>
  <si>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</si>
  <si>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</si>
  <si>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</si>
  <si>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</si>
  <si>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</si>
  <si>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</si>
  <si>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</si>
  <si>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</si>
  <si>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</si>
  <si>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</si>
  <si>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</si>
  <si>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</si>
  <si>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</si>
  <si>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</si>
  <si>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</si>
  <si>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</si>
  <si>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</si>
  <si>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</si>
  <si>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</si>
  <si>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</si>
  <si>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</si>
  <si>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</si>
  <si>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</si>
  <si>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</si>
  <si>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</si>
  <si>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</si>
  <si>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</si>
  <si>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</si>
  <si>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</si>
  <si>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</si>
  <si>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</si>
  <si>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</si>
  <si>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</si>
  <si>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</si>
  <si>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</si>
  <si>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</si>
  <si>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</si>
  <si>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</si>
  <si>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</si>
  <si>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</si>
  <si>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</si>
  <si>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</si>
  <si>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</si>
  <si>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</si>
  <si>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</si>
  <si>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</si>
  <si>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</si>
  <si>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</si>
  <si>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</si>
  <si>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</si>
  <si>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</si>
  <si>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</si>
  <si>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</si>
  <si>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</si>
  <si>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</si>
  <si>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</si>
  <si>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</si>
  <si>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</si>
  <si>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</si>
  <si>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</si>
  <si>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</si>
  <si>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</si>
  <si>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</si>
  <si>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</si>
  <si>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</si>
  <si>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</si>
  <si>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</si>
  <si>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</si>
  <si>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</si>
  <si>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</si>
  <si>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</si>
  <si>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</si>
  <si>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</si>
  <si>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</si>
  <si>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</si>
  <si>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</si>
  <si>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</si>
  <si>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</si>
  <si>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</si>
  <si>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</si>
  <si>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</si>
  <si>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</si>
  <si>
    <t>高速ページ計算（近似）</t>
    <phoneticPr fontId="2"/>
  </si>
  <si>
    <t>TRUE を設定するとページ数の計算方法が切り替わり、処理が高速になります。手動改ページを設定している設計書では TRUE でも正確なページ数が得られます。自動改ページのみの設計書では実際と異なるページ数が記録される場合があります。FALSE の場合は常に正確なページ数を計算しますが、設計書のシート数が多いと処理に時間がかかります。</t>
    <phoneticPr fontId="2"/>
  </si>
  <si>
    <t>本ツールはExcelで書かれた設計書を対象として、メモ機能またはコメント機能で書いたレビュー指摘事項を抽出し、レビュー記録票へ転記するものです。</t>
    <rPh sb="11" eb="12">
      <t>カ</t>
    </rPh>
    <phoneticPr fontId="2"/>
  </si>
  <si>
    <t>本ツールはExcelの メモ機能（旧称: コメント）と コメント機能（スレッド形式）の両方に対応しています。 同一の設計書ファイル内でメモ機能とコメント機能を混在させることも可能です。</t>
    <phoneticPr fontId="2"/>
  </si>
  <si>
    <t>コメント転記ルール詳細</t>
    <rPh sb="4" eb="6">
      <t>テンキ</t>
    </rPh>
    <rPh sb="9" eb="11">
      <t>ショウサイ</t>
    </rPh>
    <phoneticPr fontId="2"/>
  </si>
  <si>
    <t>コメント機能で作成する場合は、氏名の記載は不要です。コメントの１行目に*(アスタリスク)のみを記入してください。それ以外の書き方はメモ機能と同じです。</t>
    <rPh sb="4" eb="6">
      <t>キノウ</t>
    </rPh>
    <rPh sb="7" eb="9">
      <t>サクセイ</t>
    </rPh>
    <rPh sb="11" eb="13">
      <t>バアイ</t>
    </rPh>
    <rPh sb="15" eb="17">
      <t>シメイ</t>
    </rPh>
    <rPh sb="18" eb="20">
      <t>キサイ</t>
    </rPh>
    <rPh sb="21" eb="23">
      <t>フヨウ</t>
    </rPh>
    <rPh sb="32" eb="34">
      <t>ギョウメ</t>
    </rPh>
    <rPh sb="47" eb="49">
      <t>キニュウ</t>
    </rPh>
    <rPh sb="58" eb="60">
      <t>イガイ</t>
    </rPh>
    <rPh sb="61" eb="62">
      <t>カ</t>
    </rPh>
    <rPh sb="63" eb="64">
      <t>カタ</t>
    </rPh>
    <rPh sb="67" eb="69">
      <t>キノウ</t>
    </rPh>
    <rPh sb="70" eb="71">
      <t>オナ</t>
    </rPh>
    <phoneticPr fontId="2"/>
  </si>
  <si>
    <t>コメント機能を使用する場合</t>
    <rPh sb="4" eb="6">
      <t>キノウ</t>
    </rPh>
    <rPh sb="7" eb="9">
      <t>シヨウ</t>
    </rPh>
    <rPh sb="11" eb="13">
      <t>バアイ</t>
    </rPh>
    <phoneticPr fontId="2"/>
  </si>
  <si>
    <t>動的指摘分類対応
指摘分類マッピング設定シートから読み取った指摘分類に応じて、レビュー結果シートとレビュー記録サマリの指摘分類列をコード修正なしで追加・削除できるように対応。</t>
    <rPh sb="0" eb="2">
      <t>ドウテキ</t>
    </rPh>
    <rPh sb="2" eb="4">
      <t>シテキ</t>
    </rPh>
    <rPh sb="4" eb="6">
      <t>ブンルイ</t>
    </rPh>
    <rPh sb="6" eb="8">
      <t>タイオウ</t>
    </rPh>
    <rPh sb="9" eb="11">
      <t>シテキ</t>
    </rPh>
    <rPh sb="11" eb="13">
      <t>ブンルイ</t>
    </rPh>
    <rPh sb="18" eb="20">
      <t>セッテイ</t>
    </rPh>
    <rPh sb="25" eb="26">
      <t>ヨ</t>
    </rPh>
    <rPh sb="27" eb="28">
      <t>ト</t>
    </rPh>
    <rPh sb="30" eb="32">
      <t>シテキ</t>
    </rPh>
    <rPh sb="32" eb="34">
      <t>ブンルイ</t>
    </rPh>
    <rPh sb="35" eb="36">
      <t>オウ</t>
    </rPh>
    <rPh sb="43" eb="45">
      <t>ケッカ</t>
    </rPh>
    <rPh sb="53" eb="55">
      <t>キロク</t>
    </rPh>
    <rPh sb="59" eb="61">
      <t>シテキ</t>
    </rPh>
    <rPh sb="61" eb="63">
      <t>ブンルイ</t>
    </rPh>
    <rPh sb="63" eb="64">
      <t>レツ</t>
    </rPh>
    <rPh sb="68" eb="70">
      <t>シュウセイ</t>
    </rPh>
    <rPh sb="73" eb="75">
      <t>ツイカ</t>
    </rPh>
    <rPh sb="76" eb="78">
      <t>サクジョ</t>
    </rPh>
    <rPh sb="84" eb="86">
      <t>タイオウ</t>
    </rPh>
    <phoneticPr fontId="2"/>
  </si>
  <si>
    <t>文書ID採番対応
レビュー記録サマリなしで初回抽出を行うと文書IDが採番されず、後からサマリありに切り替えても正しく集計できなかった。
サマリなしで抽出済みの場合でも、サマリありで再実行することで文書IDを採番し正しく集計できるように対応。</t>
    <rPh sb="13" eb="15">
      <t>キロク</t>
    </rPh>
    <phoneticPr fontId="2"/>
  </si>
  <si>
    <t>全指摘件数集計対応
レビュー記録サマリは対応未済の件数の集計が主な目的だったため、対応が完了したドキュメントは件数が0件と記録され、指摘規模をサマリから確認できなかった。
指摘件数は品質評価の重要な指標となりうるため、従来の未済件数に加え全指摘件数を集計できるように対応。</t>
    <phoneticPr fontId="2"/>
  </si>
  <si>
    <t>コメント機能対応
従来はメモ機能で書かれた指摘のみを対象としており、コメント機能（スレッド形式）で書かれた指摘は抽出できなかった。
コメント機能ではスレッドの返信で対処のやり取りができ、スレッドを「解決済み」にするだけでクローズを記録できるため、区切り文字（---）や「済」の手動入力が不要になる。
コメント機能で書かれた指摘および対処内容をレビュー記録票へ転記できるように対応。</t>
    <phoneticPr fontId="2"/>
  </si>
  <si>
    <t>※「抽出」ボタンが押せない場合、ActiveX の有効化が必要な場合があります。以下の手順で有効化してください。</t>
  </si>
  <si>
    <t>「ファイル → オプション → トラスト センター → トラスト センターの設定 → ActiveXの設定」で、「確認メッセージを表示してすべてのコントロールを有効にする」を選択 → OK → Excel を再起動してファイルを開き直す</t>
  </si>
  <si>
    <t>01_要件漏れ</t>
    <phoneticPr fontId="2"/>
  </si>
  <si>
    <t>02_要件誤り</t>
    <phoneticPr fontId="2"/>
  </si>
  <si>
    <t>11_機能・仕様漏れ</t>
    <phoneticPr fontId="2"/>
  </si>
  <si>
    <t>12_機能・仕様誤り</t>
    <phoneticPr fontId="2"/>
  </si>
  <si>
    <t>21_設計・ドキュメント規約違反</t>
    <phoneticPr fontId="2"/>
  </si>
  <si>
    <t>22_記述誤り</t>
    <phoneticPr fontId="2"/>
  </si>
  <si>
    <t>91_疑問点、確認</t>
    <phoneticPr fontId="2"/>
  </si>
  <si>
    <t>92_改善要望</t>
    <phoneticPr fontId="2"/>
  </si>
  <si>
    <t>93_仕様変更</t>
    <phoneticPr fontId="2"/>
  </si>
  <si>
    <t>93仕様変更</t>
    <phoneticPr fontId="2"/>
  </si>
  <si>
    <t>指摘分類エイリアスに使える文字や制約は「指摘分類マッピング設定」シートをご覧ください。</t>
    <rPh sb="0" eb="4">
      <t>シテキブ</t>
    </rPh>
    <rPh sb="10" eb="11">
      <t>ツカ</t>
    </rPh>
    <rPh sb="13" eb="15">
      <t>モジ</t>
    </rPh>
    <rPh sb="16" eb="18">
      <t>セイヤク</t>
    </rPh>
    <rPh sb="20" eb="24">
      <t>シテキブ</t>
    </rPh>
    <rPh sb="29" eb="31">
      <t>セッテイ</t>
    </rPh>
    <rPh sb="37" eb="38">
      <t>ラン</t>
    </rPh>
    <phoneticPr fontId="2"/>
  </si>
  <si>
    <t>指摘分類エイリアス数値対応
指摘分類エイリアスに使える文字種は英小文字のみだった。VeiiNusの指摘分類に振られた値をそのまま使えるよう数値にも対応。</t>
    <rPh sb="0" eb="4">
      <t>シ</t>
    </rPh>
    <rPh sb="9" eb="11">
      <t>スウチ</t>
    </rPh>
    <rPh sb="11" eb="13">
      <t>タイオウ</t>
    </rPh>
    <rPh sb="14" eb="18">
      <t>シ</t>
    </rPh>
    <rPh sb="24" eb="25">
      <t>ツカ</t>
    </rPh>
    <rPh sb="27" eb="30">
      <t>モジシュ</t>
    </rPh>
    <rPh sb="31" eb="32">
      <t>エイ</t>
    </rPh>
    <rPh sb="32" eb="35">
      <t>コモジ</t>
    </rPh>
    <rPh sb="49" eb="53">
      <t>シテ</t>
    </rPh>
    <rPh sb="54" eb="55">
      <t>フ</t>
    </rPh>
    <rPh sb="58" eb="59">
      <t>アタイ</t>
    </rPh>
    <rPh sb="64" eb="65">
      <t>ツカ</t>
    </rPh>
    <rPh sb="69" eb="71">
      <t>スウチ</t>
    </rPh>
    <rPh sb="73" eb="75">
      <t>タイオウ</t>
    </rPh>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</si>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</sst>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8">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49" fontId="0" fillId="9" borderId="1" xfId="0" applyNumberFormat="1" applyFill="1" applyBorder="1">
      <alignment vertical="center"/>
    </xf>
    <xf numFmtId="49" fontId="0" fillId="2" borderId="1" xfId="0" applyNumberFormat="1" applyFill="1" applyBorder="1" applyAlignment="1">
      <alignment horizontal="center" vertical="center" wrapText="1"/>
    </xf>
    <xf numFmtId="49" fontId="0" fillId="2" borderId="1" xfId="0" applyNumberFormat="1" applyFill="1" applyBorder="1" applyAlignment="1">
      <alignment horizontal="center" vertical="center"/>
    </xf>
    <xf numFmtId="49" fontId="6" fillId="6" borderId="0" xfId="0" applyNumberFormat="1" applyFont="1" applyFill="1" applyAlignment="1">
      <alignment horizontal="right" vertical="center"/>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4.png"/><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 Id="rId9" Type="http://schemas.openxmlformats.org/officeDocument/2006/relationships/image" Target="../media/image15.png"/></Relationships>
</file>

<file path=xl/drawings/_rels/drawing4.xml.rels><?xml version="1.0" encoding="UTF-8" standalone="yes"?>
<Relationships xmlns="http://schemas.openxmlformats.org/package/2006/relationships"><Relationship Id="rId1" Type="http://schemas.openxmlformats.org/officeDocument/2006/relationships/image" Target="../media/image17.emf"/></Relationships>
</file>

<file path=xl/drawings/_rels/drawing5.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image" Target="../media/image19.png"/></Relationships>
</file>

<file path=xl/drawings/_rels/drawing6.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6.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29</xdr:row>
      <xdr:rowOff>190500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41719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※Excel</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のコメント機能で投稿した指摘の場合、個々の指摘のレビュアは投稿者名から取得します。メモ機能の場合はこちらの反映値が使用されます。</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43</xdr:row>
      <xdr:rowOff>104775</xdr:rowOff>
    </xdr:from>
    <xdr:to>
      <xdr:col>5</xdr:col>
      <xdr:colOff>752714</xdr:colOff>
      <xdr:row>48</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43</xdr:row>
      <xdr:rowOff>85725</xdr:rowOff>
    </xdr:from>
    <xdr:to>
      <xdr:col>12</xdr:col>
      <xdr:colOff>352648</xdr:colOff>
      <xdr:row>49</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76</xdr:row>
      <xdr:rowOff>104775</xdr:rowOff>
    </xdr:from>
    <xdr:to>
      <xdr:col>5</xdr:col>
      <xdr:colOff>809879</xdr:colOff>
      <xdr:row>82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88</xdr:row>
          <xdr:rowOff>0</xdr:rowOff>
        </xdr:from>
        <xdr:to>
          <xdr:col>9</xdr:col>
          <xdr:colOff>161925</xdr:colOff>
          <xdr:row>98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84"/>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107</xdr:row>
      <xdr:rowOff>47625</xdr:rowOff>
    </xdr:from>
    <xdr:to>
      <xdr:col>5</xdr:col>
      <xdr:colOff>695546</xdr:colOff>
      <xdr:row>112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120</xdr:row>
      <xdr:rowOff>9525</xdr:rowOff>
    </xdr:from>
    <xdr:to>
      <xdr:col>5</xdr:col>
      <xdr:colOff>762226</xdr:colOff>
      <xdr:row>125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twoCellAnchor editAs="oneCell">
    <xdr:from>
      <xdr:col>2</xdr:col>
      <xdr:colOff>276225</xdr:colOff>
      <xdr:row>52</xdr:row>
      <xdr:rowOff>9525</xdr:rowOff>
    </xdr:from>
    <xdr:to>
      <xdr:col>6</xdr:col>
      <xdr:colOff>276623</xdr:colOff>
      <xdr:row>68</xdr:row>
      <xdr:rowOff>143276</xdr:rowOff>
    </xdr:to>
    <xdr:pic>
      <xdr:nvPicPr>
        <xdr:cNvPr id="9" name="図 8">
          <a:extLst>
            <a:ext uri="{FF2B5EF4-FFF2-40B4-BE49-F238E27FC236}">
              <a16:creationId xmlns:a16="http://schemas.microsoft.com/office/drawing/2014/main" id="{59A0ABFA-4AF4-65BC-E58E-71195B7A5E04}"/>
            </a:ext>
          </a:extLst>
        </xdr:cNvPr>
        <xdr:cNvPicPr>
          <a:picLocks noChangeAspect="1"/>
        </xdr:cNvPicPr>
      </xdr:nvPicPr>
      <xdr:blipFill>
        <a:blip xmlns:r="http://schemas.openxmlformats.org/officeDocument/2006/relationships" r:embed="rId7"/>
        <a:stretch>
          <a:fillRect/>
        </a:stretch>
      </xdr:blipFill>
      <xdr:spPr>
        <a:xfrm>
          <a:off x="752475" y="8610600"/>
          <a:ext cx="2848373" cy="2876951"/>
        </a:xfrm>
        <a:prstGeom prst="rect">
          <a:avLst/>
        </a:prstGeom>
      </xdr:spPr>
    </xdr:pic>
    <xdr:clientData/>
  </xdr:twoCellAnchor>
  <xdr:twoCellAnchor editAs="oneCell">
    <xdr:from>
      <xdr:col>2</xdr:col>
      <xdr:colOff>56760</xdr:colOff>
      <xdr:row>128</xdr:row>
      <xdr:rowOff>0</xdr:rowOff>
    </xdr:from>
    <xdr:to>
      <xdr:col>6</xdr:col>
      <xdr:colOff>0</xdr:colOff>
      <xdr:row>142</xdr:row>
      <xdr:rowOff>143230</xdr:rowOff>
    </xdr:to>
    <xdr:pic>
      <xdr:nvPicPr>
        <xdr:cNvPr id="11" name="図 10">
          <a:extLst>
            <a:ext uri="{FF2B5EF4-FFF2-40B4-BE49-F238E27FC236}">
              <a16:creationId xmlns:a16="http://schemas.microsoft.com/office/drawing/2014/main" id="{1DF45E52-1234-5EFB-13DE-01E98CF0BBFA}"/>
            </a:ext>
          </a:extLst>
        </xdr:cNvPr>
        <xdr:cNvPicPr>
          <a:picLocks noChangeAspect="1"/>
        </xdr:cNvPicPr>
      </xdr:nvPicPr>
      <xdr:blipFill>
        <a:blip xmlns:r="http://schemas.openxmlformats.org/officeDocument/2006/relationships" r:embed="rId8"/>
        <a:stretch>
          <a:fillRect/>
        </a:stretch>
      </xdr:blipFill>
      <xdr:spPr>
        <a:xfrm>
          <a:off x="533010" y="21821775"/>
          <a:ext cx="2791215" cy="2543530"/>
        </a:xfrm>
        <a:prstGeom prst="rect">
          <a:avLst/>
        </a:prstGeom>
      </xdr:spPr>
    </xdr:pic>
    <xdr:clientData/>
  </xdr:twoCellAnchor>
  <xdr:twoCellAnchor editAs="oneCell">
    <xdr:from>
      <xdr:col>9</xdr:col>
      <xdr:colOff>0</xdr:colOff>
      <xdr:row>128</xdr:row>
      <xdr:rowOff>0</xdr:rowOff>
    </xdr:from>
    <xdr:to>
      <xdr:col>14</xdr:col>
      <xdr:colOff>476636</xdr:colOff>
      <xdr:row>141</xdr:row>
      <xdr:rowOff>57469</xdr:rowOff>
    </xdr:to>
    <xdr:pic>
      <xdr:nvPicPr>
        <xdr:cNvPr id="12" name="図 11">
          <a:extLst>
            <a:ext uri="{FF2B5EF4-FFF2-40B4-BE49-F238E27FC236}">
              <a16:creationId xmlns:a16="http://schemas.microsoft.com/office/drawing/2014/main" id="{88299B59-CE73-547C-3C0F-0143C04BD0E1}"/>
            </a:ext>
          </a:extLst>
        </xdr:cNvPr>
        <xdr:cNvPicPr>
          <a:picLocks noChangeAspect="1"/>
        </xdr:cNvPicPr>
      </xdr:nvPicPr>
      <xdr:blipFill>
        <a:blip xmlns:r="http://schemas.openxmlformats.org/officeDocument/2006/relationships" r:embed="rId9"/>
        <a:stretch>
          <a:fillRect/>
        </a:stretch>
      </xdr:blipFill>
      <xdr:spPr>
        <a:xfrm>
          <a:off x="4067175" y="21821775"/>
          <a:ext cx="2762636" cy="22863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98"/>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a</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指摘分類エイリアスは英小文字または数字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a:t>
          </a:r>
          <a:r>
            <a:rPr kumimoji="1" lang="en-US" altLang="ja-JP" sz="1100">
              <a:latin typeface="+mn-ea"/>
              <a:ea typeface="+mn-ea"/>
            </a:rPr>
            <a:t>01</a:t>
          </a:r>
          <a:r>
            <a:rPr kumimoji="1" lang="ja-JP" altLang="en-US" sz="1100">
              <a:latin typeface="+mn-ea"/>
              <a:ea typeface="+mn-ea"/>
            </a:rPr>
            <a:t>～</a:t>
          </a:r>
          <a:r>
            <a:rPr kumimoji="1" lang="en-US" altLang="ja-JP" sz="1100">
              <a:latin typeface="+mn-ea"/>
              <a:ea typeface="+mn-ea"/>
            </a:rPr>
            <a:t>99</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エイリアスに英小文字・数字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文字以外（大文字や</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0" t="s">
        <v>15</v>
      </c>
    </row>
    <row r="2" spans="1:4" x14ac:dyDescent="0.15">
      <c r="A2" s="28" t="s">
        <v>16</v>
      </c>
      <c r="B2" s="29" t="s">
        <v>17</v>
      </c>
      <c r="C2" s="29" t="s">
        <v>18</v>
      </c>
      <c r="D2" s="28" t="s">
        <v>19</v>
      </c>
    </row>
    <row r="3" spans="1:4" x14ac:dyDescent="0.15">
      <c r="A3" s="2">
        <v>1</v>
      </c>
      <c r="B3" s="27">
        <v>45145</v>
      </c>
      <c r="C3" s="3" t="s">
        <v>203</v>
      </c>
      <c r="D3" s="25" t="s">
        <v>220</v>
      </c>
    </row>
    <row r="4" spans="1:4" x14ac:dyDescent="0.15">
      <c r="A4" s="2">
        <v>2</v>
      </c>
      <c r="B4" s="27">
        <v>45152</v>
      </c>
      <c r="C4" s="3" t="s">
        <v>203</v>
      </c>
      <c r="D4" s="25" t="s">
        <v>221</v>
      </c>
    </row>
    <row r="5" spans="1:4" ht="40.5" x14ac:dyDescent="0.15">
      <c r="A5" s="2">
        <v>3</v>
      </c>
      <c r="B5" s="27">
        <v>46097</v>
      </c>
      <c r="C5" s="3" t="s">
        <v>222</v>
      </c>
      <c r="D5" s="25" t="s">
        <v>234</v>
      </c>
    </row>
    <row r="6" spans="1:4" ht="67.5" x14ac:dyDescent="0.15">
      <c r="A6" s="2">
        <v>4</v>
      </c>
      <c r="B6" s="27">
        <v>46111</v>
      </c>
      <c r="C6" s="3" t="s">
        <v>222</v>
      </c>
      <c r="D6" s="25" t="s">
        <v>235</v>
      </c>
    </row>
    <row r="7" spans="1:4" ht="67.5" x14ac:dyDescent="0.15">
      <c r="A7" s="2">
        <v>5</v>
      </c>
      <c r="B7" s="27">
        <v>46111</v>
      </c>
      <c r="C7" s="3" t="s">
        <v>222</v>
      </c>
      <c r="D7" s="25" t="s">
        <v>236</v>
      </c>
    </row>
    <row r="8" spans="1:4" ht="81" x14ac:dyDescent="0.15">
      <c r="A8" s="2">
        <v>6</v>
      </c>
      <c r="B8" s="27">
        <v>46111</v>
      </c>
      <c r="C8" s="3" t="s">
        <v>222</v>
      </c>
      <c r="D8" s="25" t="s">
        <v>237</v>
      </c>
    </row>
    <row r="9" spans="1:4" ht="40.5" x14ac:dyDescent="0.15">
      <c r="A9" s="2">
        <v>7</v>
      </c>
      <c r="B9" s="27">
        <v>46150</v>
      </c>
      <c r="C9" s="3" t="s">
        <v>222</v>
      </c>
      <c r="D9" s="25" t="s">
        <v>251</v>
      </c>
    </row>
    <row r="10" spans="1:4" x14ac:dyDescent="0.15">
      <c r="A10" s="2"/>
      <c r="B10" s="27"/>
      <c r="C10" s="3"/>
      <c r="D10" s="25"/>
    </row>
    <row r="11" spans="1:4" x14ac:dyDescent="0.15">
      <c r="A11" s="2"/>
      <c r="B11" s="27"/>
      <c r="C11" s="3"/>
      <c r="D11" s="25"/>
    </row>
    <row r="12" spans="1:4" x14ac:dyDescent="0.15">
      <c r="A12" s="2"/>
      <c r="B12" s="27"/>
      <c r="C12" s="3"/>
      <c r="D12" s="25"/>
    </row>
    <row r="13" spans="1:4" x14ac:dyDescent="0.15">
      <c r="A13" s="2"/>
      <c r="B13" s="27"/>
      <c r="C13" s="3"/>
      <c r="D13" s="25"/>
    </row>
    <row r="14" spans="1:4" x14ac:dyDescent="0.15">
      <c r="A14" s="2"/>
      <c r="B14" s="27"/>
      <c r="C14" s="3"/>
      <c r="D14" s="25"/>
    </row>
    <row r="15" spans="1:4" x14ac:dyDescent="0.15">
      <c r="A15" s="2"/>
      <c r="B15" s="27"/>
      <c r="C15" s="3"/>
      <c r="D15" s="25"/>
    </row>
    <row r="16" spans="1:4" x14ac:dyDescent="0.15">
      <c r="A16" s="2"/>
      <c r="B16" s="27"/>
      <c r="C16" s="3"/>
      <c r="D16" s="25"/>
    </row>
    <row r="17" spans="1:4" x14ac:dyDescent="0.15">
      <c r="A17" s="2"/>
      <c r="B17" s="27"/>
      <c r="C17" s="3"/>
      <c r="D17" s="25"/>
    </row>
    <row r="18" spans="1:4" x14ac:dyDescent="0.15">
      <c r="A18" s="2"/>
      <c r="B18" s="27"/>
      <c r="C18" s="3"/>
      <c r="D18" s="25"/>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4"/>
  <sheetViews>
    <sheetView showGridLines="0" zoomScaleNormal="100" workbookViewId="0"/>
  </sheetViews>
  <sheetFormatPr defaultRowHeight="13.5" x14ac:dyDescent="0.15"/>
  <sheetData>
    <row r="2" spans="2:15" ht="24" x14ac:dyDescent="0.15">
      <c r="B2" s="52" t="s">
        <v>81</v>
      </c>
    </row>
    <row r="4" spans="2:15" ht="18.75" x14ac:dyDescent="0.15">
      <c r="B4" s="53" t="s">
        <v>162</v>
      </c>
    </row>
    <row r="6" spans="2:15" x14ac:dyDescent="0.15">
      <c r="B6" t="s">
        <v>229</v>
      </c>
    </row>
    <row r="7" spans="2:15" x14ac:dyDescent="0.15">
      <c r="B7" t="s">
        <v>160</v>
      </c>
    </row>
    <row r="9" spans="2:15" x14ac:dyDescent="0.15">
      <c r="B9" t="s">
        <v>157</v>
      </c>
    </row>
    <row r="11" spans="2:15" x14ac:dyDescent="0.15">
      <c r="B11" s="70" t="s">
        <v>158</v>
      </c>
      <c r="C11" s="66"/>
      <c r="D11" s="66"/>
      <c r="E11" s="66"/>
      <c r="F11" s="66"/>
      <c r="G11" s="66"/>
      <c r="H11" s="70" t="s">
        <v>80</v>
      </c>
      <c r="I11" s="66"/>
      <c r="J11" s="66"/>
      <c r="K11" s="66"/>
      <c r="L11" s="66"/>
      <c r="M11" s="66"/>
      <c r="N11" s="66"/>
      <c r="O11" s="64"/>
    </row>
    <row r="12" spans="2:15" x14ac:dyDescent="0.15">
      <c r="B12" s="59" t="s">
        <v>161</v>
      </c>
      <c r="C12" s="60"/>
      <c r="D12" s="60"/>
      <c r="E12" s="60"/>
      <c r="F12" s="60"/>
      <c r="G12" s="60"/>
      <c r="H12" s="59" t="s">
        <v>164</v>
      </c>
      <c r="I12" s="60"/>
      <c r="J12" s="60"/>
      <c r="K12" s="60"/>
      <c r="L12" s="60"/>
      <c r="M12" s="60"/>
      <c r="N12" s="60"/>
      <c r="O12" s="58"/>
    </row>
    <row r="13" spans="2:15" x14ac:dyDescent="0.15">
      <c r="B13" s="59" t="s">
        <v>159</v>
      </c>
      <c r="C13" s="60"/>
      <c r="D13" s="60"/>
      <c r="E13" s="60"/>
      <c r="F13" s="60"/>
      <c r="G13" s="60"/>
      <c r="H13" s="59" t="s">
        <v>166</v>
      </c>
      <c r="I13" s="60"/>
      <c r="J13" s="60"/>
      <c r="K13" s="60"/>
      <c r="L13" s="60"/>
      <c r="M13" s="60"/>
      <c r="N13" s="60"/>
      <c r="O13" s="58"/>
    </row>
    <row r="14" spans="2:15" x14ac:dyDescent="0.15">
      <c r="B14" s="59" t="s">
        <v>168</v>
      </c>
      <c r="C14" s="60"/>
      <c r="D14" s="60"/>
      <c r="E14" s="60"/>
      <c r="F14" s="60"/>
      <c r="G14" s="60"/>
      <c r="H14" s="59" t="s">
        <v>167</v>
      </c>
      <c r="I14" s="60"/>
      <c r="J14" s="60"/>
      <c r="K14" s="60"/>
      <c r="L14" s="60"/>
      <c r="M14" s="60"/>
      <c r="N14" s="60"/>
      <c r="O14" s="58"/>
    </row>
    <row r="15" spans="2:15" x14ac:dyDescent="0.15">
      <c r="B15" s="59" t="s">
        <v>169</v>
      </c>
      <c r="C15" s="60"/>
      <c r="D15" s="60"/>
      <c r="E15" s="60"/>
      <c r="F15" s="60"/>
      <c r="G15" s="60"/>
      <c r="H15" s="59" t="s">
        <v>165</v>
      </c>
      <c r="I15" s="60"/>
      <c r="J15" s="60"/>
      <c r="K15" s="60"/>
      <c r="L15" s="60"/>
      <c r="M15" s="60"/>
      <c r="N15" s="60"/>
      <c r="O15" s="58"/>
    </row>
    <row r="17" spans="2:2" ht="18.75" x14ac:dyDescent="0.15">
      <c r="B17" s="53" t="s">
        <v>163</v>
      </c>
    </row>
    <row r="19" spans="2:2" x14ac:dyDescent="0.15">
      <c r="B19" t="s">
        <v>205</v>
      </c>
    </row>
    <row r="20" spans="2:2" x14ac:dyDescent="0.15">
      <c r="B20" t="s">
        <v>182</v>
      </c>
    </row>
    <row r="21" spans="2:2" x14ac:dyDescent="0.15">
      <c r="B21" t="s">
        <v>170</v>
      </c>
    </row>
    <row r="22" spans="2:2" x14ac:dyDescent="0.15">
      <c r="B22" t="s">
        <v>171</v>
      </c>
    </row>
    <row r="23" spans="2:2" x14ac:dyDescent="0.15">
      <c r="B23" t="s">
        <v>172</v>
      </c>
    </row>
    <row r="25" spans="2:2" x14ac:dyDescent="0.15">
      <c r="B25" s="72" t="s">
        <v>218</v>
      </c>
    </row>
    <row r="26" spans="2:2" x14ac:dyDescent="0.15">
      <c r="B26" s="72" t="s">
        <v>219</v>
      </c>
    </row>
    <row r="32" spans="2:2" x14ac:dyDescent="0.15">
      <c r="B32" s="72" t="s">
        <v>214</v>
      </c>
    </row>
    <row r="34" spans="2:3" x14ac:dyDescent="0.15">
      <c r="B34" s="73" t="s">
        <v>215</v>
      </c>
    </row>
    <row r="35" spans="2:3" x14ac:dyDescent="0.15">
      <c r="B35" s="73"/>
    </row>
    <row r="36" spans="2:3" x14ac:dyDescent="0.15">
      <c r="B36" s="73" t="s">
        <v>216</v>
      </c>
      <c r="C36" s="68" t="s">
        <v>217</v>
      </c>
    </row>
    <row r="37" spans="2:3" x14ac:dyDescent="0.15">
      <c r="B37" s="49" t="s">
        <v>238</v>
      </c>
      <c r="C37" s="68"/>
    </row>
    <row r="38" spans="2:3" x14ac:dyDescent="0.15">
      <c r="B38" s="49" t="s">
        <v>239</v>
      </c>
      <c r="C38" s="68"/>
    </row>
    <row r="40" spans="2:3" x14ac:dyDescent="0.15">
      <c r="B40" t="s">
        <v>173</v>
      </c>
    </row>
    <row r="41" spans="2:3" x14ac:dyDescent="0.15">
      <c r="B41" t="s">
        <v>188</v>
      </c>
    </row>
    <row r="42" spans="2:3" x14ac:dyDescent="0.15">
      <c r="B42" t="s">
        <v>189</v>
      </c>
    </row>
    <row r="44" spans="2:3" x14ac:dyDescent="0.15">
      <c r="B44" t="s">
        <v>179</v>
      </c>
    </row>
    <row r="45" spans="2:3" x14ac:dyDescent="0.15">
      <c r="B45" t="s">
        <v>190</v>
      </c>
    </row>
    <row r="46" spans="2:3" x14ac:dyDescent="0.15">
      <c r="B46" t="s">
        <v>180</v>
      </c>
    </row>
    <row r="47" spans="2:3" x14ac:dyDescent="0.15">
      <c r="B47" t="s">
        <v>181</v>
      </c>
    </row>
    <row r="49" spans="2:6" x14ac:dyDescent="0.15">
      <c r="B49" t="s">
        <v>191</v>
      </c>
    </row>
    <row r="50" spans="2:6" x14ac:dyDescent="0.15">
      <c r="B50" t="s">
        <v>192</v>
      </c>
    </row>
    <row r="52" spans="2:6" x14ac:dyDescent="0.15">
      <c r="B52" t="s">
        <v>183</v>
      </c>
    </row>
    <row r="53" spans="2:6" x14ac:dyDescent="0.15">
      <c r="B53" t="s">
        <v>184</v>
      </c>
    </row>
    <row r="55" spans="2:6" ht="18.75" x14ac:dyDescent="0.15">
      <c r="B55" s="53" t="s">
        <v>174</v>
      </c>
    </row>
    <row r="57" spans="2:6" x14ac:dyDescent="0.15">
      <c r="B57" t="s">
        <v>175</v>
      </c>
    </row>
    <row r="59" spans="2:6" x14ac:dyDescent="0.15">
      <c r="B59" t="s">
        <v>176</v>
      </c>
    </row>
    <row r="60" spans="2:6" x14ac:dyDescent="0.15">
      <c r="B60" t="s">
        <v>82</v>
      </c>
    </row>
    <row r="62" spans="2:6" x14ac:dyDescent="0.15">
      <c r="C62" s="68" t="s">
        <v>134</v>
      </c>
      <c r="F62" t="s">
        <v>178</v>
      </c>
    </row>
    <row r="63" spans="2:6" x14ac:dyDescent="0.15">
      <c r="C63" s="68" t="s">
        <v>133</v>
      </c>
      <c r="F63" t="s">
        <v>177</v>
      </c>
    </row>
    <row r="64" spans="2:6" x14ac:dyDescent="0.15">
      <c r="C64" s="68" t="s">
        <v>132</v>
      </c>
      <c r="F64" t="s">
        <v>211</v>
      </c>
    </row>
  </sheetData>
  <phoneticPr fontId="2"/>
  <hyperlinks>
    <hyperlink ref="C62" location="基本設定!A1" display="　・基本設定" xr:uid="{7F93636E-EDB7-4D8B-9AB4-5954013BDFE5}"/>
    <hyperlink ref="C63" location="項目マッピング設定!A1" display="　・項目マッピング設定" xr:uid="{36AFA1D2-4033-40E6-A8CE-AA41593D6C5D}"/>
    <hyperlink ref="C64"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50"/>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4" t="s">
        <v>20</v>
      </c>
      <c r="B1" s="23"/>
      <c r="C1" s="24"/>
      <c r="D1" s="24"/>
      <c r="E1" s="24"/>
      <c r="F1" s="24"/>
      <c r="G1" s="24"/>
      <c r="H1" s="24"/>
      <c r="I1" s="24"/>
      <c r="J1" s="24"/>
      <c r="K1" s="24"/>
      <c r="L1" s="24"/>
      <c r="M1" s="24"/>
      <c r="N1" s="24"/>
      <c r="O1" s="24"/>
      <c r="P1" s="24"/>
      <c r="Q1" s="24"/>
      <c r="R1" s="24"/>
      <c r="S1" s="24"/>
      <c r="T1" s="45"/>
    </row>
    <row r="2" spans="1:20" x14ac:dyDescent="0.15">
      <c r="A2" s="7"/>
      <c r="B2" s="7"/>
    </row>
    <row r="3" spans="1:20" x14ac:dyDescent="0.15">
      <c r="A3" s="7"/>
      <c r="B3" s="7"/>
    </row>
    <row r="4" spans="1:20" x14ac:dyDescent="0.15">
      <c r="A4" s="7"/>
      <c r="B4" s="7"/>
      <c r="F4" s="39" t="s">
        <v>48</v>
      </c>
      <c r="G4" s="40">
        <v>1</v>
      </c>
    </row>
    <row r="5" spans="1:20" x14ac:dyDescent="0.15">
      <c r="A5" s="7"/>
      <c r="B5" s="7"/>
    </row>
    <row r="6" spans="1:20" x14ac:dyDescent="0.15">
      <c r="A6" s="7"/>
      <c r="B6" s="7"/>
    </row>
    <row r="7" spans="1:20" x14ac:dyDescent="0.15">
      <c r="A7" s="7"/>
      <c r="B7" s="7"/>
    </row>
    <row r="8" spans="1:20" x14ac:dyDescent="0.15">
      <c r="A8" s="7"/>
      <c r="B8" s="7"/>
      <c r="E8" s="39" t="s">
        <v>39</v>
      </c>
      <c r="G8" s="79" t="s">
        <v>185</v>
      </c>
      <c r="H8" s="80"/>
      <c r="I8" s="80"/>
      <c r="J8" s="80"/>
      <c r="K8" s="80"/>
      <c r="L8" s="80"/>
      <c r="M8" s="80"/>
      <c r="N8" s="80"/>
      <c r="O8" s="80"/>
      <c r="P8" s="81"/>
    </row>
    <row r="9" spans="1:20" ht="2.1" customHeight="1" x14ac:dyDescent="0.15">
      <c r="A9" s="7"/>
      <c r="B9" s="7"/>
    </row>
    <row r="10" spans="1:20" x14ac:dyDescent="0.15">
      <c r="A10" s="7"/>
      <c r="B10" s="7"/>
      <c r="E10" s="39" t="s">
        <v>42</v>
      </c>
      <c r="F10" s="39"/>
      <c r="G10" s="82" t="s">
        <v>46</v>
      </c>
      <c r="H10" s="83"/>
      <c r="I10" s="83"/>
      <c r="J10" s="84"/>
      <c r="N10" s="39"/>
      <c r="O10" s="39"/>
    </row>
    <row r="11" spans="1:20" x14ac:dyDescent="0.15">
      <c r="A11" s="7"/>
      <c r="B11" s="7"/>
      <c r="E11" s="39"/>
      <c r="F11" s="39"/>
      <c r="N11" s="39"/>
      <c r="O11" s="39"/>
    </row>
    <row r="12" spans="1:20" x14ac:dyDescent="0.15">
      <c r="A12" s="7"/>
      <c r="B12" s="7"/>
      <c r="E12" s="39" t="s">
        <v>40</v>
      </c>
      <c r="F12" s="39"/>
      <c r="J12" s="85" t="s">
        <v>43</v>
      </c>
      <c r="K12" s="85"/>
      <c r="L12" s="85"/>
      <c r="N12" s="39" t="s">
        <v>36</v>
      </c>
      <c r="O12" s="39"/>
    </row>
    <row r="13" spans="1:20" x14ac:dyDescent="0.15">
      <c r="A13" s="7"/>
      <c r="B13" s="7"/>
      <c r="G13" s="46" t="s">
        <v>34</v>
      </c>
      <c r="H13" s="46"/>
      <c r="I13" s="47"/>
      <c r="J13" s="46" t="s">
        <v>33</v>
      </c>
      <c r="K13" s="46"/>
      <c r="L13" s="46" t="s">
        <v>35</v>
      </c>
    </row>
    <row r="14" spans="1:20" x14ac:dyDescent="0.15">
      <c r="A14" s="7"/>
      <c r="B14" s="7"/>
      <c r="F14" s="48" t="s">
        <v>29</v>
      </c>
      <c r="G14" s="40" t="s">
        <v>78</v>
      </c>
      <c r="H14" s="39"/>
      <c r="I14" s="41"/>
      <c r="J14" s="40"/>
      <c r="K14" s="39"/>
      <c r="L14" s="40"/>
    </row>
    <row r="15" spans="1:20" ht="2.1" customHeight="1" x14ac:dyDescent="0.15">
      <c r="A15" s="7"/>
      <c r="B15" s="7"/>
      <c r="F15" s="48"/>
      <c r="G15" s="39"/>
      <c r="H15" s="39"/>
      <c r="I15" s="41"/>
      <c r="J15" s="40"/>
      <c r="K15" s="39"/>
    </row>
    <row r="16" spans="1:20" x14ac:dyDescent="0.15">
      <c r="A16" s="7"/>
      <c r="B16" s="7"/>
      <c r="F16" s="48" t="s">
        <v>31</v>
      </c>
      <c r="G16" s="40" t="s">
        <v>151</v>
      </c>
      <c r="H16" s="39"/>
      <c r="I16" s="41"/>
      <c r="J16" s="40"/>
      <c r="K16" s="39"/>
      <c r="L16" s="40"/>
      <c r="O16" s="39" t="s">
        <v>30</v>
      </c>
      <c r="P16" s="43" t="s">
        <v>4</v>
      </c>
    </row>
    <row r="17" spans="1:17" ht="2.1" customHeight="1" x14ac:dyDescent="0.15">
      <c r="A17" s="7"/>
      <c r="B17" s="7"/>
      <c r="F17" s="49"/>
      <c r="I17" s="42"/>
      <c r="L17" s="39"/>
      <c r="O17" s="39"/>
    </row>
    <row r="18" spans="1:17" x14ac:dyDescent="0.15">
      <c r="A18" s="7"/>
      <c r="B18" s="7"/>
      <c r="F18" s="48" t="s">
        <v>37</v>
      </c>
      <c r="G18" s="40" t="s">
        <v>152</v>
      </c>
      <c r="H18" s="39"/>
      <c r="I18" s="41"/>
      <c r="J18" s="40"/>
      <c r="K18" s="39"/>
      <c r="L18" s="40"/>
      <c r="O18" s="39" t="s">
        <v>10</v>
      </c>
      <c r="P18" s="40">
        <v>3</v>
      </c>
      <c r="Q18" s="39" t="s">
        <v>32</v>
      </c>
    </row>
    <row r="19" spans="1:17" ht="2.1" customHeight="1" x14ac:dyDescent="0.15">
      <c r="A19" s="7"/>
      <c r="B19" s="7"/>
      <c r="F19" s="49"/>
      <c r="I19" s="42"/>
      <c r="L19" s="39"/>
      <c r="O19" s="39"/>
    </row>
    <row r="20" spans="1:17" x14ac:dyDescent="0.15">
      <c r="A20" s="7"/>
      <c r="B20" s="7"/>
      <c r="F20" s="50" t="s">
        <v>41</v>
      </c>
      <c r="G20" s="39"/>
      <c r="H20" s="39"/>
      <c r="I20" s="41"/>
      <c r="J20" s="39"/>
      <c r="K20" s="39"/>
      <c r="L20" s="39"/>
      <c r="O20" s="39"/>
      <c r="P20" s="39"/>
      <c r="Q20" s="39"/>
    </row>
    <row r="21" spans="1:17" x14ac:dyDescent="0.15">
      <c r="A21" s="7"/>
      <c r="B21" s="7"/>
      <c r="E21" s="39" t="s">
        <v>153</v>
      </c>
      <c r="F21" s="48"/>
      <c r="G21" s="39"/>
      <c r="H21" s="39"/>
      <c r="I21" s="39"/>
      <c r="J21" s="39"/>
      <c r="K21" s="39"/>
      <c r="L21" s="39"/>
      <c r="O21" s="39"/>
      <c r="P21" s="39"/>
      <c r="Q21" s="39"/>
    </row>
    <row r="22" spans="1:17" x14ac:dyDescent="0.15">
      <c r="A22" s="7"/>
      <c r="B22" s="7"/>
      <c r="F22" s="48"/>
      <c r="G22" s="39"/>
      <c r="H22" s="39"/>
      <c r="I22" s="39"/>
      <c r="J22" s="39"/>
      <c r="K22" s="39"/>
      <c r="L22" s="39"/>
      <c r="O22" s="39"/>
      <c r="P22" s="39"/>
      <c r="Q22" s="39"/>
    </row>
    <row r="23" spans="1:17" x14ac:dyDescent="0.15">
      <c r="A23" s="7"/>
      <c r="B23" s="7"/>
      <c r="P23" s="39"/>
      <c r="Q23" s="39"/>
    </row>
    <row r="24" spans="1:17" x14ac:dyDescent="0.15">
      <c r="A24" s="7"/>
      <c r="B24" s="7"/>
    </row>
    <row r="25" spans="1:17" x14ac:dyDescent="0.15">
      <c r="A25" s="7"/>
      <c r="B25" s="7"/>
    </row>
    <row r="26" spans="1:17" x14ac:dyDescent="0.15">
      <c r="A26" s="7"/>
      <c r="B26" s="7"/>
    </row>
    <row r="27" spans="1:17" x14ac:dyDescent="0.15">
      <c r="A27" s="7"/>
      <c r="B27" s="7"/>
    </row>
    <row r="30" spans="1:17" ht="21" x14ac:dyDescent="0.15">
      <c r="C30" s="71" t="s">
        <v>231</v>
      </c>
    </row>
    <row r="32" spans="1:17" x14ac:dyDescent="0.15">
      <c r="C32" t="s">
        <v>230</v>
      </c>
    </row>
    <row r="34" spans="3:12" ht="17.25" x14ac:dyDescent="0.15">
      <c r="C34" s="54" t="s">
        <v>193</v>
      </c>
    </row>
    <row r="36" spans="3:12" x14ac:dyDescent="0.15">
      <c r="C36" t="s">
        <v>135</v>
      </c>
    </row>
    <row r="37" spans="3:12" x14ac:dyDescent="0.15">
      <c r="C37" t="s">
        <v>209</v>
      </c>
    </row>
    <row r="39" spans="3:12" x14ac:dyDescent="0.15">
      <c r="D39" t="s">
        <v>137</v>
      </c>
      <c r="G39" s="69" t="s">
        <v>140</v>
      </c>
      <c r="L39" t="s">
        <v>143</v>
      </c>
    </row>
    <row r="40" spans="3:12" x14ac:dyDescent="0.15">
      <c r="D40" t="s">
        <v>138</v>
      </c>
      <c r="G40" s="69" t="s">
        <v>141</v>
      </c>
    </row>
    <row r="41" spans="3:12" x14ac:dyDescent="0.15">
      <c r="D41" t="s">
        <v>139</v>
      </c>
      <c r="G41" s="69" t="s">
        <v>142</v>
      </c>
    </row>
    <row r="42" spans="3:12" x14ac:dyDescent="0.15">
      <c r="D42" t="s">
        <v>136</v>
      </c>
      <c r="G42" s="69" t="s">
        <v>144</v>
      </c>
    </row>
    <row r="45" spans="3:12" x14ac:dyDescent="0.15">
      <c r="D45" t="s">
        <v>145</v>
      </c>
      <c r="G45" t="s">
        <v>146</v>
      </c>
    </row>
    <row r="50" spans="3:3" x14ac:dyDescent="0.15">
      <c r="C50" t="s">
        <v>204</v>
      </c>
    </row>
    <row r="52" spans="3:3" x14ac:dyDescent="0.15">
      <c r="C52" t="s">
        <v>232</v>
      </c>
    </row>
    <row r="71" spans="3:4" ht="17.25" x14ac:dyDescent="0.15">
      <c r="C71" s="54" t="s">
        <v>194</v>
      </c>
    </row>
    <row r="73" spans="3:4" x14ac:dyDescent="0.15">
      <c r="C73" t="s">
        <v>206</v>
      </c>
    </row>
    <row r="74" spans="3:4" x14ac:dyDescent="0.15">
      <c r="C74" t="s">
        <v>224</v>
      </c>
    </row>
    <row r="75" spans="3:4" x14ac:dyDescent="0.15">
      <c r="C75" t="s">
        <v>223</v>
      </c>
    </row>
    <row r="76" spans="3:4" x14ac:dyDescent="0.15">
      <c r="C76" t="s">
        <v>250</v>
      </c>
    </row>
    <row r="78" spans="3:4" x14ac:dyDescent="0.15">
      <c r="D78" t="s">
        <v>145</v>
      </c>
    </row>
    <row r="84" spans="3:3" x14ac:dyDescent="0.15">
      <c r="C84" t="s">
        <v>148</v>
      </c>
    </row>
    <row r="85" spans="3:3" x14ac:dyDescent="0.15">
      <c r="C85" t="s">
        <v>225</v>
      </c>
    </row>
    <row r="86" spans="3:3" x14ac:dyDescent="0.15">
      <c r="C86" t="s">
        <v>226</v>
      </c>
    </row>
    <row r="101" spans="3:4" x14ac:dyDescent="0.15">
      <c r="C101" t="s">
        <v>207</v>
      </c>
    </row>
    <row r="102" spans="3:4" x14ac:dyDescent="0.15">
      <c r="C102" t="s">
        <v>149</v>
      </c>
    </row>
    <row r="104" spans="3:4" ht="17.25" x14ac:dyDescent="0.15">
      <c r="C104" s="54" t="s">
        <v>21</v>
      </c>
    </row>
    <row r="106" spans="3:4" x14ac:dyDescent="0.15">
      <c r="C106" t="s">
        <v>186</v>
      </c>
    </row>
    <row r="108" spans="3:4" x14ac:dyDescent="0.15">
      <c r="D108" t="s">
        <v>145</v>
      </c>
    </row>
    <row r="116" spans="3:4" ht="17.25" x14ac:dyDescent="0.15">
      <c r="C116" s="54" t="s">
        <v>195</v>
      </c>
    </row>
    <row r="118" spans="3:4" x14ac:dyDescent="0.15">
      <c r="C118" t="s">
        <v>208</v>
      </c>
    </row>
    <row r="119" spans="3:4" x14ac:dyDescent="0.15">
      <c r="C119" t="s">
        <v>187</v>
      </c>
    </row>
    <row r="121" spans="3:4" x14ac:dyDescent="0.15">
      <c r="D121" t="s">
        <v>145</v>
      </c>
    </row>
    <row r="127" spans="3:4" ht="17.25" x14ac:dyDescent="0.15">
      <c r="C127" s="54" t="s">
        <v>233</v>
      </c>
    </row>
    <row r="145" spans="3:15" ht="17.25" x14ac:dyDescent="0.15">
      <c r="C145" s="54" t="s">
        <v>196</v>
      </c>
    </row>
    <row r="147" spans="3:15" x14ac:dyDescent="0.15">
      <c r="C147" t="s">
        <v>197</v>
      </c>
    </row>
    <row r="149" spans="3:15" x14ac:dyDescent="0.15">
      <c r="C149" t="s">
        <v>198</v>
      </c>
      <c r="D149" t="s">
        <v>200</v>
      </c>
      <c r="L149" s="49" t="s">
        <v>150</v>
      </c>
      <c r="O149" t="s">
        <v>202</v>
      </c>
    </row>
    <row r="150" spans="3:15" x14ac:dyDescent="0.15">
      <c r="D150" t="s">
        <v>199</v>
      </c>
      <c r="L150" t="s">
        <v>150</v>
      </c>
      <c r="O150" t="s">
        <v>201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36"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6"/>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7" t="s">
        <v>73</v>
      </c>
      <c r="B1" s="67" t="s">
        <v>70</v>
      </c>
      <c r="C1" s="67" t="s">
        <v>80</v>
      </c>
    </row>
    <row r="2" spans="1:3" ht="27" x14ac:dyDescent="0.15">
      <c r="A2" s="2" t="s">
        <v>210</v>
      </c>
      <c r="B2" s="2" t="b">
        <v>1</v>
      </c>
      <c r="C2" s="25" t="s">
        <v>212</v>
      </c>
    </row>
    <row r="3" spans="1:3" ht="54" x14ac:dyDescent="0.15">
      <c r="A3" s="2" t="s">
        <v>83</v>
      </c>
      <c r="B3" s="2" t="b">
        <v>0</v>
      </c>
      <c r="C3" s="25" t="s">
        <v>89</v>
      </c>
    </row>
    <row r="4" spans="1:3" ht="27" x14ac:dyDescent="0.15">
      <c r="A4" s="2" t="s">
        <v>85</v>
      </c>
      <c r="B4" s="2" t="s">
        <v>84</v>
      </c>
      <c r="C4" s="25" t="s">
        <v>87</v>
      </c>
    </row>
    <row r="5" spans="1:3" ht="27" x14ac:dyDescent="0.15">
      <c r="A5" s="2" t="s">
        <v>86</v>
      </c>
      <c r="B5" s="2" t="s">
        <v>74</v>
      </c>
      <c r="C5" s="25" t="s">
        <v>88</v>
      </c>
    </row>
    <row r="6" spans="1:3" ht="40.5" x14ac:dyDescent="0.15">
      <c r="A6" s="2" t="s">
        <v>227</v>
      </c>
      <c r="B6" s="2" t="b">
        <v>1</v>
      </c>
      <c r="C6" s="25" t="s">
        <v>228</v>
      </c>
    </row>
  </sheetData>
  <phoneticPr fontId="2"/>
  <dataValidations count="1">
    <dataValidation type="list" allowBlank="1" showInputMessage="1" showErrorMessage="1" sqref="B2:B3 B6"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7" t="s">
        <v>92</v>
      </c>
      <c r="E1" s="7" t="s">
        <v>91</v>
      </c>
      <c r="H1" s="7" t="s">
        <v>62</v>
      </c>
    </row>
    <row r="2" spans="1:9" x14ac:dyDescent="0.15">
      <c r="A2" s="67" t="s">
        <v>33</v>
      </c>
      <c r="B2" s="86" t="s">
        <v>130</v>
      </c>
      <c r="C2" s="86"/>
      <c r="E2" s="67" t="s">
        <v>33</v>
      </c>
      <c r="F2" s="2" t="s">
        <v>131</v>
      </c>
      <c r="H2" s="67" t="s">
        <v>33</v>
      </c>
      <c r="I2" s="2" t="s">
        <v>147</v>
      </c>
    </row>
    <row r="3" spans="1:9" x14ac:dyDescent="0.15">
      <c r="A3" s="7"/>
      <c r="E3" s="67" t="s">
        <v>155</v>
      </c>
      <c r="F3" s="2">
        <v>15</v>
      </c>
      <c r="H3" s="67" t="s">
        <v>155</v>
      </c>
      <c r="I3" s="2">
        <v>5</v>
      </c>
    </row>
    <row r="4" spans="1:9" x14ac:dyDescent="0.15">
      <c r="A4" s="7"/>
    </row>
    <row r="6" spans="1:9" x14ac:dyDescent="0.15">
      <c r="A6" s="67" t="s">
        <v>71</v>
      </c>
      <c r="B6" s="67" t="s">
        <v>72</v>
      </c>
      <c r="C6" s="67" t="s">
        <v>75</v>
      </c>
      <c r="E6" s="67" t="s">
        <v>71</v>
      </c>
      <c r="F6" s="67" t="s">
        <v>72</v>
      </c>
      <c r="H6" s="67" t="s">
        <v>71</v>
      </c>
      <c r="I6" s="67" t="s">
        <v>72</v>
      </c>
    </row>
    <row r="7" spans="1:9" x14ac:dyDescent="0.15">
      <c r="A7" s="67" t="s">
        <v>48</v>
      </c>
      <c r="B7" s="2"/>
      <c r="C7" s="2"/>
      <c r="E7" s="67" t="s">
        <v>154</v>
      </c>
      <c r="F7" s="2" t="s">
        <v>53</v>
      </c>
      <c r="H7" s="67" t="s">
        <v>154</v>
      </c>
      <c r="I7" s="2" t="s">
        <v>64</v>
      </c>
    </row>
    <row r="8" spans="1:9" x14ac:dyDescent="0.15">
      <c r="A8" s="67" t="s">
        <v>29</v>
      </c>
      <c r="B8" s="2" t="s">
        <v>65</v>
      </c>
      <c r="C8" s="2">
        <v>1</v>
      </c>
      <c r="E8" s="67" t="s">
        <v>29</v>
      </c>
      <c r="F8" s="2"/>
      <c r="H8" s="67" t="s">
        <v>47</v>
      </c>
      <c r="I8" s="2" t="s">
        <v>65</v>
      </c>
    </row>
    <row r="9" spans="1:9" x14ac:dyDescent="0.15">
      <c r="A9" s="67" t="s">
        <v>49</v>
      </c>
      <c r="B9" s="2" t="s">
        <v>76</v>
      </c>
      <c r="C9" s="2">
        <v>3</v>
      </c>
      <c r="E9" s="67" t="s">
        <v>49</v>
      </c>
      <c r="F9" s="2"/>
      <c r="H9" s="67" t="s">
        <v>90</v>
      </c>
      <c r="I9" s="2" t="s">
        <v>60</v>
      </c>
    </row>
    <row r="10" spans="1:9" x14ac:dyDescent="0.15">
      <c r="A10" s="67" t="s">
        <v>51</v>
      </c>
      <c r="B10" s="2"/>
      <c r="C10" s="2"/>
      <c r="E10" s="67" t="s">
        <v>51</v>
      </c>
      <c r="F10" s="2"/>
      <c r="H10" s="67" t="s">
        <v>31</v>
      </c>
      <c r="I10" s="2" t="s">
        <v>66</v>
      </c>
    </row>
    <row r="11" spans="1:9" x14ac:dyDescent="0.15">
      <c r="A11" s="67" t="s">
        <v>55</v>
      </c>
      <c r="B11" s="2"/>
      <c r="C11" s="2"/>
      <c r="E11" s="67" t="s">
        <v>55</v>
      </c>
      <c r="F11" s="2"/>
      <c r="H11" s="67" t="s">
        <v>21</v>
      </c>
      <c r="I11" s="2" t="s">
        <v>67</v>
      </c>
    </row>
    <row r="12" spans="1:9" x14ac:dyDescent="0.15">
      <c r="A12" s="67" t="s">
        <v>56</v>
      </c>
      <c r="B12" s="2"/>
      <c r="C12" s="2"/>
      <c r="E12" s="67" t="s">
        <v>56</v>
      </c>
      <c r="F12" s="2"/>
      <c r="H12" s="67" t="s">
        <v>52</v>
      </c>
      <c r="I12" s="2" t="s">
        <v>68</v>
      </c>
    </row>
    <row r="13" spans="1:9" x14ac:dyDescent="0.15">
      <c r="A13" s="67" t="s">
        <v>50</v>
      </c>
      <c r="B13" s="2"/>
      <c r="C13" s="2"/>
      <c r="E13" s="67" t="s">
        <v>50</v>
      </c>
      <c r="F13" s="2" t="s">
        <v>54</v>
      </c>
      <c r="H13" s="67" t="s">
        <v>63</v>
      </c>
      <c r="I13" s="2" t="s">
        <v>69</v>
      </c>
    </row>
    <row r="14" spans="1:9" x14ac:dyDescent="0.15">
      <c r="A14" s="67" t="s">
        <v>57</v>
      </c>
      <c r="B14" s="2"/>
      <c r="C14" s="2"/>
      <c r="E14" s="67" t="s">
        <v>57</v>
      </c>
      <c r="F14" s="2" t="s">
        <v>58</v>
      </c>
    </row>
    <row r="15" spans="1:9" x14ac:dyDescent="0.15">
      <c r="A15" s="67" t="s">
        <v>77</v>
      </c>
      <c r="B15" s="2"/>
      <c r="C15" s="2"/>
      <c r="E15" s="67" t="s">
        <v>77</v>
      </c>
      <c r="F15" s="2" t="s">
        <v>59</v>
      </c>
    </row>
    <row r="16" spans="1:9" x14ac:dyDescent="0.15">
      <c r="A16" s="67" t="s">
        <v>31</v>
      </c>
      <c r="B16" s="2"/>
      <c r="C16" s="2"/>
      <c r="E16" s="67" t="s">
        <v>31</v>
      </c>
      <c r="F16" s="2" t="s">
        <v>60</v>
      </c>
    </row>
    <row r="17" spans="1:6" x14ac:dyDescent="0.15">
      <c r="A17" s="67" t="s">
        <v>52</v>
      </c>
      <c r="B17" s="2"/>
      <c r="C17" s="2"/>
      <c r="E17" s="67" t="s">
        <v>52</v>
      </c>
      <c r="F17" s="2" t="s">
        <v>61</v>
      </c>
    </row>
    <row r="19" spans="1:6" x14ac:dyDescent="0.15">
      <c r="A19" s="69" t="s">
        <v>156</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7" t="s">
        <v>79</v>
      </c>
      <c r="B1" s="67" t="s">
        <v>47</v>
      </c>
    </row>
    <row r="2" spans="1:2" x14ac:dyDescent="0.15">
      <c r="A2" s="75" t="s">
        <v>252</v>
      </c>
      <c r="B2" s="51" t="s">
        <v>240</v>
      </c>
    </row>
    <row r="3" spans="1:2" x14ac:dyDescent="0.15">
      <c r="A3" s="75" t="s">
        <v>253</v>
      </c>
      <c r="B3" s="51" t="s">
        <v>241</v>
      </c>
    </row>
    <row r="4" spans="1:2" x14ac:dyDescent="0.15">
      <c r="A4" s="75" t="s">
        <v>254</v>
      </c>
      <c r="B4" s="51" t="s">
        <v>242</v>
      </c>
    </row>
    <row r="5" spans="1:2" x14ac:dyDescent="0.15">
      <c r="A5" s="75" t="s">
        <v>255</v>
      </c>
      <c r="B5" s="51" t="s">
        <v>243</v>
      </c>
    </row>
    <row r="6" spans="1:2" x14ac:dyDescent="0.15">
      <c r="A6" s="75" t="s">
        <v>256</v>
      </c>
      <c r="B6" s="51" t="s">
        <v>244</v>
      </c>
    </row>
    <row r="7" spans="1:2" x14ac:dyDescent="0.15">
      <c r="A7" s="75" t="s">
        <v>257</v>
      </c>
      <c r="B7" s="51" t="s">
        <v>245</v>
      </c>
    </row>
    <row r="8" spans="1:2" x14ac:dyDescent="0.15">
      <c r="A8" s="75" t="s">
        <v>258</v>
      </c>
      <c r="B8" s="51" t="s">
        <v>246</v>
      </c>
    </row>
    <row r="9" spans="1:2" x14ac:dyDescent="0.15">
      <c r="A9" s="75" t="s">
        <v>259</v>
      </c>
      <c r="B9" s="51" t="s">
        <v>247</v>
      </c>
    </row>
    <row r="10" spans="1:2" x14ac:dyDescent="0.15">
      <c r="A10" s="75" t="s">
        <v>260</v>
      </c>
      <c r="B10" s="51" t="s">
        <v>248</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5" t="s">
        <v>93</v>
      </c>
    </row>
    <row r="3" spans="2:15" x14ac:dyDescent="0.15">
      <c r="B3" s="55" t="s">
        <v>94</v>
      </c>
    </row>
    <row r="4" spans="2:15" x14ac:dyDescent="0.15">
      <c r="B4" s="55" t="s">
        <v>95</v>
      </c>
    </row>
    <row r="7" spans="2:15" ht="17.25" x14ac:dyDescent="0.15">
      <c r="B7" s="56" t="s">
        <v>96</v>
      </c>
    </row>
    <row r="8" spans="2:15" x14ac:dyDescent="0.15">
      <c r="B8" s="55"/>
    </row>
    <row r="9" spans="2:15" x14ac:dyDescent="0.15">
      <c r="B9" s="55" t="s">
        <v>97</v>
      </c>
    </row>
    <row r="10" spans="2:15" x14ac:dyDescent="0.15">
      <c r="B10" s="55"/>
    </row>
    <row r="11" spans="2:15" x14ac:dyDescent="0.15">
      <c r="B11" s="65" t="s">
        <v>129</v>
      </c>
      <c r="C11" s="63"/>
      <c r="D11" s="61" t="s">
        <v>80</v>
      </c>
      <c r="E11" s="66"/>
      <c r="F11" s="66"/>
      <c r="G11" s="66"/>
      <c r="H11" s="66"/>
      <c r="I11" s="66"/>
      <c r="J11" s="66"/>
      <c r="K11" s="66"/>
      <c r="L11" s="66"/>
      <c r="M11" s="66"/>
      <c r="N11" s="66"/>
      <c r="O11" s="64"/>
    </row>
    <row r="12" spans="2:15" x14ac:dyDescent="0.15">
      <c r="B12" s="57" t="s">
        <v>92</v>
      </c>
      <c r="C12" s="58"/>
      <c r="D12" s="59" t="s">
        <v>99</v>
      </c>
      <c r="E12" s="60"/>
      <c r="F12" s="60"/>
      <c r="G12" s="60"/>
      <c r="H12" s="60"/>
      <c r="I12" s="60"/>
      <c r="J12" s="60"/>
      <c r="K12" s="60"/>
      <c r="L12" s="60"/>
      <c r="M12" s="60"/>
      <c r="N12" s="60"/>
      <c r="O12" s="58"/>
    </row>
    <row r="13" spans="2:15" x14ac:dyDescent="0.15">
      <c r="B13" s="57" t="s">
        <v>91</v>
      </c>
      <c r="C13" s="58"/>
      <c r="D13" s="59" t="s">
        <v>100</v>
      </c>
      <c r="E13" s="60"/>
      <c r="F13" s="60"/>
      <c r="G13" s="60"/>
      <c r="H13" s="60"/>
      <c r="I13" s="60"/>
      <c r="J13" s="60"/>
      <c r="K13" s="60"/>
      <c r="L13" s="60"/>
      <c r="M13" s="60"/>
      <c r="N13" s="60"/>
      <c r="O13" s="58"/>
    </row>
    <row r="14" spans="2:15" x14ac:dyDescent="0.15">
      <c r="B14" s="57" t="s">
        <v>102</v>
      </c>
      <c r="C14" s="58"/>
      <c r="D14" s="59" t="s">
        <v>101</v>
      </c>
      <c r="E14" s="60"/>
      <c r="F14" s="60"/>
      <c r="G14" s="60"/>
      <c r="H14" s="60"/>
      <c r="I14" s="60"/>
      <c r="J14" s="60"/>
      <c r="K14" s="60"/>
      <c r="L14" s="60"/>
      <c r="M14" s="60"/>
      <c r="N14" s="60"/>
      <c r="O14" s="58"/>
    </row>
    <row r="15" spans="2:15" x14ac:dyDescent="0.15">
      <c r="B15" s="55"/>
    </row>
    <row r="16" spans="2:15" x14ac:dyDescent="0.15">
      <c r="B16" s="55" t="s">
        <v>98</v>
      </c>
    </row>
    <row r="17" spans="2:2" x14ac:dyDescent="0.15">
      <c r="B17" s="55"/>
    </row>
    <row r="18" spans="2:2" x14ac:dyDescent="0.15">
      <c r="B18" s="55" t="s">
        <v>103</v>
      </c>
    </row>
    <row r="19" spans="2:2" x14ac:dyDescent="0.15">
      <c r="B19" s="55" t="s">
        <v>104</v>
      </c>
    </row>
    <row r="20" spans="2:2" x14ac:dyDescent="0.15">
      <c r="B20" s="55" t="s">
        <v>105</v>
      </c>
    </row>
    <row r="22" spans="2:2" x14ac:dyDescent="0.15">
      <c r="B22" s="55" t="s">
        <v>213</v>
      </c>
    </row>
    <row r="35" spans="2:15" x14ac:dyDescent="0.15">
      <c r="B35" t="s">
        <v>106</v>
      </c>
    </row>
    <row r="36" spans="2:15" x14ac:dyDescent="0.15">
      <c r="B36" t="s">
        <v>107</v>
      </c>
    </row>
    <row r="39" spans="2:15" ht="17.25" x14ac:dyDescent="0.15">
      <c r="B39" s="56" t="s">
        <v>108</v>
      </c>
    </row>
    <row r="41" spans="2:15" x14ac:dyDescent="0.15">
      <c r="B41" t="s">
        <v>109</v>
      </c>
    </row>
    <row r="43" spans="2:15" x14ac:dyDescent="0.15">
      <c r="B43" s="7" t="s">
        <v>110</v>
      </c>
    </row>
    <row r="44" spans="2:15" x14ac:dyDescent="0.15">
      <c r="B44" s="61" t="s">
        <v>71</v>
      </c>
      <c r="C44" s="62"/>
      <c r="D44" s="63"/>
      <c r="E44" s="61" t="s">
        <v>80</v>
      </c>
      <c r="F44" s="62"/>
      <c r="G44" s="62"/>
      <c r="H44" s="62"/>
      <c r="I44" s="62"/>
      <c r="J44" s="62"/>
      <c r="K44" s="62"/>
      <c r="L44" s="62"/>
      <c r="M44" s="62"/>
      <c r="N44" s="62"/>
      <c r="O44" s="63"/>
    </row>
    <row r="45" spans="2:15" x14ac:dyDescent="0.15">
      <c r="B45" s="59" t="s">
        <v>48</v>
      </c>
      <c r="C45" s="60"/>
      <c r="D45" s="58"/>
      <c r="E45" s="59" t="s">
        <v>122</v>
      </c>
      <c r="F45" s="60"/>
      <c r="G45" s="60"/>
      <c r="H45" s="60"/>
      <c r="I45" s="60"/>
      <c r="J45" s="60"/>
      <c r="K45" s="60"/>
      <c r="L45" s="60"/>
      <c r="M45" s="60"/>
      <c r="N45" s="60"/>
      <c r="O45" s="58"/>
    </row>
    <row r="46" spans="2:15" x14ac:dyDescent="0.15">
      <c r="B46" s="59" t="s">
        <v>29</v>
      </c>
      <c r="C46" s="60"/>
      <c r="D46" s="58"/>
      <c r="E46" s="59" t="s">
        <v>111</v>
      </c>
      <c r="F46" s="60"/>
      <c r="G46" s="60"/>
      <c r="H46" s="60"/>
      <c r="I46" s="60"/>
      <c r="J46" s="60"/>
      <c r="K46" s="60"/>
      <c r="L46" s="60"/>
      <c r="M46" s="60"/>
      <c r="N46" s="60"/>
      <c r="O46" s="58"/>
    </row>
    <row r="47" spans="2:15" x14ac:dyDescent="0.15">
      <c r="B47" s="59" t="s">
        <v>49</v>
      </c>
      <c r="C47" s="60"/>
      <c r="D47" s="58"/>
      <c r="E47" s="59" t="s">
        <v>112</v>
      </c>
      <c r="F47" s="60"/>
      <c r="G47" s="60"/>
      <c r="H47" s="60"/>
      <c r="I47" s="60"/>
      <c r="J47" s="60"/>
      <c r="K47" s="60"/>
      <c r="L47" s="60"/>
      <c r="M47" s="60"/>
      <c r="N47" s="60"/>
      <c r="O47" s="58"/>
    </row>
    <row r="48" spans="2:15" x14ac:dyDescent="0.15">
      <c r="B48" s="59" t="s">
        <v>51</v>
      </c>
      <c r="C48" s="60"/>
      <c r="D48" s="58"/>
      <c r="E48" s="59" t="s">
        <v>113</v>
      </c>
      <c r="F48" s="60"/>
      <c r="G48" s="60"/>
      <c r="H48" s="60"/>
      <c r="I48" s="60"/>
      <c r="J48" s="60"/>
      <c r="K48" s="60"/>
      <c r="L48" s="60"/>
      <c r="M48" s="60"/>
      <c r="N48" s="60"/>
      <c r="O48" s="58"/>
    </row>
    <row r="49" spans="2:15" x14ac:dyDescent="0.15">
      <c r="B49" s="59" t="s">
        <v>55</v>
      </c>
      <c r="C49" s="60"/>
      <c r="D49" s="58"/>
      <c r="E49" s="59" t="s">
        <v>114</v>
      </c>
      <c r="F49" s="60"/>
      <c r="G49" s="60"/>
      <c r="H49" s="60"/>
      <c r="I49" s="60"/>
      <c r="J49" s="60"/>
      <c r="K49" s="60"/>
      <c r="L49" s="60"/>
      <c r="M49" s="60"/>
      <c r="N49" s="60"/>
      <c r="O49" s="58"/>
    </row>
    <row r="50" spans="2:15" x14ac:dyDescent="0.15">
      <c r="B50" s="59" t="s">
        <v>56</v>
      </c>
      <c r="C50" s="60"/>
      <c r="D50" s="58"/>
      <c r="E50" s="59" t="s">
        <v>115</v>
      </c>
      <c r="F50" s="60"/>
      <c r="G50" s="60"/>
      <c r="H50" s="60"/>
      <c r="I50" s="60"/>
      <c r="J50" s="60"/>
      <c r="K50" s="60"/>
      <c r="L50" s="60"/>
      <c r="M50" s="60"/>
      <c r="N50" s="60"/>
      <c r="O50" s="58"/>
    </row>
    <row r="51" spans="2:15" x14ac:dyDescent="0.15">
      <c r="B51" s="59" t="s">
        <v>50</v>
      </c>
      <c r="C51" s="60"/>
      <c r="D51" s="58"/>
      <c r="E51" s="59" t="s">
        <v>123</v>
      </c>
      <c r="F51" s="60"/>
      <c r="G51" s="60"/>
      <c r="H51" s="60"/>
      <c r="I51" s="60"/>
      <c r="J51" s="60"/>
      <c r="K51" s="60"/>
      <c r="L51" s="60"/>
      <c r="M51" s="60"/>
      <c r="N51" s="60"/>
      <c r="O51" s="58"/>
    </row>
    <row r="52" spans="2:15" x14ac:dyDescent="0.15">
      <c r="B52" s="59" t="s">
        <v>57</v>
      </c>
      <c r="C52" s="60"/>
      <c r="D52" s="58"/>
      <c r="E52" s="59" t="s">
        <v>116</v>
      </c>
      <c r="F52" s="60"/>
      <c r="G52" s="60"/>
      <c r="H52" s="60"/>
      <c r="I52" s="60"/>
      <c r="J52" s="60"/>
      <c r="K52" s="60"/>
      <c r="L52" s="60"/>
      <c r="M52" s="60"/>
      <c r="N52" s="60"/>
      <c r="O52" s="58"/>
    </row>
    <row r="53" spans="2:15" x14ac:dyDescent="0.15">
      <c r="B53" s="59" t="s">
        <v>77</v>
      </c>
      <c r="C53" s="60"/>
      <c r="D53" s="58"/>
      <c r="E53" s="59" t="s">
        <v>117</v>
      </c>
      <c r="F53" s="60"/>
      <c r="G53" s="60"/>
      <c r="H53" s="60"/>
      <c r="I53" s="60"/>
      <c r="J53" s="60"/>
      <c r="K53" s="60"/>
      <c r="L53" s="60"/>
      <c r="M53" s="60"/>
      <c r="N53" s="60"/>
      <c r="O53" s="58"/>
    </row>
    <row r="54" spans="2:15" x14ac:dyDescent="0.15">
      <c r="B54" s="59" t="s">
        <v>31</v>
      </c>
      <c r="C54" s="60"/>
      <c r="D54" s="58"/>
      <c r="E54" s="59" t="s">
        <v>111</v>
      </c>
      <c r="F54" s="60"/>
      <c r="G54" s="60"/>
      <c r="H54" s="60"/>
      <c r="I54" s="60"/>
      <c r="J54" s="60"/>
      <c r="K54" s="60"/>
      <c r="L54" s="60"/>
      <c r="M54" s="60"/>
      <c r="N54" s="60"/>
      <c r="O54" s="58"/>
    </row>
    <row r="55" spans="2:15" x14ac:dyDescent="0.15">
      <c r="B55" s="59" t="s">
        <v>52</v>
      </c>
      <c r="C55" s="60"/>
      <c r="D55" s="58"/>
      <c r="E55" s="59" t="s">
        <v>111</v>
      </c>
      <c r="F55" s="60"/>
      <c r="G55" s="60"/>
      <c r="H55" s="60"/>
      <c r="I55" s="60"/>
      <c r="J55" s="60"/>
      <c r="K55" s="60"/>
      <c r="L55" s="60"/>
      <c r="M55" s="60"/>
      <c r="N55" s="60"/>
      <c r="O55" s="58"/>
    </row>
    <row r="57" spans="2:15" x14ac:dyDescent="0.15">
      <c r="B57" t="s">
        <v>126</v>
      </c>
    </row>
    <row r="60" spans="2:15" x14ac:dyDescent="0.15">
      <c r="B60" s="7" t="s">
        <v>118</v>
      </c>
    </row>
    <row r="61" spans="2:15" x14ac:dyDescent="0.15">
      <c r="B61" s="61" t="s">
        <v>71</v>
      </c>
      <c r="C61" s="62"/>
      <c r="D61" s="63"/>
      <c r="E61" s="61" t="s">
        <v>80</v>
      </c>
      <c r="F61" s="62"/>
      <c r="G61" s="62"/>
      <c r="H61" s="62"/>
      <c r="I61" s="62"/>
      <c r="J61" s="62"/>
      <c r="K61" s="62"/>
      <c r="L61" s="62"/>
      <c r="M61" s="62"/>
      <c r="N61" s="62"/>
      <c r="O61" s="63"/>
    </row>
    <row r="62" spans="2:15" x14ac:dyDescent="0.15">
      <c r="B62" s="59" t="s">
        <v>48</v>
      </c>
      <c r="C62" s="60"/>
      <c r="D62" s="58"/>
      <c r="E62" s="59" t="s">
        <v>122</v>
      </c>
      <c r="F62" s="60"/>
      <c r="G62" s="60"/>
      <c r="H62" s="60"/>
      <c r="I62" s="60"/>
      <c r="J62" s="60"/>
      <c r="K62" s="60"/>
      <c r="L62" s="60"/>
      <c r="M62" s="60"/>
      <c r="N62" s="60"/>
      <c r="O62" s="58"/>
    </row>
    <row r="63" spans="2:15" x14ac:dyDescent="0.15">
      <c r="B63" s="59" t="s">
        <v>47</v>
      </c>
      <c r="C63" s="60"/>
      <c r="D63" s="58"/>
      <c r="E63" s="59" t="s">
        <v>124</v>
      </c>
      <c r="F63" s="60"/>
      <c r="G63" s="60"/>
      <c r="H63" s="60"/>
      <c r="I63" s="60"/>
      <c r="J63" s="60"/>
      <c r="K63" s="60"/>
      <c r="L63" s="60"/>
      <c r="M63" s="60"/>
      <c r="N63" s="60"/>
      <c r="O63" s="58"/>
    </row>
    <row r="64" spans="2:15" x14ac:dyDescent="0.15">
      <c r="B64" s="59" t="s">
        <v>90</v>
      </c>
      <c r="C64" s="60"/>
      <c r="D64" s="58"/>
      <c r="E64" s="59" t="s">
        <v>119</v>
      </c>
      <c r="F64" s="60"/>
      <c r="G64" s="60"/>
      <c r="H64" s="60"/>
      <c r="I64" s="60"/>
      <c r="J64" s="60"/>
      <c r="K64" s="60"/>
      <c r="L64" s="60"/>
      <c r="M64" s="60"/>
      <c r="N64" s="60"/>
      <c r="O64" s="58"/>
    </row>
    <row r="65" spans="2:15" x14ac:dyDescent="0.15">
      <c r="B65" s="59" t="s">
        <v>31</v>
      </c>
      <c r="C65" s="60"/>
      <c r="D65" s="58"/>
      <c r="E65" s="59" t="s">
        <v>120</v>
      </c>
      <c r="F65" s="60"/>
      <c r="G65" s="60"/>
      <c r="H65" s="60"/>
      <c r="I65" s="60"/>
      <c r="J65" s="60"/>
      <c r="K65" s="60"/>
      <c r="L65" s="60"/>
      <c r="M65" s="60"/>
      <c r="N65" s="60"/>
      <c r="O65" s="58"/>
    </row>
    <row r="66" spans="2:15" x14ac:dyDescent="0.15">
      <c r="B66" s="59" t="s">
        <v>21</v>
      </c>
      <c r="C66" s="60"/>
      <c r="D66" s="58"/>
      <c r="E66" s="59" t="s">
        <v>121</v>
      </c>
      <c r="F66" s="60"/>
      <c r="G66" s="60"/>
      <c r="H66" s="60"/>
      <c r="I66" s="60"/>
      <c r="J66" s="60"/>
      <c r="K66" s="60"/>
      <c r="L66" s="60"/>
      <c r="M66" s="60"/>
      <c r="N66" s="60"/>
      <c r="O66" s="58"/>
    </row>
    <row r="67" spans="2:15" x14ac:dyDescent="0.15">
      <c r="B67" s="59" t="s">
        <v>52</v>
      </c>
      <c r="C67" s="60"/>
      <c r="D67" s="58"/>
      <c r="E67" s="59" t="s">
        <v>111</v>
      </c>
      <c r="F67" s="60"/>
      <c r="G67" s="60"/>
      <c r="H67" s="60"/>
      <c r="I67" s="60"/>
      <c r="J67" s="60"/>
      <c r="K67" s="60"/>
      <c r="L67" s="60"/>
      <c r="M67" s="60"/>
      <c r="N67" s="60"/>
      <c r="O67" s="58"/>
    </row>
    <row r="68" spans="2:15" x14ac:dyDescent="0.15">
      <c r="B68" s="59" t="s">
        <v>63</v>
      </c>
      <c r="C68" s="60"/>
      <c r="D68" s="58"/>
      <c r="E68" s="59" t="s">
        <v>125</v>
      </c>
      <c r="F68" s="60"/>
      <c r="G68" s="60"/>
      <c r="H68" s="60"/>
      <c r="I68" s="60"/>
      <c r="J68" s="60"/>
      <c r="K68" s="60"/>
      <c r="L68" s="60"/>
      <c r="M68" s="60"/>
      <c r="N68" s="60"/>
      <c r="O68" s="58"/>
    </row>
    <row r="70" spans="2:15" x14ac:dyDescent="0.15">
      <c r="B70" t="s">
        <v>128</v>
      </c>
    </row>
    <row r="71" spans="2:15" x14ac:dyDescent="0.15">
      <c r="B71" t="s">
        <v>127</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7" t="s">
        <v>13</v>
      </c>
      <c r="L1" s="31"/>
      <c r="U1" s="26" t="s">
        <v>22</v>
      </c>
    </row>
    <row r="2" spans="1:21" x14ac:dyDescent="0.15">
      <c r="A2" t="s">
        <v>38</v>
      </c>
      <c r="E2" s="18" t="s">
        <v>5</v>
      </c>
      <c r="F2" s="19"/>
      <c r="G2" s="19"/>
      <c r="H2" s="19"/>
      <c r="I2" s="20"/>
      <c r="L2" s="31"/>
    </row>
    <row r="3" spans="1:21" x14ac:dyDescent="0.15">
      <c r="A3" s="87" t="s">
        <v>12</v>
      </c>
      <c r="B3" s="87"/>
      <c r="C3" s="9" t="s">
        <v>14</v>
      </c>
      <c r="E3" s="8" t="s">
        <v>8</v>
      </c>
      <c r="F3" s="8" t="s">
        <v>6</v>
      </c>
      <c r="G3" s="4"/>
      <c r="H3" s="8" t="s">
        <v>7</v>
      </c>
      <c r="I3" s="9" t="s">
        <v>77</v>
      </c>
    </row>
    <row r="4" spans="1:21" x14ac:dyDescent="0.15">
      <c r="A4" s="86"/>
      <c r="B4" s="86"/>
      <c r="C4" s="2"/>
      <c r="E4" s="10"/>
      <c r="F4" s="11"/>
      <c r="G4" s="3" t="s">
        <v>24</v>
      </c>
      <c r="H4" s="11"/>
      <c r="I4" s="2"/>
    </row>
    <row r="6" spans="1:21" x14ac:dyDescent="0.15">
      <c r="A6" s="7" t="s">
        <v>10</v>
      </c>
    </row>
    <row r="7" spans="1:21" x14ac:dyDescent="0.15">
      <c r="B7" s="76" t="s">
        <v>252</v>
      </c>
      <c r="C7" s="76" t="s">
        <v>253</v>
      </c>
      <c r="D7" s="77" t="s">
        <v>254</v>
      </c>
      <c r="E7" s="77" t="s">
        <v>255</v>
      </c>
      <c r="F7" s="77" t="s">
        <v>256</v>
      </c>
      <c r="G7" s="77" t="s">
        <v>257</v>
      </c>
      <c r="H7" s="77" t="s">
        <v>258</v>
      </c>
      <c r="I7" s="77" t="s">
        <v>259</v>
      </c>
      <c r="J7" s="77" t="s">
        <v>260</v>
      </c>
    </row>
    <row r="8" spans="1:21" ht="27" x14ac:dyDescent="0.15">
      <c r="A8" s="9" t="s">
        <v>23</v>
      </c>
      <c r="B8" s="5" t="s">
        <v>240</v>
      </c>
      <c r="C8" s="5" t="s">
        <v>241</v>
      </c>
      <c r="D8" s="5" t="s">
        <v>242</v>
      </c>
      <c r="E8" s="6" t="s">
        <v>243</v>
      </c>
      <c r="F8" s="5" t="s">
        <v>244</v>
      </c>
      <c r="G8" s="5" t="s">
        <v>245</v>
      </c>
      <c r="H8" s="5" t="s">
        <v>246</v>
      </c>
      <c r="I8" s="5" t="s">
        <v>247</v>
      </c>
      <c r="J8" s="6" t="s">
        <v>249</v>
      </c>
      <c r="K8" s="17" t="s">
        <v>11</v>
      </c>
      <c r="L8" s="74"/>
      <c r="M8" s="74"/>
      <c r="N8" s="74"/>
      <c r="O8" s="74"/>
      <c r="P8" s="74"/>
      <c r="Q8" s="74"/>
      <c r="R8" s="74"/>
      <c r="S8" s="74"/>
      <c r="T8" s="74"/>
    </row>
    <row r="9" spans="1:21" x14ac:dyDescent="0.15">
      <c r="A9" s="9" t="s">
        <v>28</v>
      </c>
      <c r="B9" s="22" t="str">
        <f>IF(SUMIF($K15:$K16,$A9,L15:L16)=0,"",SUMIF($K15:$K16,$A9,L15:L16))</f>
        <v/>
      </c>
      <c r="C9" s="22" t="str">
        <f t="shared" ref="C9:J9" si="0">IF(SUMIF($K15:$K16,$A9,M15:M16)=0,"",SUMIF($K15:$K16,$A9,M15:M16))</f>
        <v/>
      </c>
      <c r="D9" s="22" t="str">
        <f t="shared" si="0"/>
        <v/>
      </c>
      <c r="E9" s="22" t="str">
        <f t="shared" si="0"/>
        <v/>
      </c>
      <c r="F9" s="22" t="str">
        <f t="shared" si="0"/>
        <v/>
      </c>
      <c r="G9" s="22" t="str">
        <f t="shared" si="0"/>
        <v/>
      </c>
      <c r="H9" s="22" t="str">
        <f t="shared" si="0"/>
        <v/>
      </c>
      <c r="I9" s="22" t="str">
        <f t="shared" si="0"/>
        <v/>
      </c>
      <c r="J9" s="22" t="str">
        <f t="shared" si="0"/>
        <v/>
      </c>
      <c r="K9" s="36">
        <f>SUM(B9:J9)</f>
        <v>0</v>
      </c>
      <c r="L9" s="7"/>
      <c r="M9" s="7"/>
      <c r="N9" s="7"/>
      <c r="O9" s="7"/>
      <c r="P9" s="7"/>
      <c r="Q9" s="7"/>
      <c r="R9" s="7"/>
      <c r="S9" s="7"/>
      <c r="T9" s="7"/>
    </row>
    <row r="10" spans="1:21" x14ac:dyDescent="0.15">
      <c r="A10" s="9" t="s">
        <v>27</v>
      </c>
      <c r="B10" s="22" t="str">
        <f>IF(SUMIF($K15:$K16,$A10,L15:L16)=0,"",SUMIF($K15:$K16,$A10,L15:L16))</f>
        <v/>
      </c>
      <c r="C10" s="22" t="str">
        <f t="shared" ref="C10:J10" si="1">IF(SUMIF($K15:$K16,$A10,M15:M16)=0,"",SUMIF($K15:$K16,$A10,M15:M16))</f>
        <v/>
      </c>
      <c r="D10" s="22" t="str">
        <f t="shared" si="1"/>
        <v/>
      </c>
      <c r="E10" s="22" t="str">
        <f t="shared" si="1"/>
        <v/>
      </c>
      <c r="F10" s="22" t="str">
        <f t="shared" si="1"/>
        <v/>
      </c>
      <c r="G10" s="22" t="str">
        <f t="shared" si="1"/>
        <v/>
      </c>
      <c r="H10" s="22" t="str">
        <f t="shared" si="1"/>
        <v/>
      </c>
      <c r="I10" s="22" t="str">
        <f t="shared" si="1"/>
        <v/>
      </c>
      <c r="J10" s="22" t="str">
        <f t="shared" si="1"/>
        <v/>
      </c>
      <c r="K10" s="36">
        <f>SUM(B10:J10)</f>
        <v>0</v>
      </c>
      <c r="L10" s="7"/>
      <c r="M10" s="7"/>
      <c r="N10" s="7"/>
      <c r="O10" s="7"/>
      <c r="P10" s="7"/>
      <c r="Q10" s="7"/>
      <c r="R10" s="7"/>
      <c r="S10" s="7"/>
      <c r="T10" s="7"/>
    </row>
    <row r="11" spans="1:21" x14ac:dyDescent="0.15">
      <c r="A11" s="35" t="s">
        <v>11</v>
      </c>
      <c r="B11" s="37">
        <f>SUM(B9:B10)</f>
        <v>0</v>
      </c>
      <c r="C11" s="37">
        <f t="shared" ref="C11:K11" si="2">SUM(C9:C10)</f>
        <v>0</v>
      </c>
      <c r="D11" s="37">
        <f t="shared" si="2"/>
        <v>0</v>
      </c>
      <c r="E11" s="37">
        <f t="shared" si="2"/>
        <v>0</v>
      </c>
      <c r="F11" s="37">
        <f t="shared" si="2"/>
        <v>0</v>
      </c>
      <c r="G11" s="37">
        <f t="shared" si="2"/>
        <v>0</v>
      </c>
      <c r="H11" s="37">
        <f t="shared" si="2"/>
        <v>0</v>
      </c>
      <c r="I11" s="37">
        <f t="shared" si="2"/>
        <v>0</v>
      </c>
      <c r="J11" s="37">
        <f t="shared" si="2"/>
        <v>0</v>
      </c>
      <c r="K11" s="37">
        <f t="shared" si="2"/>
        <v>0</v>
      </c>
    </row>
    <row r="12" spans="1:21" x14ac:dyDescent="0.15">
      <c r="A12" s="7"/>
      <c r="B12" s="38"/>
      <c r="C12" s="38"/>
      <c r="D12" s="38"/>
      <c r="E12" s="38"/>
      <c r="F12" s="38"/>
      <c r="G12" s="38"/>
      <c r="H12" s="38"/>
      <c r="I12" s="38"/>
      <c r="J12" s="38"/>
      <c r="K12" s="38"/>
    </row>
    <row r="13" spans="1:21" x14ac:dyDescent="0.15">
      <c r="A13" s="16" t="s">
        <v>9</v>
      </c>
      <c r="B13" s="1"/>
      <c r="C13" s="1"/>
      <c r="D13" s="1"/>
      <c r="F13" s="1"/>
      <c r="L13" s="31" t="s">
        <v>26</v>
      </c>
      <c r="M13" s="31"/>
      <c r="N13" s="31"/>
      <c r="O13" s="31"/>
      <c r="P13" s="31"/>
      <c r="Q13" s="31"/>
      <c r="R13" s="31"/>
      <c r="S13" s="31"/>
      <c r="T13" s="31"/>
    </row>
    <row r="14" spans="1:21" x14ac:dyDescent="0.15">
      <c r="A14" s="12" t="s">
        <v>25</v>
      </c>
      <c r="B14" s="12" t="s">
        <v>1</v>
      </c>
      <c r="C14" s="12" t="s">
        <v>2</v>
      </c>
      <c r="D14" s="12" t="s">
        <v>3</v>
      </c>
      <c r="E14" s="15" t="s">
        <v>0</v>
      </c>
      <c r="F14" s="33"/>
      <c r="G14" s="13"/>
      <c r="H14" s="13"/>
      <c r="I14" s="13"/>
      <c r="J14" s="14"/>
      <c r="K14" s="34" t="s">
        <v>23</v>
      </c>
      <c r="L14" s="78" t="s">
        <v>252</v>
      </c>
      <c r="M14" s="78" t="s">
        <v>253</v>
      </c>
      <c r="N14" s="78" t="s">
        <v>254</v>
      </c>
      <c r="O14" s="78" t="s">
        <v>255</v>
      </c>
      <c r="P14" s="78" t="s">
        <v>256</v>
      </c>
      <c r="Q14" s="78" t="s">
        <v>257</v>
      </c>
      <c r="R14" s="78" t="s">
        <v>258</v>
      </c>
      <c r="S14" s="78" t="s">
        <v>259</v>
      </c>
      <c r="T14" s="78" t="s">
        <v>260</v>
      </c>
    </row>
    <row r="15" spans="1:21" x14ac:dyDescent="0.15">
      <c r="A15" s="2"/>
      <c r="B15" s="2"/>
      <c r="C15" s="2"/>
      <c r="D15" s="2"/>
      <c r="E15" s="86"/>
      <c r="F15" s="86"/>
      <c r="G15" s="86"/>
      <c r="H15" s="86"/>
      <c r="I15" s="86"/>
      <c r="J15" s="86"/>
      <c r="K15" s="2"/>
      <c r="L15" s="32">
        <f t="shared" ref="L15:T16" si="3">IF($D15=L$14,1,0)</f>
        <v>0</v>
      </c>
      <c r="M15" s="32">
        <f t="shared" si="3"/>
        <v>0</v>
      </c>
      <c r="N15" s="32">
        <f t="shared" si="3"/>
        <v>0</v>
      </c>
      <c r="O15" s="32">
        <f t="shared" si="3"/>
        <v>0</v>
      </c>
      <c r="P15" s="32">
        <f t="shared" si="3"/>
        <v>0</v>
      </c>
      <c r="Q15" s="32">
        <f t="shared" si="3"/>
        <v>0</v>
      </c>
      <c r="R15" s="32">
        <f t="shared" si="3"/>
        <v>0</v>
      </c>
      <c r="S15" s="32">
        <f t="shared" si="3"/>
        <v>0</v>
      </c>
      <c r="T15" s="32">
        <f t="shared" si="3"/>
        <v>0</v>
      </c>
      <c r="U15" s="21" t="str">
        <f>IF(E15&lt;&gt;"",E15,"")</f>
        <v/>
      </c>
    </row>
    <row r="16" spans="1:21" x14ac:dyDescent="0.15">
      <c r="A16" s="2"/>
      <c r="B16" s="2"/>
      <c r="C16" s="2"/>
      <c r="D16" s="2"/>
      <c r="E16" s="86"/>
      <c r="F16" s="86"/>
      <c r="G16" s="86"/>
      <c r="H16" s="86"/>
      <c r="I16" s="86"/>
      <c r="J16" s="86"/>
      <c r="K16" s="2"/>
      <c r="L16" s="32">
        <f t="shared" si="3"/>
        <v>0</v>
      </c>
      <c r="M16" s="32">
        <f t="shared" si="3"/>
        <v>0</v>
      </c>
      <c r="N16" s="32">
        <f t="shared" si="3"/>
        <v>0</v>
      </c>
      <c r="O16" s="32">
        <f t="shared" si="3"/>
        <v>0</v>
      </c>
      <c r="P16" s="32">
        <f t="shared" si="3"/>
        <v>0</v>
      </c>
      <c r="Q16" s="32">
        <f t="shared" si="3"/>
        <v>0</v>
      </c>
      <c r="R16" s="32">
        <f t="shared" si="3"/>
        <v>0</v>
      </c>
      <c r="S16" s="32">
        <f t="shared" si="3"/>
        <v>0</v>
      </c>
      <c r="T16" s="32">
        <f t="shared" si="3"/>
        <v>0</v>
      </c>
      <c r="U16" s="21"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6" t="s">
        <v>45</v>
      </c>
    </row>
    <row r="2" spans="1:2" x14ac:dyDescent="0.15">
      <c r="A2" s="1" t="s">
        <v>44</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2026-05-08T04:55:33Z</dcterms:modified>
</cp:coreProperties>
</file>