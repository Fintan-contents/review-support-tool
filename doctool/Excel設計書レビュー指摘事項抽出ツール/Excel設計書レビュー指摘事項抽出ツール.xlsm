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70" yWindow="1170" windowWidth="38700" windowHeight="15345" tabRatio="600" firstSheet="0" activeTab="2" autoFilterDateGrouping="1"/>
  </bookViews>
  <sheets>
    <sheet name="改版履歴" sheetId="1" state="visible" r:id="rId1"/>
    <sheet name="利用ガイド" sheetId="2" state="visible" r:id="rId2"/>
    <sheet name="レビュー指摘事項抽出" sheetId="3" state="visible" r:id="rId3"/>
    <sheet name="基本設定" sheetId="4" state="visible" r:id="rId4"/>
    <sheet name="項目マッピング設定" sheetId="5" state="visible" r:id="rId5"/>
    <sheet name="指摘分類マッピング設定" sheetId="6" state="visible" r:id="rId6"/>
    <sheet name="これより右はツールが使用するシート" sheetId="7" state="visible" r:id="rId7"/>
    <sheet name="項目マッピング設定ガイド" sheetId="8" state="hidden" r:id="rId8"/>
    <sheet name="レビュー結果シートテンプレート" sheetId="9" state="visible" r:id="rId9"/>
    <sheet name="エラーシートテンプレート" sheetId="10" state="visible" r:id="rId10"/>
  </sheets>
  <definedNames>
    <definedName name="CONDITIONAL_CATEGORY">レビュー指摘事項抽出!$P$16</definedName>
    <definedName name="CONDITIONAL_COUNT">レビュー指摘事項抽出!$P$18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 name="_xlnm.Print_Area" localSheetId="2">'レビュー指摘事項抽出'!$A$1:$T$120</definedName>
    <definedName name="_xlnm.Print_Area" localSheetId="8">'レビュー結果シートテンプレート'!$A$1:$K$16</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0">
    <font>
      <name val="ＭＳ Ｐゴシック"/>
      <charset val="128"/>
      <family val="3"/>
      <sz val="11"/>
    </font>
    <font>
      <name val="ＭＳ Ｐゴシック"/>
      <charset val="128"/>
      <family val="3"/>
      <sz val="11"/>
    </font>
    <font>
      <name val="ＭＳ Ｐゴシック"/>
      <charset val="128"/>
      <family val="3"/>
      <sz val="6"/>
    </font>
    <font>
      <name val="MS UI Gothic"/>
      <charset val="128"/>
      <family val="3"/>
      <sz val="11"/>
    </font>
    <font>
      <name val="ＭＳ Ｐゴシック"/>
      <charset val="128"/>
      <family val="3"/>
      <b val="1"/>
      <sz val="11"/>
    </font>
    <font>
      <name val="MS UI Gothic"/>
      <charset val="128"/>
      <family val="3"/>
      <b val="1"/>
      <sz val="11"/>
    </font>
    <font>
      <name val="ＭＳ Ｐゴシック"/>
      <charset val="128"/>
      <family val="3"/>
      <color indexed="9"/>
      <sz val="11"/>
    </font>
    <font>
      <name val="ＭＳ Ｐゴシック"/>
      <charset val="128"/>
      <family val="3"/>
      <b val="1"/>
      <i val="1"/>
      <color indexed="9"/>
      <sz val="14"/>
    </font>
    <font>
      <name val="ＭＳ Ｐゴシック"/>
      <charset val="128"/>
      <family val="3"/>
      <i val="1"/>
      <color indexed="9"/>
      <sz val="14"/>
    </font>
    <font>
      <name val="ＭＳ Ｐゴシック"/>
      <charset val="128"/>
      <family val="3"/>
      <color indexed="10"/>
      <sz val="11"/>
    </font>
    <font>
      <name val="ＭＳ Ｐゴシック"/>
      <charset val="128"/>
      <family val="3"/>
      <sz val="8"/>
    </font>
    <font>
      <name val="ＭＳ Ｐゴシック"/>
      <charset val="128"/>
      <family val="3"/>
      <b val="1"/>
      <i val="1"/>
      <sz val="11"/>
    </font>
    <font>
      <name val="ＭＳ Ｐゴシック"/>
      <charset val="128"/>
      <family val="3"/>
      <sz val="9"/>
    </font>
    <font>
      <name val="HG丸ｺﾞｼｯｸM-PRO"/>
      <charset val="128"/>
      <family val="3"/>
      <b val="1"/>
      <color indexed="9"/>
      <sz val="14"/>
    </font>
    <font>
      <name val="Tahoma"/>
      <family val="2"/>
      <color indexed="9"/>
      <sz val="10"/>
    </font>
    <font>
      <name val="ＭＳ ゴシック"/>
      <charset val="128"/>
      <family val="3"/>
      <sz val="8"/>
    </font>
    <font>
      <name val="ＭＳ Ｐゴシック"/>
      <charset val="128"/>
      <family val="3"/>
      <color theme="0"/>
      <sz val="8"/>
    </font>
    <font>
      <name val="ＭＳ Ｐゴシック"/>
      <charset val="128"/>
      <family val="3"/>
      <sz val="11"/>
      <scheme val="minor"/>
    </font>
    <font>
      <name val="ＭＳ Ｐゴシック"/>
      <charset val="128"/>
      <family val="3"/>
      <color rgb="FF000000"/>
      <sz val="11"/>
    </font>
    <font>
      <name val="ＭＳ Ｐゴシック"/>
      <charset val="128"/>
      <family val="3"/>
      <color theme="10"/>
      <sz val="11"/>
      <u val="single"/>
    </font>
    <font>
      <name val="ＭＳ Ｐゴシック"/>
      <charset val="128"/>
      <family val="3"/>
      <b val="1"/>
      <sz val="20"/>
    </font>
    <font>
      <name val="ＭＳ Ｐゴシック"/>
      <charset val="128"/>
      <family val="3"/>
      <b val="1"/>
      <sz val="16"/>
    </font>
    <font>
      <name val="ＭＳ Ｐゴシック"/>
      <charset val="128"/>
      <family val="3"/>
      <b val="1"/>
      <sz val="14"/>
    </font>
    <font>
      <name val="ＭＳ Ｐゴシック"/>
      <charset val="128"/>
      <family val="3"/>
      <b val="1"/>
      <color rgb="FF000000"/>
      <sz val="11"/>
    </font>
    <font>
      <name val="ＭＳ Ｐゴシック"/>
      <charset val="128"/>
      <family val="3"/>
      <b val="1"/>
      <color rgb="FF000000"/>
      <sz val="14"/>
    </font>
    <font>
      <name val="ＭＳ Ｐゴシック"/>
      <charset val="128"/>
      <family val="3"/>
      <i val="1"/>
      <sz val="11"/>
    </font>
    <font>
      <name val="ＭＳ Ｐゴシック"/>
      <charset val="128"/>
      <family val="3"/>
      <b val="1"/>
      <color rgb="FFFF0000"/>
      <sz val="11"/>
    </font>
    <font>
      <name val="ＭＳ Ｐゴシック"/>
      <charset val="128"/>
      <family val="3"/>
      <color rgb="FF000000"/>
      <sz val="9"/>
    </font>
    <font>
      <name val="ＭＳ Ｐゴシック"/>
      <charset val="128"/>
      <family val="3"/>
      <b val="1"/>
      <sz val="18"/>
    </font>
    <font>
      <name val="ＭＳ Ｐゴシック"/>
      <charset val="128"/>
      <family val="3"/>
      <color rgb="FFFF0000"/>
      <sz val="11"/>
    </font>
  </fonts>
  <fills count="10">
    <fill>
      <patternFill/>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
        <bgColor indexed="64"/>
      </patternFill>
    </fill>
    <fill>
      <patternFill patternType="solid">
        <fgColor theme="6" tint="0.7999816888943144"/>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
      <left/>
      <right/>
      <top style="thin">
        <color indexed="64"/>
      </top>
      <bottom/>
      <diagonal/>
    </border>
    <border>
      <left/>
      <right style="thin">
        <color indexed="55"/>
      </right>
      <top style="thin">
        <color indexed="64"/>
      </top>
      <bottom/>
      <diagonal/>
    </border>
    <border>
      <left/>
      <right style="thin">
        <color indexed="64"/>
      </right>
      <top style="thin">
        <color indexed="64"/>
      </top>
      <bottom/>
      <diagonal/>
    </border>
  </borders>
  <cellStyleXfs count="2">
    <xf numFmtId="0" fontId="1" fillId="0" borderId="0" applyAlignment="1">
      <alignment vertical="center"/>
    </xf>
    <xf numFmtId="0" fontId="19" fillId="0" borderId="0" applyAlignment="1">
      <alignment vertical="center"/>
    </xf>
  </cellStyleXfs>
  <cellXfs count="101">
    <xf numFmtId="0" fontId="0" fillId="0" borderId="0" applyAlignment="1" pivotButton="0" quotePrefix="0" xfId="0">
      <alignment vertical="center"/>
    </xf>
    <xf numFmtId="0" fontId="0" fillId="0" borderId="0" applyAlignment="1" pivotButton="0" quotePrefix="0" xfId="0">
      <alignment vertical="center" wrapText="1"/>
    </xf>
    <xf numFmtId="0" fontId="0" fillId="0" borderId="1" applyAlignment="1" pivotButton="0" quotePrefix="0" xfId="0">
      <alignment vertical="center"/>
    </xf>
    <xf numFmtId="0" fontId="0" fillId="0" borderId="1" applyAlignment="1" pivotButton="0" quotePrefix="0" xfId="0">
      <alignment horizontal="center" vertical="center"/>
    </xf>
    <xf numFmtId="0" fontId="0" fillId="2" borderId="1" applyAlignment="1" pivotButton="0" quotePrefix="0" xfId="0">
      <alignment horizontal="center" vertical="center" wrapText="1"/>
    </xf>
    <xf numFmtId="0" fontId="0" fillId="2" borderId="1" applyAlignment="1" pivotButton="0" quotePrefix="0" xfId="0">
      <alignment horizontal="center" vertical="center"/>
    </xf>
    <xf numFmtId="0" fontId="3" fillId="2" borderId="1" applyAlignment="1" pivotButton="0" quotePrefix="0" xfId="0">
      <alignment vertical="center" wrapText="1"/>
    </xf>
    <xf numFmtId="0" fontId="3" fillId="2" borderId="1" applyAlignment="1" pivotButton="0" quotePrefix="0" xfId="0">
      <alignment vertical="center"/>
    </xf>
    <xf numFmtId="0" fontId="4" fillId="0" borderId="0" applyAlignment="1" pivotButton="0" quotePrefix="0" xfId="0">
      <alignment vertical="center"/>
    </xf>
    <xf numFmtId="0" fontId="1" fillId="2" borderId="1" applyAlignment="1" pivotButton="0" quotePrefix="0" xfId="0">
      <alignment vertical="center"/>
    </xf>
    <xf numFmtId="0" fontId="0" fillId="2" borderId="1" applyAlignment="1" pivotButton="0" quotePrefix="0" xfId="0">
      <alignment vertical="center"/>
    </xf>
    <xf numFmtId="14" fontId="0" fillId="0" borderId="1" applyAlignment="1" pivotButton="0" quotePrefix="0" xfId="0">
      <alignment vertical="center"/>
    </xf>
    <xf numFmtId="20" fontId="0" fillId="0" borderId="1" applyAlignment="1" pivotButton="0" quotePrefix="0" xfId="0">
      <alignment vertical="center"/>
    </xf>
    <xf numFmtId="0" fontId="0" fillId="3" borderId="1" applyAlignment="1" pivotButton="0" quotePrefix="0" xfId="0">
      <alignment vertical="center" wrapText="1"/>
    </xf>
    <xf numFmtId="0" fontId="0" fillId="3" borderId="2" applyAlignment="1" pivotButton="0" quotePrefix="0" xfId="0">
      <alignment vertical="center"/>
    </xf>
    <xf numFmtId="0" fontId="0" fillId="3" borderId="3" applyAlignment="1" pivotButton="0" quotePrefix="0" xfId="0">
      <alignment vertical="center"/>
    </xf>
    <xf numFmtId="0" fontId="0" fillId="3" borderId="4" applyAlignment="1" pivotButton="0" quotePrefix="0" xfId="0">
      <alignment vertical="center" wrapText="1"/>
    </xf>
    <xf numFmtId="0" fontId="4" fillId="0" borderId="0" applyAlignment="1" pivotButton="0" quotePrefix="0" xfId="0">
      <alignment vertical="center" wrapText="1"/>
    </xf>
    <xf numFmtId="0" fontId="5" fillId="2" borderId="1" applyAlignment="1" pivotButton="0" quotePrefix="0" xfId="0">
      <alignment vertical="center" wrapText="1"/>
    </xf>
    <xf numFmtId="0" fontId="1" fillId="2" borderId="4" applyAlignment="1" pivotButton="0" quotePrefix="0" xfId="0">
      <alignment vertical="center"/>
    </xf>
    <xf numFmtId="0" fontId="0" fillId="2" borderId="2" applyAlignment="1" pivotButton="0" quotePrefix="0" xfId="0">
      <alignment vertical="center"/>
    </xf>
    <xf numFmtId="0" fontId="0" fillId="2" borderId="3" applyAlignment="1" pivotButton="0" quotePrefix="0" xfId="0">
      <alignment vertical="center"/>
    </xf>
    <xf numFmtId="0" fontId="6" fillId="0" borderId="0" applyAlignment="1" pivotButton="0" quotePrefix="0" xfId="0">
      <alignment vertical="center" wrapText="1"/>
    </xf>
    <xf numFmtId="164" fontId="0" fillId="0" borderId="1" applyAlignment="1" pivotButton="0" quotePrefix="0" xfId="0">
      <alignment vertical="center"/>
    </xf>
    <xf numFmtId="0" fontId="7" fillId="5" borderId="0" applyAlignment="1" pivotButton="0" quotePrefix="0" xfId="0">
      <alignment vertical="center"/>
    </xf>
    <xf numFmtId="0" fontId="8" fillId="5" borderId="0" applyAlignment="1" pivotButton="0" quotePrefix="0" xfId="0">
      <alignment vertical="center"/>
    </xf>
    <xf numFmtId="0" fontId="0" fillId="0" borderId="1" applyAlignment="1" pivotButton="0" quotePrefix="0" xfId="0">
      <alignment vertical="center" wrapText="1"/>
    </xf>
    <xf numFmtId="0" fontId="6" fillId="6" borderId="0" applyAlignment="1" pivotButton="0" quotePrefix="0" xfId="0">
      <alignment horizontal="right" vertical="center"/>
    </xf>
    <xf numFmtId="0" fontId="9" fillId="0" borderId="0" applyAlignment="1" pivotButton="0" quotePrefix="0" xfId="0">
      <alignment vertical="center"/>
    </xf>
    <xf numFmtId="14" fontId="0" fillId="0" borderId="1" applyAlignment="1" pivotButton="0" quotePrefix="0" xfId="0">
      <alignment horizontal="center" vertical="center"/>
    </xf>
    <xf numFmtId="0" fontId="0" fillId="4" borderId="1" applyAlignment="1" pivotButton="0" quotePrefix="0" xfId="0">
      <alignment horizontal="left" vertical="center"/>
    </xf>
    <xf numFmtId="0" fontId="0" fillId="4" borderId="1" applyAlignment="1" pivotButton="0" quotePrefix="0" xfId="0">
      <alignment horizontal="center" vertical="center"/>
    </xf>
    <xf numFmtId="0" fontId="11" fillId="0" borderId="0" applyAlignment="1" pivotButton="0" quotePrefix="0" xfId="0">
      <alignment vertical="center"/>
    </xf>
    <xf numFmtId="0" fontId="6" fillId="0" borderId="0" applyAlignment="1" pivotButton="0" quotePrefix="0" xfId="0">
      <alignment vertical="center"/>
    </xf>
    <xf numFmtId="0" fontId="6" fillId="0" borderId="0" applyAlignment="1" pivotButton="0" quotePrefix="0" xfId="0">
      <alignment horizontal="right" vertical="center"/>
    </xf>
    <xf numFmtId="0" fontId="0" fillId="3" borderId="2" applyAlignment="1" pivotButton="0" quotePrefix="0" xfId="0">
      <alignment vertical="center" wrapText="1"/>
    </xf>
    <xf numFmtId="0" fontId="0" fillId="3" borderId="1" applyAlignment="1" pivotButton="0" quotePrefix="0" xfId="0">
      <alignment vertical="center"/>
    </xf>
    <xf numFmtId="0" fontId="4" fillId="2" borderId="1" applyAlignment="1" pivotButton="0" quotePrefix="0" xfId="0">
      <alignment vertical="center"/>
    </xf>
    <xf numFmtId="164" fontId="4" fillId="7" borderId="1" applyAlignment="1" pivotButton="0" quotePrefix="0" xfId="0">
      <alignment vertical="center"/>
    </xf>
    <xf numFmtId="164" fontId="4" fillId="7" borderId="1" applyAlignment="1" pivotButton="0" quotePrefix="0" xfId="0">
      <alignment vertical="center" wrapText="1"/>
    </xf>
    <xf numFmtId="164" fontId="4" fillId="0" borderId="0" applyAlignment="1" pivotButton="0" quotePrefix="0" xfId="0">
      <alignment vertical="center" wrapText="1"/>
    </xf>
    <xf numFmtId="0" fontId="10" fillId="0" borderId="0" applyAlignment="1" pivotButton="0" quotePrefix="0" xfId="0">
      <alignment vertical="center"/>
    </xf>
    <xf numFmtId="0" fontId="10" fillId="0" borderId="5" applyAlignment="1" pivotButton="0" quotePrefix="0" xfId="0">
      <alignment vertical="center"/>
    </xf>
    <xf numFmtId="0" fontId="10" fillId="0" borderId="6" applyAlignment="1" pivotButton="0" quotePrefix="0" xfId="0">
      <alignment vertical="center"/>
    </xf>
    <xf numFmtId="0" fontId="0" fillId="0" borderId="6" applyAlignment="1" pivotButton="0" quotePrefix="0" xfId="0">
      <alignment vertical="center"/>
    </xf>
    <xf numFmtId="0" fontId="12" fillId="0" borderId="5" applyAlignment="1" pivotButton="0" quotePrefix="0" xfId="0">
      <alignment horizontal="center" vertical="center"/>
    </xf>
    <xf numFmtId="0" fontId="13" fillId="5" borderId="0" applyAlignment="1" pivotButton="0" quotePrefix="0" xfId="0">
      <alignment vertical="center"/>
    </xf>
    <xf numFmtId="0" fontId="14" fillId="5" borderId="0" applyAlignment="1" pivotButton="0" quotePrefix="0" xfId="0">
      <alignment horizontal="right" vertical="center"/>
    </xf>
    <xf numFmtId="0" fontId="10" fillId="0" borderId="0" applyAlignment="1" pivotButton="0" quotePrefix="0" xfId="0">
      <alignment horizontal="center" vertical="center"/>
    </xf>
    <xf numFmtId="0" fontId="10" fillId="0" borderId="6" applyAlignment="1" pivotButton="0" quotePrefix="0" xfId="0">
      <alignment horizontal="center" vertical="center"/>
    </xf>
    <xf numFmtId="0" fontId="10" fillId="0" borderId="0" applyAlignment="1" pivotButton="0" quotePrefix="0" xfId="0">
      <alignment horizontal="left" vertical="center"/>
    </xf>
    <xf numFmtId="0" fontId="0" fillId="0" borderId="0" applyAlignment="1" pivotButton="0" quotePrefix="0" xfId="0">
      <alignment horizontal="left" vertical="center"/>
    </xf>
    <xf numFmtId="0" fontId="16" fillId="0" borderId="0" applyAlignment="1" pivotButton="0" quotePrefix="0" xfId="0">
      <alignment horizontal="left" vertical="center"/>
    </xf>
    <xf numFmtId="165" fontId="17" fillId="0" borderId="1" applyAlignment="1" pivotButton="0" quotePrefix="0" xfId="0">
      <alignment horizontal="left"/>
    </xf>
    <xf numFmtId="0" fontId="20" fillId="0" borderId="0" applyAlignment="1" pivotButton="0" quotePrefix="0" xfId="0">
      <alignment vertical="center"/>
    </xf>
    <xf numFmtId="0" fontId="21" fillId="0" borderId="0" applyAlignment="1" pivotButton="0" quotePrefix="0" xfId="0">
      <alignment vertical="center"/>
    </xf>
    <xf numFmtId="0" fontId="22" fillId="0" borderId="0" applyAlignment="1" pivotButton="0" quotePrefix="0" xfId="0">
      <alignment vertical="center"/>
    </xf>
    <xf numFmtId="0" fontId="18" fillId="0" borderId="0" applyAlignment="1" pivotButton="0" quotePrefix="0" xfId="0">
      <alignment vertical="center"/>
    </xf>
    <xf numFmtId="0" fontId="24" fillId="0" borderId="0" applyAlignment="1" pivotButton="0" quotePrefix="0" xfId="0">
      <alignment vertical="center"/>
    </xf>
    <xf numFmtId="0" fontId="18" fillId="0" borderId="4" applyAlignment="1" pivotButton="0" quotePrefix="0" xfId="0">
      <alignment vertical="center"/>
    </xf>
    <xf numFmtId="0" fontId="0" fillId="0" borderId="3" applyAlignment="1" pivotButton="0" quotePrefix="0" xfId="0">
      <alignment vertical="center"/>
    </xf>
    <xf numFmtId="0" fontId="0" fillId="0" borderId="4" applyAlignment="1" pivotButton="0" quotePrefix="0" xfId="0">
      <alignment vertical="center"/>
    </xf>
    <xf numFmtId="0" fontId="0" fillId="0" borderId="2" applyAlignment="1" pivotButton="0" quotePrefix="0" xfId="0">
      <alignment vertical="center"/>
    </xf>
    <xf numFmtId="0" fontId="4" fillId="8" borderId="4" applyAlignment="1" pivotButton="0" quotePrefix="0" xfId="0">
      <alignment vertical="center"/>
    </xf>
    <xf numFmtId="0" fontId="4" fillId="8" borderId="2" applyAlignment="1" pivotButton="0" quotePrefix="0" xfId="0">
      <alignment vertical="center"/>
    </xf>
    <xf numFmtId="0" fontId="4" fillId="8" borderId="3" applyAlignment="1" pivotButton="0" quotePrefix="0" xfId="0">
      <alignment vertical="center"/>
    </xf>
    <xf numFmtId="0" fontId="0" fillId="8" borderId="3" applyAlignment="1" pivotButton="0" quotePrefix="0" xfId="0">
      <alignment vertical="center"/>
    </xf>
    <xf numFmtId="0" fontId="23" fillId="8" borderId="4" applyAlignment="1" pivotButton="0" quotePrefix="0" xfId="0">
      <alignment vertical="center"/>
    </xf>
    <xf numFmtId="0" fontId="0" fillId="8" borderId="2" applyAlignment="1" pivotButton="0" quotePrefix="0" xfId="0">
      <alignment vertical="center"/>
    </xf>
    <xf numFmtId="0" fontId="4" fillId="9" borderId="1" applyAlignment="1" pivotButton="0" quotePrefix="0" xfId="0">
      <alignment vertical="center"/>
    </xf>
    <xf numFmtId="0" fontId="19" fillId="0" borderId="0" applyAlignment="1" pivotButton="0" quotePrefix="0" xfId="1">
      <alignment vertical="center"/>
    </xf>
    <xf numFmtId="0" fontId="25" fillId="0" borderId="0" applyAlignment="1" pivotButton="0" quotePrefix="0" xfId="0">
      <alignment vertical="center"/>
    </xf>
    <xf numFmtId="0" fontId="0" fillId="8" borderId="4" applyAlignment="1" pivotButton="0" quotePrefix="0" xfId="0">
      <alignment vertical="center"/>
    </xf>
    <xf numFmtId="0" fontId="28" fillId="0" borderId="0" applyAlignment="1" pivotButton="0" quotePrefix="0" xfId="0">
      <alignment vertical="center"/>
    </xf>
    <xf numFmtId="0" fontId="0" fillId="9" borderId="1" applyAlignment="1" pivotButton="0" quotePrefix="0" xfId="0">
      <alignment vertical="center"/>
    </xf>
    <xf numFmtId="0" fontId="29" fillId="0" borderId="0" applyAlignment="1" pivotButton="0" quotePrefix="0" xfId="0">
      <alignment vertical="center"/>
    </xf>
    <xf numFmtId="0" fontId="0" fillId="0" borderId="0" applyAlignment="1" pivotButton="0" quotePrefix="0" xfId="0">
      <alignment horizontal="right" vertical="center"/>
    </xf>
    <xf numFmtId="0" fontId="5" fillId="0" borderId="0" applyAlignment="1" pivotButton="0" quotePrefix="0" xfId="0">
      <alignment vertical="center" wrapText="1"/>
    </xf>
    <xf numFmtId="0" fontId="15" fillId="0" borderId="7" applyAlignment="1" pivotButton="0" quotePrefix="0" xfId="0">
      <alignment vertical="center" shrinkToFit="1"/>
    </xf>
    <xf numFmtId="0" fontId="15" fillId="0" borderId="8" applyAlignment="1" pivotButton="0" quotePrefix="0" xfId="0">
      <alignment vertical="center" shrinkToFit="1"/>
    </xf>
    <xf numFmtId="0" fontId="15" fillId="0" borderId="9" applyAlignment="1" pivotButton="0" quotePrefix="0" xfId="0">
      <alignment vertical="center" shrinkToFit="1"/>
    </xf>
    <xf numFmtId="0" fontId="10" fillId="0" borderId="4" applyAlignment="1" pivotButton="0" quotePrefix="0" xfId="0">
      <alignment vertical="center"/>
    </xf>
    <xf numFmtId="0" fontId="10" fillId="0" borderId="2" applyAlignment="1" pivotButton="0" quotePrefix="0" xfId="0">
      <alignment vertical="center"/>
    </xf>
    <xf numFmtId="0" fontId="10" fillId="0" borderId="3" applyAlignment="1" pivotButton="0" quotePrefix="0" xfId="0">
      <alignment vertical="center"/>
    </xf>
    <xf numFmtId="0" fontId="10" fillId="0" borderId="0" applyAlignment="1" pivotButton="0" quotePrefix="0" xfId="0">
      <alignment horizontal="center" vertical="center"/>
    </xf>
    <xf numFmtId="0" fontId="0" fillId="0" borderId="1" applyAlignment="1" pivotButton="0" quotePrefix="0" xfId="0">
      <alignment vertical="center"/>
    </xf>
    <xf numFmtId="0" fontId="0" fillId="2" borderId="1" applyAlignment="1" pivotButton="0" quotePrefix="0" xfId="0">
      <alignment vertical="center"/>
    </xf>
    <xf numFmtId="0" fontId="0" fillId="0" borderId="0" pivotButton="0" quotePrefix="0" xfId="0"/>
    <xf numFmtId="0" fontId="15" fillId="0" borderId="5" applyAlignment="1" pivotButton="0" quotePrefix="0" xfId="0">
      <alignment vertical="center" shrinkToFit="1"/>
    </xf>
    <xf numFmtId="0" fontId="0" fillId="0" borderId="8" pivotButton="0" quotePrefix="0" xfId="0"/>
    <xf numFmtId="0" fontId="0" fillId="0" borderId="9" pivotButton="0" quotePrefix="0" xfId="0"/>
    <xf numFmtId="0" fontId="10" fillId="0" borderId="1" applyAlignment="1" pivotButton="0" quotePrefix="0" xfId="0">
      <alignment vertical="center"/>
    </xf>
    <xf numFmtId="0" fontId="0" fillId="0" borderId="2" pivotButton="0" quotePrefix="0" xfId="0"/>
    <xf numFmtId="0" fontId="0" fillId="0" borderId="3" pivotButton="0" quotePrefix="0" xfId="0"/>
    <xf numFmtId="0" fontId="1" fillId="0" borderId="1" applyAlignment="1" pivotButton="0" quotePrefix="0" xfId="0">
      <alignment vertical="center"/>
    </xf>
    <xf numFmtId="0" fontId="1" fillId="0" borderId="1" applyAlignment="1" pivotButton="0" quotePrefix="0" xfId="0">
      <alignment vertical="center" wrapText="1"/>
    </xf>
    <xf numFmtId="165" fontId="17" fillId="0" borderId="1" applyAlignment="1" pivotButton="0" quotePrefix="0" xfId="0">
      <alignment horizontal="left"/>
    </xf>
    <xf numFmtId="164" fontId="0" fillId="0" borderId="1" applyAlignment="1" pivotButton="0" quotePrefix="0" xfId="0">
      <alignment vertical="center"/>
    </xf>
    <xf numFmtId="164" fontId="4" fillId="7" borderId="1" applyAlignment="1" pivotButton="0" quotePrefix="0" xfId="0">
      <alignment vertical="center"/>
    </xf>
    <xf numFmtId="164" fontId="4" fillId="7" borderId="1" applyAlignment="1" pivotButton="0" quotePrefix="0" xfId="0">
      <alignment vertical="center" wrapText="1"/>
    </xf>
    <xf numFmtId="164" fontId="4" fillId="0" borderId="0" applyAlignment="1" pivotButton="0" quotePrefix="0" xfId="0">
      <alignment vertical="center" wrapText="1"/>
    </xf>
  </cellXfs>
  <cellStyles count="2">
    <cellStyle name="標準" xfId="0" builtinId="0"/>
    <cellStyle name="ハイパーリンク" xfId="1" builtinId="8"/>
  </cellStyles>
  <dxfs count="1">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 Type="http://schemas.openxmlformats.org/officeDocument/2006/relationships/image" Target="/xl/media/image4.png" Id="rId2" /><Relationship Type="http://schemas.openxmlformats.org/officeDocument/2006/relationships/image" Target="/xl/media/image5.png" Id="rId3" /><Relationship Type="http://schemas.openxmlformats.org/officeDocument/2006/relationships/image" Target="/xl/media/image6.png" Id="rId4" /><Relationship Type="http://schemas.openxmlformats.org/officeDocument/2006/relationships/image" Target="/xl/media/image7.png" Id="rId5" /></Relationships>
</file>

<file path=xl/drawings/_rels/drawing3.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4.xml.rels><Relationships xmlns="http://schemas.openxmlformats.org/package/2006/relationships"><Relationship Type="http://schemas.openxmlformats.org/officeDocument/2006/relationships/image" Target="/xl/media/image10.png" Id="rId1" /></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33</row>
      <rowOff>0</rowOff>
    </from>
    <to>
      <col>11</col>
      <colOff>324757</colOff>
      <row>34</row>
      <rowOff>161972</rowOff>
    </to>
    <pic>
      <nvPicPr>
        <cNvPr id="2" name="図 1"/>
        <cNvPicPr>
          <a:picLocks noChangeAspect="1"/>
        </cNvPicPr>
      </nvPicPr>
      <blipFill>
        <a:blip r:embed="rId1"/>
        <a:stretch>
          <a:fillRect/>
        </a:stretch>
      </blipFill>
      <spPr>
        <a:xfrm>
          <a:off x="1371600" y="4724400"/>
          <a:ext cx="6496957" cy="333422"/>
        </a:xfrm>
        <a:prstGeom prst="rect">
          <avLst/>
        </a:prstGeom>
        <a:ln>
          <a:prstDash val="solid"/>
        </a:ln>
      </spPr>
    </pic>
    <clientData/>
  </twoCellAnchor>
  <twoCellAnchor editAs="oneCell">
    <from>
      <col>1</col>
      <colOff>0</colOff>
      <row>27</row>
      <rowOff>0</rowOff>
    </from>
    <to>
      <col>15</col>
      <colOff>191867</colOff>
      <row>29</row>
      <rowOff>95311</rowOff>
    </to>
    <pic>
      <nvPicPr>
        <cNvPr id="4" name="図 3"/>
        <cNvPicPr>
          <a:picLocks noChangeAspect="1"/>
        </cNvPicPr>
      </nvPicPr>
      <blipFill>
        <a:blip r:embed="rId2"/>
        <a:stretch>
          <a:fillRect/>
        </a:stretch>
      </blipFill>
      <spPr>
        <a:xfrm>
          <a:off x="685800" y="4552950"/>
          <a:ext cx="9793067" cy="438211"/>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3</col>
      <colOff>352425</colOff>
      <row>41</row>
      <rowOff>104775</rowOff>
    </from>
    <to>
      <col>5</col>
      <colOff>752714</colOff>
      <row>46</row>
      <rowOff>162053</rowOff>
    </to>
    <pic>
      <nvPicPr>
        <cNvPr id="2" name="図 1"/>
        <cNvPicPr>
          <a:picLocks noChangeAspect="1"/>
        </cNvPicPr>
      </nvPicPr>
      <blipFill>
        <a:blip r:embed="rId1"/>
        <a:stretch>
          <a:fillRect/>
        </a:stretch>
      </blipFill>
      <spPr>
        <a:xfrm>
          <a:off x="1514475" y="6553200"/>
          <a:ext cx="1714739" cy="914528"/>
        </a:xfrm>
        <a:prstGeom prst="rect">
          <avLst/>
        </a:prstGeom>
        <a:ln>
          <a:prstDash val="solid"/>
        </a:ln>
      </spPr>
    </pic>
    <clientData/>
  </twoCellAnchor>
  <twoCellAnchor editAs="oneCell">
    <from>
      <col>9</col>
      <colOff>152400</colOff>
      <row>41</row>
      <rowOff>85725</rowOff>
    </from>
    <to>
      <col>12</col>
      <colOff>352648</colOff>
      <row>47</row>
      <rowOff>132</rowOff>
    </to>
    <pic>
      <nvPicPr>
        <cNvPr id="4" name="図 3"/>
        <cNvPicPr>
          <a:picLocks noChangeAspect="1"/>
        </cNvPicPr>
      </nvPicPr>
      <blipFill>
        <a:blip r:embed="rId2"/>
        <a:stretch>
          <a:fillRect/>
        </a:stretch>
      </blipFill>
      <spPr>
        <a:xfrm>
          <a:off x="4219575" y="6534150"/>
          <a:ext cx="1600423" cy="943107"/>
        </a:xfrm>
        <a:prstGeom prst="rect">
          <avLst/>
        </a:prstGeom>
        <a:ln>
          <a:prstDash val="solid"/>
        </a:ln>
      </spPr>
    </pic>
    <clientData/>
  </twoCellAnchor>
  <twoCellAnchor editAs="oneCell">
    <from>
      <col>3</col>
      <colOff>304800</colOff>
      <row>56</row>
      <rowOff>104775</rowOff>
    </from>
    <to>
      <col>5</col>
      <colOff>809879</colOff>
      <row>62</row>
      <rowOff>19182</rowOff>
    </to>
    <pic>
      <nvPicPr>
        <cNvPr id="5" name="図 4"/>
        <cNvPicPr>
          <a:picLocks noChangeAspect="1"/>
        </cNvPicPr>
      </nvPicPr>
      <blipFill>
        <a:blip r:embed="rId3"/>
        <a:stretch>
          <a:fillRect/>
        </a:stretch>
      </blipFill>
      <spPr>
        <a:xfrm>
          <a:off x="1466850" y="8486775"/>
          <a:ext cx="1819529" cy="943107"/>
        </a:xfrm>
        <a:prstGeom prst="rect">
          <avLst/>
        </a:prstGeom>
        <a:ln>
          <a:prstDash val="solid"/>
        </a:ln>
      </spPr>
    </pic>
    <clientData/>
  </twoCellAnchor>
  <twoCellAnchor editAs="oneCell">
    <from>
      <col>3</col>
      <colOff>428625</colOff>
      <row>87</row>
      <rowOff>47625</rowOff>
    </from>
    <to>
      <col>5</col>
      <colOff>695546</colOff>
      <row>92</row>
      <rowOff>57271</rowOff>
    </to>
    <pic>
      <nvPicPr>
        <cNvPr id="7" name="図 6"/>
        <cNvPicPr>
          <a:picLocks noChangeAspect="1"/>
        </cNvPicPr>
      </nvPicPr>
      <blipFill>
        <a:blip r:embed="rId4"/>
        <a:stretch>
          <a:fillRect/>
        </a:stretch>
      </blipFill>
      <spPr>
        <a:xfrm>
          <a:off x="1590675" y="14401800"/>
          <a:ext cx="1581371" cy="866896"/>
        </a:xfrm>
        <a:prstGeom prst="rect">
          <avLst/>
        </a:prstGeom>
        <a:ln>
          <a:prstDash val="solid"/>
        </a:ln>
      </spPr>
    </pic>
    <clientData/>
  </twoCellAnchor>
  <twoCellAnchor editAs="oneCell">
    <from>
      <col>3</col>
      <colOff>457200</colOff>
      <row>100</row>
      <rowOff>9525</rowOff>
    </from>
    <to>
      <col>5</col>
      <colOff>762226</colOff>
      <row>105</row>
      <rowOff>38224</rowOff>
    </to>
    <pic>
      <nvPicPr>
        <cNvPr id="8" name="図 7"/>
        <cNvPicPr>
          <a:picLocks noChangeAspect="1"/>
        </cNvPicPr>
      </nvPicPr>
      <blipFill>
        <a:blip r:embed="rId5"/>
        <a:stretch>
          <a:fillRect/>
        </a:stretch>
      </blipFill>
      <spPr>
        <a:xfrm>
          <a:off x="1619250" y="16640175"/>
          <a:ext cx="1619476" cy="885949"/>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571500</colOff>
      <row>16</row>
      <rowOff>114300</rowOff>
    </from>
    <to>
      <col>1</col>
      <colOff>1448022</colOff>
      <row>22</row>
      <rowOff>28707</rowOff>
    </to>
    <pic>
      <nvPicPr>
        <cNvPr id="5" name="図 4"/>
        <cNvPicPr>
          <a:picLocks noChangeAspect="1"/>
        </cNvPicPr>
      </nvPicPr>
      <blipFill>
        <a:blip r:embed="rId1"/>
        <a:stretch>
          <a:fillRect/>
        </a:stretch>
      </blipFill>
      <spPr>
        <a:xfrm>
          <a:off x="571500" y="2857500"/>
          <a:ext cx="1590897" cy="943107"/>
        </a:xfrm>
        <a:prstGeom prst="rect">
          <avLst/>
        </a:prstGeom>
        <a:ln>
          <a:prstDash val="solid"/>
        </a:ln>
      </spPr>
    </pic>
    <clientData/>
  </twoCellAnchor>
  <twoCellAnchor editAs="oneCell">
    <from>
      <col>1</col>
      <colOff>1971675</colOff>
      <row>17</row>
      <rowOff>123825</rowOff>
    </from>
    <to>
      <col>6</col>
      <colOff>76644</colOff>
      <row>20</row>
      <rowOff>57212</rowOff>
    </to>
    <pic>
      <nvPicPr>
        <cNvPr id="3" name="図 2"/>
        <cNvPicPr>
          <a:picLocks noChangeAspect="1"/>
        </cNvPicPr>
      </nvPicPr>
      <blipFill>
        <a:blip r:embed="rId2"/>
        <a:stretch>
          <a:fillRect/>
        </a:stretch>
      </blipFill>
      <spPr>
        <a:xfrm>
          <a:off x="2686050" y="3038475"/>
          <a:ext cx="3181794" cy="447737"/>
        </a:xfrm>
        <a:prstGeom prst="rect">
          <avLst/>
        </a:prstGeom>
        <a:ln>
          <a:solidFill>
            <a:schemeClr val="tx1"/>
          </a:solid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38100</colOff>
      <row>23</row>
      <rowOff>28574</rowOff>
    </from>
    <to>
      <col>15</col>
      <colOff>464192</colOff>
      <row>32</row>
      <rowOff>76199</rowOff>
    </to>
    <pic>
      <nvPicPr>
        <cNvPr id="2" name="図 1"/>
        <cNvPicPr>
          <a:picLocks noChangeAspect="1"/>
        </cNvPicPr>
      </nvPicPr>
      <blipFill>
        <a:blip r:embed="rId1"/>
        <a:stretch>
          <a:fillRect/>
        </a:stretch>
      </blipFill>
      <spPr>
        <a:xfrm>
          <a:off x="723900" y="3848099"/>
          <a:ext cx="10027292" cy="1590675"/>
        </a:xfrm>
        <a:prstGeom prst="rect">
          <avLst/>
        </a:prstGeom>
        <a:ln w="19050">
          <a:solidFill>
            <a:schemeClr val="tx1"/>
          </a:solidFill>
          <a:prstDash val="solid"/>
        </a:ln>
      </spPr>
    </pic>
    <clientData/>
  </twoCellAnchor>
</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 Id="rId1" /><Relationship Type="http://schemas.openxmlformats.org/officeDocument/2006/relationships/drawing" Target="/xl/drawings/drawing1.xml" Id="rId2" /></Relationships>
</file>

<file path=xl/worksheets/_rels/sheet3.xml.rels><Relationships xmlns="http://schemas.openxmlformats.org/package/2006/relationships"><Relationship Type="http://schemas.openxmlformats.org/officeDocument/2006/relationships/drawing" Target="/xl/drawings/drawing2.xml" Id="rId1"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vmlDrawing" Target="/xl/drawings/vmlDrawing2.vml" Id="anysvml" /></Relationships>
</file>

<file path=xl/worksheets/_rels/sheet6.xml.rels><Relationships xmlns="http://schemas.openxmlformats.org/package/2006/relationships"><Relationship Type="http://schemas.openxmlformats.org/officeDocument/2006/relationships/drawing" Target="/xl/drawings/drawing3.xml" Id="rId1" /></Relationships>
</file>

<file path=xl/worksheets/_rels/sheet8.xml.rels><Relationships xmlns="http://schemas.openxmlformats.org/package/2006/relationships"><Relationship Type="http://schemas.openxmlformats.org/officeDocument/2006/relationships/drawing" Target="/xl/drawings/drawing4.xml" Id="rId1" /></Relationships>
</file>

<file path=xl/worksheets/sheet1.xml><?xml version="1.0" encoding="utf-8"?>
<worksheet xmlns="http://schemas.openxmlformats.org/spreadsheetml/2006/main">
  <sheetPr codeName="Sheet3">
    <tabColor indexed="44"/>
    <outlinePr summaryBelow="1" summaryRight="1"/>
    <pageSetUpPr/>
  </sheetPr>
  <dimension ref="A1:D18"/>
  <sheetViews>
    <sheetView showGridLines="0" zoomScaleNormal="100" workbookViewId="0">
      <selection activeCell="A1" sqref="A1"/>
    </sheetView>
  </sheetViews>
  <sheetFormatPr baseColWidth="8" defaultRowHeight="13.5"/>
  <cols>
    <col width="4.5" customWidth="1" style="87" min="1" max="1"/>
    <col width="13" bestFit="1" customWidth="1" style="87" min="2" max="2"/>
    <col width="10.25" bestFit="1" customWidth="1" style="87" min="3" max="3"/>
    <col width="70.5" customWidth="1" style="87" min="4" max="4"/>
    <col width="12.25" bestFit="1" customWidth="1" style="87" min="5" max="5"/>
  </cols>
  <sheetData>
    <row r="1">
      <c r="A1" s="32" t="inlineStr">
        <is>
          <t>改版履歴</t>
        </is>
      </c>
    </row>
    <row r="2">
      <c r="A2" s="30" t="inlineStr">
        <is>
          <t>No.</t>
        </is>
      </c>
      <c r="B2" s="31" t="inlineStr">
        <is>
          <t>改版日付</t>
        </is>
      </c>
      <c r="C2" s="31" t="inlineStr">
        <is>
          <t>担当</t>
        </is>
      </c>
      <c r="D2" s="30" t="inlineStr">
        <is>
          <t>内容</t>
        </is>
      </c>
    </row>
    <row r="3">
      <c r="A3" s="85" t="n">
        <v>1</v>
      </c>
      <c r="B3" s="29" t="n">
        <v>45145</v>
      </c>
      <c r="C3" s="3" t="inlineStr">
        <is>
          <t>浦上</t>
        </is>
      </c>
      <c r="D3" s="26" t="inlineStr">
        <is>
          <t>社内で利用されていたツールを汎化して社外へ公開。</t>
        </is>
      </c>
    </row>
    <row r="4">
      <c r="A4" s="85" t="n">
        <v>2</v>
      </c>
      <c r="B4" s="29" t="n">
        <v>45152</v>
      </c>
      <c r="C4" s="3" t="inlineStr">
        <is>
          <t>浦上</t>
        </is>
      </c>
      <c r="D4" s="26" t="inlineStr">
        <is>
          <t>誤ったバージョン表記を削除。</t>
        </is>
      </c>
    </row>
    <row r="5" ht="40.5" customHeight="1" s="87">
      <c r="A5" s="85" t="n">
        <v>3</v>
      </c>
      <c r="B5" s="29" t="n">
        <v>46097</v>
      </c>
      <c r="C5" s="3" t="inlineStr">
        <is>
          <t>熊野</t>
        </is>
      </c>
      <c r="D5" s="26" t="inlineStr">
        <is>
          <t>動的指摘分類対応。
指摘分類マッピング設定シートから読み取った指摘分類に応じて、レビュー結果シート、レビュー記録サマリの指摘分類列の追加・削除がコード修正なしで可能に。</t>
        </is>
      </c>
    </row>
    <row r="6">
      <c r="A6" s="85" t="n"/>
      <c r="B6" s="29" t="n"/>
      <c r="C6" s="3" t="n"/>
      <c r="D6" s="26" t="n"/>
    </row>
    <row r="7">
      <c r="A7" s="85" t="n"/>
      <c r="B7" s="29" t="n"/>
      <c r="C7" s="3" t="n"/>
      <c r="D7" s="26" t="n"/>
    </row>
    <row r="8">
      <c r="A8" s="85" t="n"/>
      <c r="B8" s="29" t="n"/>
      <c r="C8" s="3" t="n"/>
      <c r="D8" s="26" t="n"/>
    </row>
    <row r="9">
      <c r="A9" s="85" t="n"/>
      <c r="B9" s="29" t="n"/>
      <c r="C9" s="3" t="n"/>
      <c r="D9" s="26" t="n"/>
    </row>
    <row r="10">
      <c r="A10" s="85" t="n"/>
      <c r="B10" s="29" t="n"/>
      <c r="C10" s="3" t="n"/>
      <c r="D10" s="26" t="n"/>
    </row>
    <row r="11">
      <c r="A11" s="85" t="n"/>
      <c r="B11" s="29" t="n"/>
      <c r="C11" s="3" t="n"/>
      <c r="D11" s="26" t="n"/>
    </row>
    <row r="12">
      <c r="A12" s="85" t="n"/>
      <c r="B12" s="29" t="n"/>
      <c r="C12" s="3" t="n"/>
      <c r="D12" s="26" t="n"/>
    </row>
    <row r="13">
      <c r="A13" s="85" t="n"/>
      <c r="B13" s="29" t="n"/>
      <c r="C13" s="3" t="n"/>
      <c r="D13" s="26" t="n"/>
    </row>
    <row r="14">
      <c r="A14" s="85" t="n"/>
      <c r="B14" s="29" t="n"/>
      <c r="C14" s="3" t="n"/>
      <c r="D14" s="26" t="n"/>
    </row>
    <row r="15">
      <c r="A15" s="85" t="n"/>
      <c r="B15" s="29" t="n"/>
      <c r="C15" s="3" t="n"/>
      <c r="D15" s="26" t="n"/>
    </row>
    <row r="16">
      <c r="A16" s="85" t="n"/>
      <c r="B16" s="29" t="n"/>
      <c r="C16" s="3" t="n"/>
      <c r="D16" s="26" t="n"/>
    </row>
    <row r="17">
      <c r="A17" s="85" t="n"/>
      <c r="B17" s="29" t="n"/>
      <c r="C17" s="3" t="n"/>
      <c r="D17" s="26" t="n"/>
    </row>
    <row r="18">
      <c r="A18" s="85" t="n"/>
      <c r="B18" s="29" t="n"/>
      <c r="C18" s="3" t="n"/>
      <c r="D18" s="26" t="n"/>
    </row>
  </sheetData>
  <pageMargins left="0.75" right="0.75" top="1" bottom="1" header="0.512" footer="0.512"/>
  <pageSetup orientation="portrait" paperSize="9" verticalDpi="0"/>
</worksheet>
</file>

<file path=xl/worksheets/sheet2.xml><?xml version="1.0" encoding="utf-8"?>
<worksheet xmlns="http://schemas.openxmlformats.org/spreadsheetml/2006/main">
  <sheetPr codeName="Sheet6">
    <tabColor indexed="44"/>
    <outlinePr summaryBelow="1" summaryRight="1"/>
    <pageSetUpPr/>
  </sheetPr>
  <dimension ref="B2:O62"/>
  <sheetViews>
    <sheetView showGridLines="0" zoomScaleNormal="100" workbookViewId="0">
      <selection activeCell="A1" sqref="A1"/>
    </sheetView>
  </sheetViews>
  <sheetFormatPr baseColWidth="8" defaultRowHeight="13.5"/>
  <sheetData>
    <row r="2" ht="24" customHeight="1" s="87">
      <c r="B2" s="54" t="inlineStr">
        <is>
          <t>はじめに</t>
        </is>
      </c>
    </row>
    <row r="4" ht="18.75" customHeight="1" s="87">
      <c r="B4" s="55" t="inlineStr">
        <is>
          <t>本ツールについて</t>
        </is>
      </c>
    </row>
    <row r="6">
      <c r="B6" s="0" t="inlineStr">
        <is>
          <t>本ツールはExcelで書かれた設計書を対象として、メモ機能で書いたレビュー指摘事項を抽出し、レビュー記録票へ転記するものです。</t>
        </is>
      </c>
    </row>
    <row r="7">
      <c r="B7" s="0" t="inlineStr">
        <is>
          <t>本ツールを活用することで、レビュー時や指摘事項への対応時に設計書とレビュー記録票を何度も行き来する必要がなくなり、設計書へ集中して作業できます。</t>
        </is>
      </c>
    </row>
    <row r="9">
      <c r="B9" s="0" t="inlineStr">
        <is>
          <t>本ツールには次のファイルが同梱されています。</t>
        </is>
      </c>
    </row>
    <row r="11">
      <c r="B11" s="72" t="inlineStr">
        <is>
          <t>ファイル</t>
        </is>
      </c>
      <c r="C11" s="68" t="n"/>
      <c r="D11" s="68" t="n"/>
      <c r="E11" s="68" t="n"/>
      <c r="F11" s="68" t="n"/>
      <c r="G11" s="68" t="n"/>
      <c r="H11" s="72" t="inlineStr">
        <is>
          <t>説明</t>
        </is>
      </c>
      <c r="I11" s="68" t="n"/>
      <c r="J11" s="68" t="n"/>
      <c r="K11" s="68" t="n"/>
      <c r="L11" s="68" t="n"/>
      <c r="M11" s="68" t="n"/>
      <c r="N11" s="68" t="n"/>
      <c r="O11" s="66" t="n"/>
    </row>
    <row r="12">
      <c r="B12" s="61" t="inlineStr">
        <is>
          <t>Excel設計書レビュー指摘事項抽出ツール.xlsm</t>
        </is>
      </c>
      <c r="C12" s="62" t="n"/>
      <c r="D12" s="62" t="n"/>
      <c r="E12" s="62" t="n"/>
      <c r="F12" s="62" t="n"/>
      <c r="G12" s="62" t="n"/>
      <c r="H12" s="61" t="inlineStr">
        <is>
          <t>本ファイル</t>
        </is>
      </c>
      <c r="I12" s="62" t="n"/>
      <c r="J12" s="62" t="n"/>
      <c r="K12" s="62" t="n"/>
      <c r="L12" s="62" t="n"/>
      <c r="M12" s="62" t="n"/>
      <c r="N12" s="62" t="n"/>
      <c r="O12" s="60" t="n"/>
    </row>
    <row r="13">
      <c r="B13" s="61" t="inlineStr">
        <is>
          <t>レビュー記録サマリ.xlsx</t>
        </is>
      </c>
      <c r="C13" s="62" t="n"/>
      <c r="D13" s="62" t="n"/>
      <c r="E13" s="62" t="n"/>
      <c r="F13" s="62" t="n"/>
      <c r="G13" s="62" t="n"/>
      <c r="H13" s="61" t="inlineStr">
        <is>
          <t>レビューのサマリを記載する簡易的なフォーマット</t>
        </is>
      </c>
      <c r="I13" s="62" t="n"/>
      <c r="J13" s="62" t="n"/>
      <c r="K13" s="62" t="n"/>
      <c r="L13" s="62" t="n"/>
      <c r="M13" s="62" t="n"/>
      <c r="N13" s="62" t="n"/>
      <c r="O13" s="60" t="n"/>
    </row>
    <row r="14">
      <c r="B14" s="61" t="inlineStr">
        <is>
          <t>システム機能設計書_サンプル.xlsx</t>
        </is>
      </c>
      <c r="C14" s="62" t="n"/>
      <c r="D14" s="62" t="n"/>
      <c r="E14" s="62" t="n"/>
      <c r="F14" s="62" t="n"/>
      <c r="G14" s="62" t="n"/>
      <c r="H14" s="61" t="inlineStr">
        <is>
          <t>レビュー指摘事項を記載済みの設計書サンプル</t>
        </is>
      </c>
      <c r="I14" s="62" t="n"/>
      <c r="J14" s="62" t="n"/>
      <c r="K14" s="62" t="n"/>
      <c r="L14" s="62" t="n"/>
      <c r="M14" s="62" t="n"/>
      <c r="N14" s="62" t="n"/>
      <c r="O14" s="60" t="n"/>
    </row>
    <row r="15">
      <c r="B15" s="61" t="inlineStr">
        <is>
          <t>システム機能設計書_サンプル_レビュー記録票.xlsx</t>
        </is>
      </c>
      <c r="C15" s="62" t="n"/>
      <c r="D15" s="62" t="n"/>
      <c r="E15" s="62" t="n"/>
      <c r="F15" s="62" t="n"/>
      <c r="G15" s="62" t="n"/>
      <c r="H15" s="61" t="inlineStr">
        <is>
          <t>レビュー記録票のサンプル</t>
        </is>
      </c>
      <c r="I15" s="62" t="n"/>
      <c r="J15" s="62" t="n"/>
      <c r="K15" s="62" t="n"/>
      <c r="L15" s="62" t="n"/>
      <c r="M15" s="62" t="n"/>
      <c r="N15" s="62" t="n"/>
      <c r="O15" s="60" t="n"/>
    </row>
    <row r="17" ht="18.75" customHeight="1" s="87">
      <c r="B17" s="55" t="inlineStr">
        <is>
          <t>使ってみよう</t>
        </is>
      </c>
    </row>
    <row r="19">
      <c r="B19" s="0" t="inlineStr">
        <is>
          <t>まずはサンプルを利用してツールの動作イメージを掴んでください。※サンプルでの試行が不要な場合は本シートの「自分のプロジェクトで使うためのカスタマイズ」から読み進めてください。</t>
        </is>
      </c>
    </row>
    <row r="20">
      <c r="B20" s="0" t="inlineStr">
        <is>
          <t>同梱されている「システム機能設計書_サンプル.xlsx」と「システム機能設計書_サンプル_レビュー記録票.xlsx」を開き、本ファイルの「レビュー指摘事項抽出」シートにある</t>
        </is>
      </c>
    </row>
    <row r="21">
      <c r="B21" s="0" t="inlineStr">
        <is>
          <t>「抽出」ボタンを押してください。</t>
        </is>
      </c>
    </row>
    <row r="22">
      <c r="B22" s="0" t="inlineStr">
        <is>
          <t>「システム機能設計書_サンプル.xlsxのレビュー内容を抽出しますか？」という確認ダイアログが出るので「はい」を押してください。</t>
        </is>
      </c>
    </row>
    <row r="23">
      <c r="B23" s="0" t="inlineStr">
        <is>
          <t>するとツールが動作し、レビュー記録票への転記が行われます。</t>
        </is>
      </c>
    </row>
    <row r="25">
      <c r="B25" s="75" t="inlineStr">
        <is>
          <t>※ダウンロードした本ツール、「システム機能設計書_サンプル.xlsx」、「システム機能設計書_サンプル_レビュー記録票.xlsx」を開いた際、初回は以下のメッセージが表示されますので</t>
        </is>
      </c>
    </row>
    <row r="26">
      <c r="B26" s="75" t="inlineStr">
        <is>
          <t xml:space="preserve">　「編集を有効にする（E）」をクリックして保護ビューを解除してください。</t>
        </is>
      </c>
    </row>
    <row r="32">
      <c r="B32" s="75" t="inlineStr">
        <is>
          <t>※以下①のメッセージが表示されてマクロが実行できない場合、②の内容に従いブロックを解除してください</t>
        </is>
      </c>
    </row>
    <row r="34">
      <c r="B34" s="76" t="inlineStr">
        <is>
          <t>①</t>
        </is>
      </c>
    </row>
    <row r="35">
      <c r="B35" s="76" t="n"/>
    </row>
    <row r="36">
      <c r="B36" s="76" t="inlineStr">
        <is>
          <t>②</t>
        </is>
      </c>
      <c r="C36" s="70" t="inlineStr">
        <is>
          <t>潜在的に危険なマクロがブロックされました - Microsoft サポート</t>
        </is>
      </c>
    </row>
    <row r="38">
      <c r="B38" s="0" t="inlineStr">
        <is>
          <t>「システム機能設計書_サンプル_レビュー記録票.xlsx」を見てください。</t>
        </is>
      </c>
    </row>
    <row r="39">
      <c r="B39" s="0" t="inlineStr">
        <is>
          <t>「レビュー実施状況」シートにレビュー開始日時や終了日時、レビュー時間が転記されているはずです。</t>
        </is>
      </c>
    </row>
    <row r="40">
      <c r="B40" s="0" t="inlineStr">
        <is>
          <t>また、「レビュー指摘一覧」シートにレビュー指摘事項や対応内容、指摘分類などが転記されているはずです。</t>
        </is>
      </c>
    </row>
    <row r="42">
      <c r="B42" s="0" t="inlineStr">
        <is>
          <t>次に「システム機能設計書_サンプル.xlsx」を見てください。</t>
        </is>
      </c>
    </row>
    <row r="43">
      <c r="B43" s="0" t="inlineStr">
        <is>
          <t>先頭に「レビュー結果1回目」というシートが差し込まれているはずです。</t>
        </is>
      </c>
    </row>
    <row r="44">
      <c r="B44" s="0" t="inlineStr">
        <is>
          <t>これは設計書に記載したレビュー指摘事項や対応内容を一覧化したもので、該当箇所へ素早く移動するためのリンクがあります。</t>
        </is>
      </c>
    </row>
    <row r="45">
      <c r="B45" s="0" t="inlineStr">
        <is>
          <t>レビュー指摘事項への対応時や、対応内容の確認時に活用してください。</t>
        </is>
      </c>
    </row>
    <row r="47">
      <c r="B47" s="0" t="inlineStr">
        <is>
          <t>レビューが終わるとレビュー指摘事項や対応内容を書いたメモは不要になりますが、これは「レビュー指摘事項抽出」シートにある「メモを削除」ボタンを押して削除できます。</t>
        </is>
      </c>
    </row>
    <row r="48">
      <c r="B48" s="0" t="inlineStr">
        <is>
          <t>また、設計書の先頭に差し込まれたレビュー結果シートも不要になりますが、これは「レビュー指摘事項抽出」シートにある「レビュー結果シートを削除」ボタンを押して削除できます。</t>
        </is>
      </c>
    </row>
    <row r="50">
      <c r="B50" s="0" t="inlineStr">
        <is>
          <t>以上の操作を行うことで本ツールの動作イメージが掴めたと思います。</t>
        </is>
      </c>
    </row>
    <row r="51">
      <c r="B51" s="0" t="inlineStr">
        <is>
          <t>ぜひ本ツールを活用してレビュー記録作業を快適に実施してください。</t>
        </is>
      </c>
    </row>
    <row r="53" ht="18.75" customHeight="1" s="87">
      <c r="B53" s="55" t="inlineStr">
        <is>
          <t>自分のプロジェクトで使うためのカスタマイズ</t>
        </is>
      </c>
    </row>
    <row r="55">
      <c r="B55" s="0" t="inlineStr">
        <is>
          <t>本ツールは初期設定のままでも使えますが、他のレビュー記録票フォーマットを使う場合はカスタマイズが必要です。</t>
        </is>
      </c>
    </row>
    <row r="57">
      <c r="B57" s="0" t="inlineStr">
        <is>
          <t>カスタマイズする場合は、本ツールにある次の3つのシートに対して設定を行ってください。</t>
        </is>
      </c>
    </row>
    <row r="58">
      <c r="B58" s="0" t="inlineStr">
        <is>
          <t>設定内容の詳細は各シートで説明しています。</t>
        </is>
      </c>
    </row>
    <row r="60">
      <c r="C60" s="70" t="inlineStr">
        <is>
          <t>基本設定</t>
        </is>
      </c>
      <c r="F60" s="0" t="inlineStr">
        <is>
          <t>処理対象となるExcelブックの名前のパターンを設定します。デフォルトでは「機能設計書」という言葉が含まれているExcelブックを処理対象としています。</t>
        </is>
      </c>
    </row>
    <row r="61">
      <c r="C61" s="70" t="inlineStr">
        <is>
          <t>項目マッピング設定</t>
        </is>
      </c>
      <c r="F61" s="0" t="inlineStr">
        <is>
          <t>レビュー記録票へ書き出す座標を設定します。本ツールに同梱しているレビュー記録票と異なるものを使いたい場合はカスタマイズしてください。</t>
        </is>
      </c>
    </row>
    <row r="62">
      <c r="C62" s="70" t="inlineStr">
        <is>
          <t>指摘分類マッピング設定</t>
        </is>
      </c>
      <c r="F62" s="0" t="inlineStr">
        <is>
          <t>レビュー指摘事項へアルファベット（a～i）で入力する指摘分類エイリアスとレビュー記録票へ書き出す実際の指摘分類をマッピングします。</t>
        </is>
      </c>
    </row>
  </sheetData>
  <hyperlinks>
    <hyperlink xmlns:r="http://schemas.openxmlformats.org/officeDocument/2006/relationships" ref="C36" location="ID0EDJBH" display="https://support.microsoft.com/ja-jp/topic/%E6%BD%9C%E5%9C%A8%E7%9A%84%E3%81%AB%E5%8D%B1%E9%99%BA%E3%81%AA%E3%83%9E%E3%82%AF%E3%83%AD%E3%81%8C%E3%83%96%E3%83%AD%E3%83%83%E3%82%AF%E3%81%95%E3%82%8C%E3%81%BE%E3%81%97%E3%81%9F-0952faa0-37e7-4316-b61d-5b5ed6024216 - ID0EDJBH" r:id="rId1"/>
    <hyperlink ref="C60" location="基本設定!A1" display="　・基本設定"/>
    <hyperlink ref="C61" location="項目マッピング設定!A1" display="　・項目マッピング設定"/>
    <hyperlink ref="C62" location="指摘分類マッピング設定!A1" display="　・指摘分類マッピング設定"/>
  </hyperlinks>
  <pageMargins left="0.7" right="0.7" top="0.75" bottom="0.75" header="0.3" footer="0.3"/>
  <pageSetup orientation="portrait" paperSize="9"/>
  <drawing xmlns:r="http://schemas.openxmlformats.org/officeDocument/2006/relationships" r:id="rId2"/>
</worksheet>
</file>

<file path=xl/worksheets/sheet3.xml><?xml version="1.0" encoding="utf-8"?>
<worksheet xmlns="http://schemas.openxmlformats.org/spreadsheetml/2006/main">
  <sheetPr codeName="Sheet1">
    <tabColor indexed="44"/>
    <outlinePr summaryBelow="1" summaryRight="1"/>
    <pageSetUpPr fitToPage="1"/>
  </sheetPr>
  <dimension ref="A1:T114"/>
  <sheetViews>
    <sheetView showGridLines="0" tabSelected="1" view="pageBreakPreview" zoomScaleNormal="100" workbookViewId="0">
      <selection activeCell="A1" sqref="A1"/>
    </sheetView>
  </sheetViews>
  <sheetFormatPr baseColWidth="8" defaultRowHeight="13.5"/>
  <cols>
    <col width="3.375" customWidth="1" style="87" min="1" max="1"/>
    <col width="2.875" customWidth="1" style="87" min="2" max="2"/>
    <col width="14.625" customWidth="1" style="87" min="4" max="4"/>
    <col width="2.625" customWidth="1" style="87" min="5" max="5"/>
    <col width="11.125" bestFit="1" customWidth="1" style="87" min="6" max="6"/>
    <col width="0.375" customWidth="1" style="87" min="8" max="9"/>
    <col width="0.375" customWidth="1" style="87" min="11" max="11"/>
    <col width="2.625" customWidth="1" style="87" min="14" max="14"/>
    <col width="32.875" bestFit="1" customWidth="1" style="87" min="18" max="18"/>
    <col width="10.5" bestFit="1" customWidth="1" style="87" min="21" max="21"/>
    <col width="15.875" customWidth="1" style="87" min="23" max="23"/>
  </cols>
  <sheetData>
    <row r="1" ht="25.5" customHeight="1" s="87">
      <c r="A1" s="46" t="inlineStr">
        <is>
          <t xml:space="preserve"> レビュー指摘事項抽出ツール</t>
        </is>
      </c>
      <c r="B1" s="24" t="n"/>
      <c r="C1" s="25" t="n"/>
      <c r="D1" s="25" t="n"/>
      <c r="E1" s="25" t="n"/>
      <c r="F1" s="25" t="n"/>
      <c r="G1" s="25" t="n"/>
      <c r="H1" s="25" t="n"/>
      <c r="I1" s="25" t="n"/>
      <c r="J1" s="25" t="n"/>
      <c r="K1" s="25" t="n"/>
      <c r="L1" s="25" t="n"/>
      <c r="M1" s="25" t="n"/>
      <c r="N1" s="25" t="n"/>
      <c r="O1" s="25" t="n"/>
      <c r="P1" s="25" t="n"/>
      <c r="Q1" s="25" t="n"/>
      <c r="R1" s="25" t="n"/>
      <c r="S1" s="25" t="n"/>
      <c r="T1" s="47" t="n"/>
    </row>
    <row r="2">
      <c r="A2" s="8" t="n"/>
      <c r="B2" s="8" t="n"/>
    </row>
    <row r="3">
      <c r="A3" s="8" t="n"/>
      <c r="B3" s="8" t="n"/>
    </row>
    <row r="4">
      <c r="A4" s="8" t="n"/>
      <c r="B4" s="8" t="n"/>
      <c r="F4" s="41" t="inlineStr">
        <is>
          <t>レビュー回数</t>
        </is>
      </c>
      <c r="G4" s="42" t="n">
        <v>1</v>
      </c>
    </row>
    <row r="5">
      <c r="A5" s="8" t="n"/>
      <c r="B5" s="8" t="n"/>
    </row>
    <row r="6">
      <c r="A6" s="8" t="n"/>
      <c r="B6" s="8" t="n"/>
    </row>
    <row r="7">
      <c r="A7" s="8" t="n"/>
      <c r="B7" s="8" t="n"/>
    </row>
    <row r="8">
      <c r="A8" s="8" t="n"/>
      <c r="B8" s="8" t="n"/>
      <c r="E8" s="41" t="inlineStr">
        <is>
          <t>ファイルパス：</t>
        </is>
      </c>
      <c r="G8" s="88" t="inlineStr">
        <is>
          <t>C:\path\to\レビュー記録サマリ.xlsx</t>
        </is>
      </c>
      <c r="H8" s="89" t="n"/>
      <c r="I8" s="89" t="n"/>
      <c r="J8" s="89" t="n"/>
      <c r="K8" s="89" t="n"/>
      <c r="L8" s="89" t="n"/>
      <c r="M8" s="89" t="n"/>
      <c r="N8" s="89" t="n"/>
      <c r="O8" s="89" t="n"/>
      <c r="P8" s="90" t="n"/>
    </row>
    <row r="9" ht="2.1" customHeight="1" s="87">
      <c r="A9" s="8" t="n"/>
      <c r="B9" s="8" t="n"/>
    </row>
    <row r="10">
      <c r="A10" s="8" t="n"/>
      <c r="B10" s="8" t="n"/>
      <c r="E10" s="41" t="inlineStr">
        <is>
          <t>シート名：</t>
        </is>
      </c>
      <c r="F10" s="41" t="n"/>
      <c r="G10" s="91" t="inlineStr">
        <is>
          <t>レビュー記録一覧</t>
        </is>
      </c>
      <c r="H10" s="92" t="n"/>
      <c r="I10" s="92" t="n"/>
      <c r="J10" s="93" t="n"/>
      <c r="N10" s="41" t="n"/>
      <c r="O10" s="41" t="n"/>
    </row>
    <row r="11">
      <c r="A11" s="8" t="n"/>
      <c r="B11" s="8" t="n"/>
      <c r="E11" s="41" t="n"/>
      <c r="F11" s="41" t="n"/>
      <c r="N11" s="41" t="n"/>
      <c r="O11" s="41" t="n"/>
    </row>
    <row r="12">
      <c r="A12" s="8" t="n"/>
      <c r="B12" s="8" t="n"/>
      <c r="E12" s="41" t="inlineStr">
        <is>
          <t>一覧への反映値：</t>
        </is>
      </c>
      <c r="F12" s="41" t="n"/>
      <c r="J12" s="84" t="inlineStr">
        <is>
          <t>成果物から取得</t>
        </is>
      </c>
      <c r="N12" s="41" t="inlineStr">
        <is>
          <t>合否判定</t>
        </is>
      </c>
      <c r="O12" s="41" t="n"/>
    </row>
    <row r="13">
      <c r="A13" s="8" t="n"/>
      <c r="B13" s="8" t="n"/>
      <c r="G13" s="84" t="inlineStr">
        <is>
          <t>固定値</t>
        </is>
      </c>
      <c r="H13" s="84" t="n"/>
      <c r="I13" s="49" t="n"/>
      <c r="J13" s="84" t="inlineStr">
        <is>
          <t>シート名</t>
        </is>
      </c>
      <c r="K13" s="84" t="n"/>
      <c r="L13" s="84" t="inlineStr">
        <is>
          <t>セル</t>
        </is>
      </c>
    </row>
    <row r="14">
      <c r="A14" s="8" t="n"/>
      <c r="B14" s="8" t="n"/>
      <c r="F14" s="50" t="inlineStr">
        <is>
          <t>工程</t>
        </is>
      </c>
      <c r="G14" s="42" t="inlineStr">
        <is>
          <t>詳細設計</t>
        </is>
      </c>
      <c r="H14" s="41" t="n"/>
      <c r="I14" s="43" t="n"/>
      <c r="J14" s="42" t="n"/>
      <c r="K14" s="41" t="n"/>
      <c r="L14" s="42" t="n"/>
    </row>
    <row r="15" ht="2.1" customHeight="1" s="87">
      <c r="A15" s="8" t="n"/>
      <c r="B15" s="8" t="n"/>
      <c r="F15" s="50" t="n"/>
      <c r="G15" s="41" t="n"/>
      <c r="H15" s="41" t="n"/>
      <c r="I15" s="43" t="n"/>
      <c r="J15" s="42" t="n"/>
      <c r="K15" s="41" t="n"/>
    </row>
    <row r="16">
      <c r="A16" s="8" t="n"/>
      <c r="B16" s="8" t="n"/>
      <c r="F16" s="50" t="inlineStr">
        <is>
          <t>レビュア</t>
        </is>
      </c>
      <c r="G16" s="42" t="inlineStr">
        <is>
          <t>山田　太郎</t>
        </is>
      </c>
      <c r="H16" s="41" t="n"/>
      <c r="I16" s="43" t="n"/>
      <c r="J16" s="42" t="n"/>
      <c r="K16" s="41" t="n"/>
      <c r="L16" s="42" t="n"/>
      <c r="O16" s="41" t="inlineStr">
        <is>
          <t>対象指摘分類</t>
        </is>
      </c>
      <c r="P16" s="45" t="inlineStr">
        <is>
          <t>g</t>
        </is>
      </c>
    </row>
    <row r="17" ht="2.1" customHeight="1" s="87">
      <c r="A17" s="8" t="n"/>
      <c r="B17" s="8" t="n"/>
      <c r="F17" s="51" t="n"/>
      <c r="I17" s="44" t="n"/>
      <c r="L17" s="41" t="n"/>
      <c r="O17" s="41" t="n"/>
    </row>
    <row r="18">
      <c r="A18" s="8" t="n"/>
      <c r="B18" s="8" t="n"/>
      <c r="F18" s="50" t="inlineStr">
        <is>
          <t>作成者・レビュイ</t>
        </is>
      </c>
      <c r="G18" s="42" t="inlineStr">
        <is>
          <t>鈴木　花子</t>
        </is>
      </c>
      <c r="H18" s="41" t="n"/>
      <c r="I18" s="43" t="n"/>
      <c r="J18" s="42" t="n"/>
      <c r="K18" s="41" t="n"/>
      <c r="L18" s="42" t="n"/>
      <c r="O18" s="41" t="inlineStr">
        <is>
          <t>指摘件数</t>
        </is>
      </c>
      <c r="P18" s="42" t="n">
        <v>3</v>
      </c>
      <c r="Q18" s="41" t="inlineStr">
        <is>
          <t>件以内</t>
        </is>
      </c>
    </row>
    <row r="19" ht="2.1" customHeight="1" s="87">
      <c r="A19" s="8" t="n"/>
      <c r="B19" s="8" t="n"/>
      <c r="F19" s="51" t="n"/>
      <c r="I19" s="44" t="n"/>
      <c r="L19" s="41" t="n"/>
      <c r="O19" s="41" t="n"/>
    </row>
    <row r="20">
      <c r="A20" s="8" t="n"/>
      <c r="B20" s="8" t="n"/>
      <c r="F20" s="52" t="inlineStr">
        <is>
          <t>成果物種類</t>
        </is>
      </c>
      <c r="G20" s="41" t="n"/>
      <c r="H20" s="41" t="n"/>
      <c r="I20" s="43" t="n"/>
      <c r="J20" s="41" t="n"/>
      <c r="K20" s="41" t="n"/>
      <c r="L20" s="41" t="n"/>
      <c r="O20" s="41" t="n"/>
      <c r="P20" s="41" t="n"/>
      <c r="Q20" s="41" t="n"/>
    </row>
    <row r="21">
      <c r="A21" s="8" t="n"/>
      <c r="B21" s="8" t="n"/>
      <c r="E21" s="41" t="inlineStr">
        <is>
          <t>※一覧への反映値はレビュー記録票への転記でも使用されます</t>
        </is>
      </c>
      <c r="F21" s="50" t="n"/>
      <c r="G21" s="41" t="n"/>
      <c r="H21" s="41" t="n"/>
      <c r="I21" s="41" t="n"/>
      <c r="J21" s="41" t="n"/>
      <c r="K21" s="41" t="n"/>
      <c r="L21" s="41" t="n"/>
      <c r="O21" s="41" t="n"/>
      <c r="P21" s="41" t="n"/>
      <c r="Q21" s="41" t="n"/>
    </row>
    <row r="22">
      <c r="A22" s="8" t="n"/>
      <c r="B22" s="8" t="n"/>
      <c r="F22" s="50" t="n"/>
      <c r="G22" s="41" t="n"/>
      <c r="H22" s="41" t="n"/>
      <c r="I22" s="41" t="n"/>
      <c r="J22" s="41" t="n"/>
      <c r="K22" s="41" t="n"/>
      <c r="L22" s="41" t="n"/>
      <c r="O22" s="41" t="n"/>
      <c r="P22" s="41" t="n"/>
      <c r="Q22" s="41" t="n"/>
    </row>
    <row r="23">
      <c r="A23" s="8" t="n"/>
      <c r="B23" s="8" t="n"/>
      <c r="P23" s="41" t="n"/>
      <c r="Q23" s="41" t="n"/>
    </row>
    <row r="24">
      <c r="A24" s="8" t="n"/>
      <c r="B24" s="8" t="n"/>
    </row>
    <row r="25">
      <c r="A25" s="8" t="n"/>
      <c r="B25" s="8" t="n"/>
    </row>
    <row r="26">
      <c r="A26" s="8" t="n"/>
      <c r="B26" s="8" t="n"/>
    </row>
    <row r="27">
      <c r="A27" s="8" t="n"/>
      <c r="B27" s="8" t="n"/>
    </row>
    <row r="30" ht="21" customHeight="1" s="87">
      <c r="C30" s="73" t="inlineStr">
        <is>
          <t>メモ転記ルール詳細</t>
        </is>
      </c>
    </row>
    <row r="32" ht="17.25" customHeight="1" s="87">
      <c r="C32" s="56" t="inlineStr">
        <is>
          <t>実施日時</t>
        </is>
      </c>
    </row>
    <row r="34">
      <c r="C34" s="0" t="inlineStr">
        <is>
          <t>メモを作成した際に自動挿入される氏名とコロンの後ろに*（アスタリスク）を記入し、レビューの実施日時を次のフォーマットで記入してください。</t>
        </is>
      </c>
    </row>
    <row r="35">
      <c r="C35" s="0" t="inlineStr">
        <is>
          <t>Excelブック上のどのシート、どのセルに入力しても構いません。（ Shift + F2 ですばやくメモを挿入・編集できます）</t>
        </is>
      </c>
    </row>
    <row r="37">
      <c r="D37" s="0" t="inlineStr">
        <is>
          <t>実施日:yyyy/mm/dd</t>
        </is>
      </c>
      <c r="G37" s="71" t="inlineStr">
        <is>
          <t>← レビュー実施日</t>
        </is>
      </c>
      <c r="L37" s="0" t="inlineStr">
        <is>
          <t>※「実施日:」などのラベルは省略しても可</t>
        </is>
      </c>
    </row>
    <row r="38">
      <c r="D38" s="0" t="inlineStr">
        <is>
          <t>開始:hh:mm</t>
        </is>
      </c>
      <c r="G38" s="71" t="inlineStr">
        <is>
          <t>← レビュー開始時刻</t>
        </is>
      </c>
    </row>
    <row r="39">
      <c r="D39" s="0" t="inlineStr">
        <is>
          <t>終了:hh:mm</t>
        </is>
      </c>
      <c r="G39" s="71" t="inlineStr">
        <is>
          <t>← レビュー終了時刻</t>
        </is>
      </c>
    </row>
    <row r="40">
      <c r="D40" s="0" t="inlineStr">
        <is>
          <t>レビュー時間:n</t>
        </is>
      </c>
      <c r="G40" s="71" t="inlineStr">
        <is>
          <t>← レビュー時間（分）</t>
        </is>
      </c>
    </row>
    <row r="43">
      <c r="D43" s="0" t="inlineStr">
        <is>
          <t>例</t>
        </is>
      </c>
      <c r="G43" s="0" t="inlineStr">
        <is>
          <t>ラベル省略例</t>
        </is>
      </c>
    </row>
    <row r="48">
      <c r="C48" s="0" t="inlineStr">
        <is>
          <t>なお、本ツールは日をまたぐ記述はできないため、もしレビューが日をまたぐ場合はレビューが完了し、本ツールによる転記を済ませた後に手動で日付を記入してください。</t>
        </is>
      </c>
    </row>
    <row r="51" ht="17.25" customHeight="1" s="87">
      <c r="C51" s="56" t="inlineStr">
        <is>
          <t>レビュー指摘事項</t>
        </is>
      </c>
    </row>
    <row r="53">
      <c r="C53" s="0" t="inlineStr">
        <is>
          <t>指摘する箇所（セル）へメモを挿入してください。</t>
        </is>
      </c>
    </row>
    <row r="54">
      <c r="C54" s="0" t="inlineStr">
        <is>
          <t>メモを作成した際に自動挿入される氏名とコロンの後ろに 「指摘分類マッピング設定」シートに登録されているアルファベットを記入し、続く行へ指摘事項を記入してください。</t>
        </is>
      </c>
    </row>
    <row r="55">
      <c r="C55" s="0" t="inlineStr">
        <is>
          <t>このとき入力するアルファベットを今後は「指摘分類エイリアス」と呼びます。</t>
        </is>
      </c>
    </row>
    <row r="56">
      <c r="C56" s="0" t="inlineStr">
        <is>
          <t>指摘分類エイリアスは英小文字1～2文字で指定可能（例：a、b、aa、ab）。</t>
        </is>
      </c>
    </row>
    <row r="58">
      <c r="D58" s="0" t="inlineStr">
        <is>
          <t>例</t>
        </is>
      </c>
    </row>
    <row r="64">
      <c r="C64" s="0" t="inlineStr">
        <is>
          <t>指摘分類エイリアスは、レビュー記録票へ転記する際、設定に従って実際の指摘分類に変換され、転記されます。</t>
        </is>
      </c>
    </row>
    <row r="65">
      <c r="C65" s="0" t="inlineStr">
        <is>
          <t>指摘分類エイリアスと実際の指摘分類との対応付けは、「指摘分類マッピング設定」シートで定義されます。</t>
        </is>
      </c>
    </row>
    <row r="66">
      <c r="C66" s="0" t="inlineStr">
        <is>
          <t>行の追加・削除により、プロジェクトに合わせて指摘分類を自由に変更可能です。デフォルト設定は次の通りです。</t>
        </is>
      </c>
    </row>
    <row r="81">
      <c r="C81" s="0" t="inlineStr">
        <is>
          <t>なお、1つのメモに複数の指摘を含めることはできないため、同一箇所へ複数の指摘を記載したい場合、2つめの指摘は隣のセルにメモを挿入して記載する、</t>
        </is>
      </c>
    </row>
    <row r="82">
      <c r="C82" s="0" t="inlineStr">
        <is>
          <t>といった工夫をして頂くようお願いします。</t>
        </is>
      </c>
    </row>
    <row r="84" ht="17.25" customHeight="1" s="87">
      <c r="C84" s="56" t="inlineStr">
        <is>
          <t>対応内容</t>
        </is>
      </c>
    </row>
    <row r="86">
      <c r="C86" s="0" t="inlineStr">
        <is>
          <t>レビュー指摘事項が記入されているメモに3つ以上の半角ハイフン（-）のみからなる行を記入し、続く行へ対応内容を記入してください。</t>
        </is>
      </c>
    </row>
    <row r="88">
      <c r="D88" s="0" t="inlineStr">
        <is>
          <t>例</t>
        </is>
      </c>
    </row>
    <row r="96" ht="17.25" customHeight="1" s="87">
      <c r="C96" s="56" t="inlineStr">
        <is>
          <t>指摘のクローズ</t>
        </is>
      </c>
    </row>
    <row r="98">
      <c r="C98" s="0" t="inlineStr">
        <is>
          <t>レビュー指摘事項と対応内容が記入されているメモの末尾に「済」と記入してください。</t>
        </is>
      </c>
    </row>
    <row r="99">
      <c r="C99" s="0" t="inlineStr">
        <is>
          <t>確認者や確認日は「済」の直前にスペースを置いて記入してください。</t>
        </is>
      </c>
    </row>
    <row r="101">
      <c r="D101" s="0" t="inlineStr">
        <is>
          <t>例</t>
        </is>
      </c>
    </row>
    <row r="109" ht="17.25" customHeight="1" s="87">
      <c r="C109" s="56" t="inlineStr">
        <is>
          <t>設計書とレビュー記録票の対応付け</t>
        </is>
      </c>
    </row>
    <row r="111">
      <c r="C111" s="0" t="inlineStr">
        <is>
          <t>設計書（レビュー対象成果物）の拡張子を除いたファイル名と「レビュー記録票」という言葉が含まれるファイルを対応付けます。</t>
        </is>
      </c>
    </row>
    <row r="113">
      <c r="C113" s="0" t="inlineStr">
        <is>
          <t>例）</t>
        </is>
      </c>
      <c r="D113" s="0" t="inlineStr">
        <is>
          <t>システム機能設計書(画面)_WA10101_ログイン.xlsx</t>
        </is>
      </c>
      <c r="L113" s="51" t="inlineStr">
        <is>
          <t>←対応する→</t>
        </is>
      </c>
      <c r="O113" s="0" t="inlineStr">
        <is>
          <t>システム機能設計書(画面)_WA10101_ログイン_レビュー記録票.xlsx</t>
        </is>
      </c>
    </row>
    <row r="114">
      <c r="D114" s="0" t="inlineStr">
        <is>
          <t>システム機能設計書(画面)_WA10101_ログイン.xlsx</t>
        </is>
      </c>
      <c r="L114" s="0" t="inlineStr">
        <is>
          <t>←対応する→</t>
        </is>
      </c>
      <c r="O114" s="0" t="inlineStr">
        <is>
          <t>レビュー記録票_システム機能設計書(画面)_WA10101_ログイン.xlsx</t>
        </is>
      </c>
    </row>
  </sheetData>
  <mergeCells count="3">
    <mergeCell ref="J12:L12"/>
    <mergeCell ref="G8:P8"/>
    <mergeCell ref="G10:J10"/>
  </mergeCells>
  <dataValidations disablePrompts="1" count="1">
    <dataValidation sqref="P16" showDropDown="0" showInputMessage="1" showErrorMessage="1" allowBlank="1" type="list">
      <formula1>"a,b,c,d,e,f,g,h,i"</formula1>
    </dataValidation>
  </dataValidations>
  <pageMargins left="0.75" right="0.75" top="1" bottom="1" header="0.512" footer="0.512"/>
  <pageSetup orientation="portrait" paperSize="9" scale="47" verticalDpi="200"/>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5">
    <tabColor theme="4" tint="0.3999755851924192"/>
    <outlinePr summaryBelow="1" summaryRight="1"/>
    <pageSetUpPr/>
  </sheetPr>
  <dimension ref="A1:C6"/>
  <sheetViews>
    <sheetView showGridLines="0" workbookViewId="0">
      <selection activeCell="A1" sqref="A1"/>
    </sheetView>
  </sheetViews>
  <sheetFormatPr baseColWidth="8" defaultRowHeight="13.5"/>
  <cols>
    <col width="25.625" customWidth="1" style="87" min="1" max="1"/>
    <col width="27.5" bestFit="1" customWidth="1" style="87" min="2" max="2"/>
    <col width="100.625" customWidth="1" style="87" min="3" max="3"/>
  </cols>
  <sheetData>
    <row r="1">
      <c r="A1" s="69" t="inlineStr">
        <is>
          <t>設定項目</t>
        </is>
      </c>
      <c r="B1" s="69" t="inlineStr">
        <is>
          <t>設定値</t>
        </is>
      </c>
      <c r="C1" s="69" t="inlineStr">
        <is>
          <t>説明</t>
        </is>
      </c>
    </row>
    <row r="2" ht="27" customHeight="1" s="87">
      <c r="A2" s="85" t="inlineStr">
        <is>
          <t>レビュー記録票の使用</t>
        </is>
      </c>
      <c r="B2" s="85" t="b">
        <v>1</v>
      </c>
      <c r="C2" s="26" t="inlineStr">
        <is>
          <t>レビュー記録票を使用する場合は TRUE を設定してください。この項目が FALSE の場合、レビュー記録票への転記は行われず、レビュー結果シートが挿入されるだけになります。</t>
        </is>
      </c>
    </row>
    <row r="3" ht="54" customHeight="1" s="87">
      <c r="A3" s="85" t="inlineStr">
        <is>
          <t>レビュー記録サマリの使用</t>
        </is>
      </c>
      <c r="B3" s="85" t="b">
        <v>0</v>
      </c>
      <c r="C3" s="26" t="inlineStr">
        <is>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is>
      </c>
    </row>
    <row r="4" ht="27" customHeight="1" s="87">
      <c r="A4" s="85" t="inlineStr">
        <is>
          <t>処理対象Excelブック名</t>
        </is>
      </c>
      <c r="B4" s="85" t="inlineStr">
        <is>
          <t>.*機能設計書.*</t>
        </is>
      </c>
      <c r="C4" s="26" t="inlineStr">
        <is>
          <t>レビュー指摘事項を抽出する処理対象となるExcelブックのファイル名を正規表現で指定します。
デフォルトではファイル名に「機能設計書」という言葉が含まれているExcelブックが処理対象になります。</t>
        </is>
      </c>
    </row>
    <row r="5" ht="27" customHeight="1" s="87">
      <c r="A5" s="85" t="inlineStr">
        <is>
          <t>処理対象外Excelブック名</t>
        </is>
      </c>
      <c r="B5" s="85" t="inlineStr">
        <is>
          <t>.*レビュー記録票.*</t>
        </is>
      </c>
      <c r="C5" s="26" t="inlineStr">
        <is>
          <t>上記とは逆に、処理対象外となるExcelブックのファイル名を正規表現で指定します。
デフォルトではファイル名に「レビュー記録票」という言葉が含まれているExcelブックが処理対象外になります。</t>
        </is>
      </c>
    </row>
    <row r="6">
      <c r="A6" s="94" t="inlineStr">
        <is>
          <t>高速ページ計算（近似）</t>
        </is>
      </c>
      <c r="B6" s="94" t="b">
        <v>0</v>
      </c>
      <c r="C6" s="95" t="inlineStr">
        <is>
          <t>TRUE を設定すると HPageBreaks/VPageBreaks を使用したページ数の近似計算を行います（高速・手動改ページ設定済みの設計書で正確）。FALSE の場合は GET.DOCUMENT(50) による正確な計算を行います（低速）。</t>
        </is>
      </c>
    </row>
  </sheetData>
  <dataValidations count="1">
    <dataValidation sqref="B2:B3 B6" showDropDown="0" showInputMessage="1" showErrorMessage="1" allowBlank="1" type="list">
      <formula1>"TRUE,FALSE"</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Sheet4">
    <tabColor theme="4" tint="0.3999755851924192"/>
    <outlinePr summaryBelow="1" summaryRight="1"/>
    <pageSetUpPr/>
  </sheetPr>
  <dimension ref="A1:I19"/>
  <sheetViews>
    <sheetView showGridLines="0" zoomScaleNormal="100" workbookViewId="0">
      <selection activeCell="A1" sqref="A1"/>
    </sheetView>
  </sheetViews>
  <sheetFormatPr baseColWidth="8" defaultRowHeight="13.5"/>
  <cols>
    <col width="20.625" customWidth="1" style="87" min="1" max="1"/>
    <col width="10.625" customWidth="1" style="87" min="2" max="3"/>
    <col width="20.625" customWidth="1" style="87" min="5" max="6"/>
    <col width="20.625" customWidth="1" style="87" min="8" max="9"/>
  </cols>
  <sheetData>
    <row r="1">
      <c r="A1" s="8" t="inlineStr">
        <is>
          <t>ヘッダ</t>
        </is>
      </c>
      <c r="E1" s="8" t="inlineStr">
        <is>
          <t>サマリ</t>
        </is>
      </c>
      <c r="H1" s="8" t="inlineStr">
        <is>
          <t>指摘一覧</t>
        </is>
      </c>
    </row>
    <row r="2">
      <c r="A2" s="69" t="inlineStr">
        <is>
          <t>シート名</t>
        </is>
      </c>
      <c r="B2" s="85" t="inlineStr">
        <is>
          <t>レビュー実施状況</t>
        </is>
      </c>
      <c r="C2" s="93" t="n"/>
      <c r="E2" s="69" t="inlineStr">
        <is>
          <t>シート名</t>
        </is>
      </c>
      <c r="F2" s="85" t="inlineStr">
        <is>
          <t>レビュー実施状況</t>
        </is>
      </c>
      <c r="H2" s="69" t="inlineStr">
        <is>
          <t>シート名</t>
        </is>
      </c>
      <c r="I2" s="85" t="inlineStr">
        <is>
          <t>レビュー指摘一覧</t>
        </is>
      </c>
    </row>
    <row r="3">
      <c r="A3" s="8" t="n"/>
      <c r="E3" s="69" t="inlineStr">
        <is>
          <t>開始行*</t>
        </is>
      </c>
      <c r="F3" s="85" t="n">
        <v>15</v>
      </c>
      <c r="H3" s="69" t="inlineStr">
        <is>
          <t>開始行*</t>
        </is>
      </c>
      <c r="I3" s="85" t="n">
        <v>5</v>
      </c>
    </row>
    <row r="4">
      <c r="A4" s="8" t="n"/>
    </row>
    <row r="6">
      <c r="A6" s="69" t="inlineStr">
        <is>
          <t>項目</t>
        </is>
      </c>
      <c r="B6" s="69" t="inlineStr">
        <is>
          <t>列</t>
        </is>
      </c>
      <c r="C6" s="69" t="inlineStr">
        <is>
          <t>行</t>
        </is>
      </c>
      <c r="E6" s="69" t="inlineStr">
        <is>
          <t>項目</t>
        </is>
      </c>
      <c r="F6" s="69" t="inlineStr">
        <is>
          <t>列</t>
        </is>
      </c>
      <c r="H6" s="69" t="inlineStr">
        <is>
          <t>項目</t>
        </is>
      </c>
      <c r="I6" s="69" t="inlineStr">
        <is>
          <t>列</t>
        </is>
      </c>
    </row>
    <row r="7">
      <c r="A7" s="69" t="inlineStr">
        <is>
          <t>レビュー回数</t>
        </is>
      </c>
      <c r="B7" s="85" t="n"/>
      <c r="C7" s="85" t="n"/>
      <c r="E7" s="69" t="inlineStr">
        <is>
          <t>レビュー回数*</t>
        </is>
      </c>
      <c r="F7" s="85" t="inlineStr">
        <is>
          <t>A</t>
        </is>
      </c>
      <c r="H7" s="69" t="inlineStr">
        <is>
          <t>レビュー回数*</t>
        </is>
      </c>
      <c r="I7" s="85" t="inlineStr">
        <is>
          <t>B</t>
        </is>
      </c>
    </row>
    <row r="8">
      <c r="A8" s="69" t="inlineStr">
        <is>
          <t>工程</t>
        </is>
      </c>
      <c r="B8" s="85" t="inlineStr">
        <is>
          <t>C</t>
        </is>
      </c>
      <c r="C8" s="85" t="n">
        <v>1</v>
      </c>
      <c r="E8" s="69" t="inlineStr">
        <is>
          <t>工程</t>
        </is>
      </c>
      <c r="F8" s="85" t="n"/>
      <c r="H8" s="69" t="inlineStr">
        <is>
          <t>指摘分類</t>
        </is>
      </c>
      <c r="I8" s="85" t="inlineStr">
        <is>
          <t>C</t>
        </is>
      </c>
    </row>
    <row r="9">
      <c r="A9" s="69" t="inlineStr">
        <is>
          <t>ページ数</t>
        </is>
      </c>
      <c r="B9" s="85" t="inlineStr">
        <is>
          <t>P</t>
        </is>
      </c>
      <c r="C9" s="85" t="n">
        <v>3</v>
      </c>
      <c r="E9" s="69" t="inlineStr">
        <is>
          <t>ページ数</t>
        </is>
      </c>
      <c r="F9" s="85" t="n"/>
      <c r="H9" s="69" t="inlineStr">
        <is>
          <t>指摘事項</t>
        </is>
      </c>
      <c r="I9" s="85" t="inlineStr">
        <is>
          <t>H</t>
        </is>
      </c>
    </row>
    <row r="10">
      <c r="A10" s="69" t="inlineStr">
        <is>
          <t>レビュー日付</t>
        </is>
      </c>
      <c r="B10" s="85" t="n"/>
      <c r="C10" s="85" t="n"/>
      <c r="E10" s="69" t="inlineStr">
        <is>
          <t>レビュー日付</t>
        </is>
      </c>
      <c r="F10" s="85" t="n"/>
      <c r="H10" s="69" t="inlineStr">
        <is>
          <t>レビュア</t>
        </is>
      </c>
      <c r="I10" s="85" t="inlineStr">
        <is>
          <t>I</t>
        </is>
      </c>
    </row>
    <row r="11">
      <c r="A11" s="69" t="inlineStr">
        <is>
          <t>レビュー開始時刻</t>
        </is>
      </c>
      <c r="B11" s="85" t="n"/>
      <c r="C11" s="85" t="n"/>
      <c r="E11" s="69" t="inlineStr">
        <is>
          <t>レビュー開始時刻</t>
        </is>
      </c>
      <c r="F11" s="85" t="n"/>
      <c r="H11" s="69" t="inlineStr">
        <is>
          <t>対応内容</t>
        </is>
      </c>
      <c r="I11" s="85" t="inlineStr">
        <is>
          <t>J</t>
        </is>
      </c>
    </row>
    <row r="12">
      <c r="A12" s="69" t="inlineStr">
        <is>
          <t>レビュー終了時刻</t>
        </is>
      </c>
      <c r="B12" s="85" t="n"/>
      <c r="C12" s="85" t="n"/>
      <c r="E12" s="69" t="inlineStr">
        <is>
          <t>レビュー終了時刻</t>
        </is>
      </c>
      <c r="F12" s="85" t="n"/>
      <c r="H12" s="69" t="inlineStr">
        <is>
          <t>レビュイ</t>
        </is>
      </c>
      <c r="I12" s="85" t="inlineStr">
        <is>
          <t>M</t>
        </is>
      </c>
    </row>
    <row r="13">
      <c r="A13" s="69" t="inlineStr">
        <is>
          <t>レビュー開始日時</t>
        </is>
      </c>
      <c r="B13" s="85" t="n"/>
      <c r="C13" s="85" t="n"/>
      <c r="E13" s="69" t="inlineStr">
        <is>
          <t>レビュー開始日時</t>
        </is>
      </c>
      <c r="F13" s="85" t="inlineStr">
        <is>
          <t>D</t>
        </is>
      </c>
      <c r="H13" s="69" t="inlineStr">
        <is>
          <t>指摘クローズ</t>
        </is>
      </c>
      <c r="I13" s="85" t="inlineStr">
        <is>
          <t>O</t>
        </is>
      </c>
    </row>
    <row r="14">
      <c r="A14" s="69" t="inlineStr">
        <is>
          <t>レビュー終了日時</t>
        </is>
      </c>
      <c r="B14" s="85" t="n"/>
      <c r="C14" s="85" t="n"/>
      <c r="E14" s="69" t="inlineStr">
        <is>
          <t>レビュー終了日時</t>
        </is>
      </c>
      <c r="F14" s="85" t="inlineStr">
        <is>
          <t>E</t>
        </is>
      </c>
    </row>
    <row r="15">
      <c r="A15" s="69" t="inlineStr">
        <is>
          <t>レビュー時間</t>
        </is>
      </c>
      <c r="B15" s="85" t="n"/>
      <c r="C15" s="85" t="n"/>
      <c r="E15" s="69" t="inlineStr">
        <is>
          <t>レビュー時間</t>
        </is>
      </c>
      <c r="F15" s="85" t="inlineStr">
        <is>
          <t>F</t>
        </is>
      </c>
    </row>
    <row r="16">
      <c r="A16" s="69" t="inlineStr">
        <is>
          <t>レビュア</t>
        </is>
      </c>
      <c r="B16" s="85" t="n"/>
      <c r="C16" s="85" t="n"/>
      <c r="E16" s="69" t="inlineStr">
        <is>
          <t>レビュア</t>
        </is>
      </c>
      <c r="F16" s="85" t="inlineStr">
        <is>
          <t>H</t>
        </is>
      </c>
    </row>
    <row r="17">
      <c r="A17" s="69" t="inlineStr">
        <is>
          <t>レビュイ</t>
        </is>
      </c>
      <c r="B17" s="85" t="n"/>
      <c r="C17" s="85" t="n"/>
      <c r="E17" s="69" t="inlineStr">
        <is>
          <t>レビュイ</t>
        </is>
      </c>
      <c r="F17" s="85" t="inlineStr">
        <is>
          <t>K</t>
        </is>
      </c>
    </row>
    <row r="19">
      <c r="A19" s="71" t="inlineStr">
        <is>
          <t>※赤色のアスタリスク(*)が付いている項目は必須項目です。</t>
        </is>
      </c>
    </row>
  </sheetData>
  <mergeCells count="1">
    <mergeCell ref="B2:C2"/>
  </mergeCells>
  <dataValidations count="4">
    <dataValidation sqref="F3 I3" showDropDown="0" showInputMessage="1" showErrorMessage="1" allowBlank="0" type="whole">
      <formula1>1</formula1>
      <formula2>100</formula2>
    </dataValidation>
    <dataValidation sqref="B7:B17 F8:F17 I8:I13" showDropDown="1" showInputMessage="1" showErrorMessage="1" allowBlank="1" type="custom">
      <formula1>AND("A"&lt;=B7, B7&lt;="ZZ")</formula1>
    </dataValidation>
    <dataValidation sqref="C7:C17" showDropDown="1" showInputMessage="1" showErrorMessage="1" allowBlank="1" type="whole">
      <formula1>1</formula1>
      <formula2>100</formula2>
    </dataValidation>
    <dataValidation sqref="F7 I7" showDropDown="1" showInputMessage="1" showErrorMessage="1" allowBlank="0" type="custom">
      <formula1>AND("A"&lt;=F7, F7&lt;="ZZ")</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2">
    <tabColor theme="4" tint="0.3999755851924192"/>
    <outlinePr summaryBelow="1" summaryRight="1"/>
    <pageSetUpPr/>
  </sheetPr>
  <dimension ref="A1:B10"/>
  <sheetViews>
    <sheetView showGridLines="0" workbookViewId="0">
      <selection activeCell="A1" sqref="A1"/>
    </sheetView>
  </sheetViews>
  <sheetFormatPr baseColWidth="8" defaultRowHeight="13.5"/>
  <cols>
    <col width="9.375" bestFit="1" customWidth="1" style="87" min="1" max="1"/>
    <col width="30.625" bestFit="1" customWidth="1" style="87" min="2" max="2"/>
  </cols>
  <sheetData>
    <row r="1">
      <c r="A1" s="69" t="inlineStr">
        <is>
          <t>エイリアス</t>
        </is>
      </c>
      <c r="B1" s="69" t="inlineStr">
        <is>
          <t>指摘分類</t>
        </is>
      </c>
    </row>
    <row r="2">
      <c r="A2" s="74" t="inlineStr">
        <is>
          <t>a</t>
        </is>
      </c>
      <c r="B2" s="96" t="inlineStr">
        <is>
          <t>01_要件漏れ</t>
        </is>
      </c>
    </row>
    <row r="3">
      <c r="A3" s="74" t="inlineStr">
        <is>
          <t>b</t>
        </is>
      </c>
      <c r="B3" s="96" t="inlineStr">
        <is>
          <t>02_要件誤り</t>
        </is>
      </c>
    </row>
    <row r="4">
      <c r="A4" s="74" t="inlineStr">
        <is>
          <t>c</t>
        </is>
      </c>
      <c r="B4" s="96" t="inlineStr">
        <is>
          <t>11_機能・仕様漏れ</t>
        </is>
      </c>
    </row>
    <row r="5">
      <c r="A5" s="74" t="inlineStr">
        <is>
          <t>d</t>
        </is>
      </c>
      <c r="B5" s="96" t="inlineStr">
        <is>
          <t>12_機能・仕様誤り</t>
        </is>
      </c>
    </row>
    <row r="6">
      <c r="A6" s="74" t="inlineStr">
        <is>
          <t>e</t>
        </is>
      </c>
      <c r="B6" s="96" t="inlineStr">
        <is>
          <t>21_設計・ドキュメント規約違反</t>
        </is>
      </c>
    </row>
    <row r="7">
      <c r="A7" s="74" t="inlineStr">
        <is>
          <t>f</t>
        </is>
      </c>
      <c r="B7" s="96" t="inlineStr">
        <is>
          <t>22_記述誤り</t>
        </is>
      </c>
    </row>
    <row r="8">
      <c r="A8" s="74" t="inlineStr">
        <is>
          <t>g</t>
        </is>
      </c>
      <c r="B8" s="96" t="inlineStr">
        <is>
          <t>91_疑問点、確認</t>
        </is>
      </c>
    </row>
    <row r="9">
      <c r="A9" s="74" t="inlineStr">
        <is>
          <t>h</t>
        </is>
      </c>
      <c r="B9" s="96" t="inlineStr">
        <is>
          <t>92_改善要望</t>
        </is>
      </c>
    </row>
    <row r="10">
      <c r="A10" s="74" t="inlineStr">
        <is>
          <t>i</t>
        </is>
      </c>
      <c r="B10" s="96" t="inlineStr">
        <is>
          <t>93_仕様変更</t>
        </is>
      </c>
    </row>
  </sheetData>
  <dataValidations count="1">
    <dataValidation sqref="A2:A10" showDropDown="0" showInputMessage="1" showErrorMessage="1" allowBlank="0"/>
  </dataValidations>
  <pageMargins left="0.7" right="0.7" top="0.75" bottom="0.75" header="0.3" footer="0.3"/>
  <pageSetup orientation="portrait" paperSize="9"/>
  <drawing xmlns:r="http://schemas.openxmlformats.org/officeDocument/2006/relationships" r:id="rId1"/>
</worksheet>
</file>

<file path=xl/worksheets/sheet7.xml><?xml version="1.0" encoding="utf-8"?>
<worksheet xmlns="http://schemas.openxmlformats.org/spreadsheetml/2006/main">
  <sheetPr codeName="Sheet7">
    <tabColor theme="0" tint="-0.499984740745262"/>
    <outlinePr summaryBelow="1" summaryRight="1"/>
    <pageSetUpPr/>
  </sheetPr>
  <dimension ref="A1:A1"/>
  <sheetViews>
    <sheetView workbookViewId="0">
      <selection activeCell="A1" sqref="A1"/>
    </sheetView>
  </sheetViews>
  <sheetFormatPr baseColWidth="8" defaultRowHeight="13.5"/>
  <sheetData/>
  <pageMargins left="0.7" right="0.7" top="0.75" bottom="0.75" header="0.3" footer="0.3"/>
  <pageSetup orientation="portrait" paperSize="9"/>
</worksheet>
</file>

<file path=xl/worksheets/sheet8.xml><?xml version="1.0" encoding="utf-8"?>
<worksheet xmlns="http://schemas.openxmlformats.org/spreadsheetml/2006/main">
  <sheetPr codeName="Sheet8">
    <tabColor theme="4" tint="0.3999755851924192"/>
    <outlinePr summaryBelow="1" summaryRight="1"/>
    <pageSetUpPr/>
  </sheetPr>
  <dimension ref="B2:O71"/>
  <sheetViews>
    <sheetView showGridLines="0" workbookViewId="0">
      <selection activeCell="A1" sqref="A1"/>
    </sheetView>
  </sheetViews>
  <sheetFormatPr baseColWidth="8" defaultRowHeight="13.5"/>
  <cols>
    <col width="4.625" customWidth="1" style="87" min="1" max="1"/>
    <col width="4.625" customWidth="1" style="87" min="17" max="17"/>
  </cols>
  <sheetData>
    <row r="2">
      <c r="B2" s="57" t="inlineStr">
        <is>
          <t>このシートではレビュー対象成果物からツールが抽出した指摘事項や対応内容などをレビュー記録票へ転記する位置を設定します。</t>
        </is>
      </c>
    </row>
    <row r="3">
      <c r="B3" s="57" t="inlineStr">
        <is>
          <t>デフォルトではツールに同梱しているサンプルのレビュー記録票へ転記できるよう設定しています。</t>
        </is>
      </c>
    </row>
    <row r="4">
      <c r="B4" s="57" t="inlineStr">
        <is>
          <t>デフォルトの設定を参考にして、実際にご利用されるレビュー記録票に合わせた設定を行ってください。</t>
        </is>
      </c>
    </row>
    <row r="7" ht="17.25" customHeight="1" s="87">
      <c r="B7" s="58" t="inlineStr">
        <is>
          <t>設定の概要</t>
        </is>
      </c>
    </row>
    <row r="8">
      <c r="B8" s="57" t="n"/>
    </row>
    <row r="9">
      <c r="B9" s="57" t="inlineStr">
        <is>
          <t>設定できる項目は次の3つに分類されます。</t>
        </is>
      </c>
    </row>
    <row r="10">
      <c r="B10" s="57" t="n"/>
    </row>
    <row r="11">
      <c r="B11" s="67" t="inlineStr">
        <is>
          <t>分類</t>
        </is>
      </c>
      <c r="C11" s="65" t="n"/>
      <c r="D11" s="63" t="inlineStr">
        <is>
          <t>説明</t>
        </is>
      </c>
      <c r="E11" s="68" t="n"/>
      <c r="F11" s="68" t="n"/>
      <c r="G11" s="68" t="n"/>
      <c r="H11" s="68" t="n"/>
      <c r="I11" s="68" t="n"/>
      <c r="J11" s="68" t="n"/>
      <c r="K11" s="68" t="n"/>
      <c r="L11" s="68" t="n"/>
      <c r="M11" s="68" t="n"/>
      <c r="N11" s="68" t="n"/>
      <c r="O11" s="66" t="n"/>
    </row>
    <row r="12">
      <c r="B12" s="59" t="inlineStr">
        <is>
          <t>ヘッダ</t>
        </is>
      </c>
      <c r="C12" s="60" t="n"/>
      <c r="D12" s="61" t="inlineStr">
        <is>
          <t>レビューの概要です。転記先の列と行を設定してください。</t>
        </is>
      </c>
      <c r="E12" s="62" t="n"/>
      <c r="F12" s="62" t="n"/>
      <c r="G12" s="62" t="n"/>
      <c r="H12" s="62" t="n"/>
      <c r="I12" s="62" t="n"/>
      <c r="J12" s="62" t="n"/>
      <c r="K12" s="62" t="n"/>
      <c r="L12" s="62" t="n"/>
      <c r="M12" s="62" t="n"/>
      <c r="N12" s="62" t="n"/>
      <c r="O12" s="60" t="n"/>
    </row>
    <row r="13">
      <c r="B13" s="59" t="inlineStr">
        <is>
          <t>サマリ</t>
        </is>
      </c>
      <c r="C13" s="60" t="n"/>
      <c r="D13" s="61" t="inlineStr">
        <is>
          <t>レビューの概要です。1回のレビューにつき1行書き出されます。転記を開始する行と、列を設定してください。</t>
        </is>
      </c>
      <c r="E13" s="62" t="n"/>
      <c r="F13" s="62" t="n"/>
      <c r="G13" s="62" t="n"/>
      <c r="H13" s="62" t="n"/>
      <c r="I13" s="62" t="n"/>
      <c r="J13" s="62" t="n"/>
      <c r="K13" s="62" t="n"/>
      <c r="L13" s="62" t="n"/>
      <c r="M13" s="62" t="n"/>
      <c r="N13" s="62" t="n"/>
      <c r="O13" s="60" t="n"/>
    </row>
    <row r="14">
      <c r="B14" s="59" t="inlineStr">
        <is>
          <t>指摘一覧</t>
        </is>
      </c>
      <c r="C14" s="60" t="n"/>
      <c r="D14" s="61" t="inlineStr">
        <is>
          <t>指摘事項の一覧です。1つの指摘事項(メモ)につき1行書き出されます。転記を開始する行と、列を設定してください。</t>
        </is>
      </c>
      <c r="E14" s="62" t="n"/>
      <c r="F14" s="62" t="n"/>
      <c r="G14" s="62" t="n"/>
      <c r="H14" s="62" t="n"/>
      <c r="I14" s="62" t="n"/>
      <c r="J14" s="62" t="n"/>
      <c r="K14" s="62" t="n"/>
      <c r="L14" s="62" t="n"/>
      <c r="M14" s="62" t="n"/>
      <c r="N14" s="62" t="n"/>
      <c r="O14" s="60" t="n"/>
    </row>
    <row r="15">
      <c r="B15" s="57" t="n"/>
    </row>
    <row r="16">
      <c r="B16" s="57" t="inlineStr">
        <is>
          <t>ヘッダとサマリは転記できる項目が同一ですが、レビューの回数ごとに行を追加して異なる値を転記したい場合はサマリを使用してください。</t>
        </is>
      </c>
    </row>
    <row r="17">
      <c r="B17" s="57" t="n"/>
    </row>
    <row r="18">
      <c r="B18" s="57" t="inlineStr">
        <is>
          <t>サマリと指摘一覧は特定の単位で繰り返し書き出される項目になります。レビュー回数を転記する列が空、もしくは現在のレビュー回数と同じであれば、</t>
        </is>
      </c>
    </row>
    <row r="19">
      <c r="B19" s="57" t="inlineStr">
        <is>
          <t>その行から転記を開始します。レビュー回数を転記する列が前回のレビュー回数と同じであれば、その行には転記せず、次の行へ移動します。</t>
        </is>
      </c>
    </row>
    <row r="20">
      <c r="B20" s="57" t="inlineStr">
        <is>
          <t>次の行へ移動した後も同様の判定を繰り返して転記可能な行を検出します。</t>
        </is>
      </c>
    </row>
    <row r="22">
      <c r="B22" s="57" t="inlineStr">
        <is>
          <t>例えば、レビュー記録票の指摘一覧が次のような状態だとします。※ツールに同梱しているサンプルのレビュー記録票です。</t>
        </is>
      </c>
    </row>
    <row r="35">
      <c r="B35" s="0" t="inlineStr">
        <is>
          <t>このとき、現在のレビュー回数を 1 に設定してツールを実行した場合、5行目から転記が開始されます。</t>
        </is>
      </c>
    </row>
    <row r="36">
      <c r="B36" s="0" t="inlineStr">
        <is>
          <t>現在のレビュー回数を 2 に設定してツールを実行した場合、7行目から転記が開始されます。</t>
        </is>
      </c>
    </row>
    <row r="39" ht="17.25" customHeight="1" s="87">
      <c r="B39" s="58" t="inlineStr">
        <is>
          <t>各項目の説明</t>
        </is>
      </c>
    </row>
    <row r="41">
      <c r="B41" s="0" t="inlineStr">
        <is>
          <t>レビュー記録票へ転記できる各項目について説明します。</t>
        </is>
      </c>
    </row>
    <row r="43">
      <c r="B43" s="8" t="inlineStr">
        <is>
          <t>ヘッダ・サマリへ転記できる項目</t>
        </is>
      </c>
    </row>
    <row r="44">
      <c r="B44" s="63" t="inlineStr">
        <is>
          <t>項目</t>
        </is>
      </c>
      <c r="C44" s="64" t="n"/>
      <c r="D44" s="65" t="n"/>
      <c r="E44" s="63" t="inlineStr">
        <is>
          <t>説明</t>
        </is>
      </c>
      <c r="F44" s="64" t="n"/>
      <c r="G44" s="64" t="n"/>
      <c r="H44" s="64" t="n"/>
      <c r="I44" s="64" t="n"/>
      <c r="J44" s="64" t="n"/>
      <c r="K44" s="64" t="n"/>
      <c r="L44" s="64" t="n"/>
      <c r="M44" s="64" t="n"/>
      <c r="N44" s="64" t="n"/>
      <c r="O44" s="65" t="n"/>
    </row>
    <row r="45">
      <c r="B45" s="61" t="inlineStr">
        <is>
          <t>レビュー回数</t>
        </is>
      </c>
      <c r="C45" s="62" t="n"/>
      <c r="D45" s="60" t="n"/>
      <c r="E45" s="61" t="inlineStr">
        <is>
          <t>レビュー指摘事項抽出 シートで設定した レビュー回数 を転記します。</t>
        </is>
      </c>
      <c r="F45" s="62" t="n"/>
      <c r="G45" s="62" t="n"/>
      <c r="H45" s="62" t="n"/>
      <c r="I45" s="62" t="n"/>
      <c r="J45" s="62" t="n"/>
      <c r="K45" s="62" t="n"/>
      <c r="L45" s="62" t="n"/>
      <c r="M45" s="62" t="n"/>
      <c r="N45" s="62" t="n"/>
      <c r="O45" s="60" t="n"/>
    </row>
    <row r="46">
      <c r="B46" s="61" t="inlineStr">
        <is>
          <t>工程</t>
        </is>
      </c>
      <c r="C46" s="62" t="n"/>
      <c r="D46" s="60" t="n"/>
      <c r="E46" s="61" t="inlineStr">
        <is>
          <t>レビュー指摘事項抽出 シートで設定した固定値、またはレビュー対象成果物から抽出した値を転記します。</t>
        </is>
      </c>
      <c r="F46" s="62" t="n"/>
      <c r="G46" s="62" t="n"/>
      <c r="H46" s="62" t="n"/>
      <c r="I46" s="62" t="n"/>
      <c r="J46" s="62" t="n"/>
      <c r="K46" s="62" t="n"/>
      <c r="L46" s="62" t="n"/>
      <c r="M46" s="62" t="n"/>
      <c r="N46" s="62" t="n"/>
      <c r="O46" s="60" t="n"/>
    </row>
    <row r="47">
      <c r="B47" s="61" t="inlineStr">
        <is>
          <t>ページ数</t>
        </is>
      </c>
      <c r="C47" s="62" t="n"/>
      <c r="D47" s="60" t="n"/>
      <c r="E47" s="61" t="inlineStr">
        <is>
          <t>レビュー対象成果物のページ数を算出し、転記します。</t>
        </is>
      </c>
      <c r="F47" s="62" t="n"/>
      <c r="G47" s="62" t="n"/>
      <c r="H47" s="62" t="n"/>
      <c r="I47" s="62" t="n"/>
      <c r="J47" s="62" t="n"/>
      <c r="K47" s="62" t="n"/>
      <c r="L47" s="62" t="n"/>
      <c r="M47" s="62" t="n"/>
      <c r="N47" s="62" t="n"/>
      <c r="O47" s="60" t="n"/>
    </row>
    <row r="48">
      <c r="B48" s="61" t="inlineStr">
        <is>
          <t>レビュー日付</t>
        </is>
      </c>
      <c r="C48" s="62" t="n"/>
      <c r="D48" s="60" t="n"/>
      <c r="E48" s="61" t="inlineStr">
        <is>
          <t>メモ機能で入力したレビュー日付を転記します。</t>
        </is>
      </c>
      <c r="F48" s="62" t="n"/>
      <c r="G48" s="62" t="n"/>
      <c r="H48" s="62" t="n"/>
      <c r="I48" s="62" t="n"/>
      <c r="J48" s="62" t="n"/>
      <c r="K48" s="62" t="n"/>
      <c r="L48" s="62" t="n"/>
      <c r="M48" s="62" t="n"/>
      <c r="N48" s="62" t="n"/>
      <c r="O48" s="60" t="n"/>
    </row>
    <row r="49">
      <c r="B49" s="61" t="inlineStr">
        <is>
          <t>レビュー開始時刻</t>
        </is>
      </c>
      <c r="C49" s="62" t="n"/>
      <c r="D49" s="60" t="n"/>
      <c r="E49" s="61" t="inlineStr">
        <is>
          <t>メモ機能で入力したレビュー開始時刻を転記します。</t>
        </is>
      </c>
      <c r="F49" s="62" t="n"/>
      <c r="G49" s="62" t="n"/>
      <c r="H49" s="62" t="n"/>
      <c r="I49" s="62" t="n"/>
      <c r="J49" s="62" t="n"/>
      <c r="K49" s="62" t="n"/>
      <c r="L49" s="62" t="n"/>
      <c r="M49" s="62" t="n"/>
      <c r="N49" s="62" t="n"/>
      <c r="O49" s="60" t="n"/>
    </row>
    <row r="50">
      <c r="B50" s="61" t="inlineStr">
        <is>
          <t>レビュー終了時刻</t>
        </is>
      </c>
      <c r="C50" s="62" t="n"/>
      <c r="D50" s="60" t="n"/>
      <c r="E50" s="61" t="inlineStr">
        <is>
          <t>メモ機能で入力したレビュー終了時刻を転記します。</t>
        </is>
      </c>
      <c r="F50" s="62" t="n"/>
      <c r="G50" s="62" t="n"/>
      <c r="H50" s="62" t="n"/>
      <c r="I50" s="62" t="n"/>
      <c r="J50" s="62" t="n"/>
      <c r="K50" s="62" t="n"/>
      <c r="L50" s="62" t="n"/>
      <c r="M50" s="62" t="n"/>
      <c r="N50" s="62" t="n"/>
      <c r="O50" s="60" t="n"/>
    </row>
    <row r="51">
      <c r="B51" s="61" t="inlineStr">
        <is>
          <t>レビュー開始日時</t>
        </is>
      </c>
      <c r="C51" s="62" t="n"/>
      <c r="D51" s="60" t="n"/>
      <c r="E51" s="61" t="inlineStr">
        <is>
          <t>メモ機能で入力したレビュー日付とレビュー開始時刻を繋げた値を転記します。※</t>
        </is>
      </c>
      <c r="F51" s="62" t="n"/>
      <c r="G51" s="62" t="n"/>
      <c r="H51" s="62" t="n"/>
      <c r="I51" s="62" t="n"/>
      <c r="J51" s="62" t="n"/>
      <c r="K51" s="62" t="n"/>
      <c r="L51" s="62" t="n"/>
      <c r="M51" s="62" t="n"/>
      <c r="N51" s="62" t="n"/>
      <c r="O51" s="60" t="n"/>
    </row>
    <row r="52">
      <c r="B52" s="61" t="inlineStr">
        <is>
          <t>レビュー終了日時</t>
        </is>
      </c>
      <c r="C52" s="62" t="n"/>
      <c r="D52" s="60" t="n"/>
      <c r="E52" s="61" t="inlineStr">
        <is>
          <t>メモ機能で入力したレビュー日付とレビュー終了時刻を繋げた値を転記します。</t>
        </is>
      </c>
      <c r="F52" s="62" t="n"/>
      <c r="G52" s="62" t="n"/>
      <c r="H52" s="62" t="n"/>
      <c r="I52" s="62" t="n"/>
      <c r="J52" s="62" t="n"/>
      <c r="K52" s="62" t="n"/>
      <c r="L52" s="62" t="n"/>
      <c r="M52" s="62" t="n"/>
      <c r="N52" s="62" t="n"/>
      <c r="O52" s="60" t="n"/>
    </row>
    <row r="53">
      <c r="B53" s="61" t="inlineStr">
        <is>
          <t>レビュー時間</t>
        </is>
      </c>
      <c r="C53" s="62" t="n"/>
      <c r="D53" s="60" t="n"/>
      <c r="E53" s="61" t="inlineStr">
        <is>
          <t>メモ機能で入力したレビュー時間を転記します。</t>
        </is>
      </c>
      <c r="F53" s="62" t="n"/>
      <c r="G53" s="62" t="n"/>
      <c r="H53" s="62" t="n"/>
      <c r="I53" s="62" t="n"/>
      <c r="J53" s="62" t="n"/>
      <c r="K53" s="62" t="n"/>
      <c r="L53" s="62" t="n"/>
      <c r="M53" s="62" t="n"/>
      <c r="N53" s="62" t="n"/>
      <c r="O53" s="60" t="n"/>
    </row>
    <row r="54">
      <c r="B54" s="61" t="inlineStr">
        <is>
          <t>レビュア</t>
        </is>
      </c>
      <c r="C54" s="62" t="n"/>
      <c r="D54" s="60" t="n"/>
      <c r="E54" s="61" t="inlineStr">
        <is>
          <t>レビュー指摘事項抽出 シートで設定した固定値、またはレビュー対象成果物から抽出した値を転記します。</t>
        </is>
      </c>
      <c r="F54" s="62" t="n"/>
      <c r="G54" s="62" t="n"/>
      <c r="H54" s="62" t="n"/>
      <c r="I54" s="62" t="n"/>
      <c r="J54" s="62" t="n"/>
      <c r="K54" s="62" t="n"/>
      <c r="L54" s="62" t="n"/>
      <c r="M54" s="62" t="n"/>
      <c r="N54" s="62" t="n"/>
      <c r="O54" s="60" t="n"/>
    </row>
    <row r="55">
      <c r="B55" s="61" t="inlineStr">
        <is>
          <t>レビュイ</t>
        </is>
      </c>
      <c r="C55" s="62" t="n"/>
      <c r="D55" s="60" t="n"/>
      <c r="E55" s="61" t="inlineStr">
        <is>
          <t>レビュー指摘事項抽出 シートで設定した固定値、またはレビュー対象成果物から抽出した値を転記します。</t>
        </is>
      </c>
      <c r="F55" s="62" t="n"/>
      <c r="G55" s="62" t="n"/>
      <c r="H55" s="62" t="n"/>
      <c r="I55" s="62" t="n"/>
      <c r="J55" s="62" t="n"/>
      <c r="K55" s="62" t="n"/>
      <c r="L55" s="62" t="n"/>
      <c r="M55" s="62" t="n"/>
      <c r="N55" s="62" t="n"/>
      <c r="O55" s="60" t="n"/>
    </row>
    <row r="57">
      <c r="B57" s="0" t="inlineStr">
        <is>
          <t>※　例えば、レビュー日付が「2023/7/1」、レビュー開始時刻が「9:00」の場合、「2023/7/1 9:00」が転記されます。</t>
        </is>
      </c>
    </row>
    <row r="60">
      <c r="B60" s="8" t="inlineStr">
        <is>
          <t>指摘事項一覧へ転記できる項目</t>
        </is>
      </c>
    </row>
    <row r="61">
      <c r="B61" s="63" t="inlineStr">
        <is>
          <t>項目</t>
        </is>
      </c>
      <c r="C61" s="64" t="n"/>
      <c r="D61" s="65" t="n"/>
      <c r="E61" s="63" t="inlineStr">
        <is>
          <t>説明</t>
        </is>
      </c>
      <c r="F61" s="64" t="n"/>
      <c r="G61" s="64" t="n"/>
      <c r="H61" s="64" t="n"/>
      <c r="I61" s="64" t="n"/>
      <c r="J61" s="64" t="n"/>
      <c r="K61" s="64" t="n"/>
      <c r="L61" s="64" t="n"/>
      <c r="M61" s="64" t="n"/>
      <c r="N61" s="64" t="n"/>
      <c r="O61" s="65" t="n"/>
    </row>
    <row r="62">
      <c r="B62" s="61" t="inlineStr">
        <is>
          <t>レビュー回数</t>
        </is>
      </c>
      <c r="C62" s="62" t="n"/>
      <c r="D62" s="60" t="n"/>
      <c r="E62" s="61" t="inlineStr">
        <is>
          <t>レビュー指摘事項抽出 シートで設定した レビュー回数 を転記します。</t>
        </is>
      </c>
      <c r="F62" s="62" t="n"/>
      <c r="G62" s="62" t="n"/>
      <c r="H62" s="62" t="n"/>
      <c r="I62" s="62" t="n"/>
      <c r="J62" s="62" t="n"/>
      <c r="K62" s="62" t="n"/>
      <c r="L62" s="62" t="n"/>
      <c r="M62" s="62" t="n"/>
      <c r="N62" s="62" t="n"/>
      <c r="O62" s="60" t="n"/>
    </row>
    <row r="63">
      <c r="B63" s="61" t="inlineStr">
        <is>
          <t>指摘分類</t>
        </is>
      </c>
      <c r="C63" s="62" t="n"/>
      <c r="D63" s="60" t="n"/>
      <c r="E63" s="61" t="inlineStr">
        <is>
          <t>メモ機能で入力した指摘分類エイリアスに対応する指摘分類を転記します。※1</t>
        </is>
      </c>
      <c r="F63" s="62" t="n"/>
      <c r="G63" s="62" t="n"/>
      <c r="H63" s="62" t="n"/>
      <c r="I63" s="62" t="n"/>
      <c r="J63" s="62" t="n"/>
      <c r="K63" s="62" t="n"/>
      <c r="L63" s="62" t="n"/>
      <c r="M63" s="62" t="n"/>
      <c r="N63" s="62" t="n"/>
      <c r="O63" s="60" t="n"/>
    </row>
    <row r="64">
      <c r="B64" s="61" t="inlineStr">
        <is>
          <t>指摘事項</t>
        </is>
      </c>
      <c r="C64" s="62" t="n"/>
      <c r="D64" s="60" t="n"/>
      <c r="E64" s="61" t="inlineStr">
        <is>
          <t>メモ機能で入力した指摘事項を転記します。</t>
        </is>
      </c>
      <c r="F64" s="62" t="n"/>
      <c r="G64" s="62" t="n"/>
      <c r="H64" s="62" t="n"/>
      <c r="I64" s="62" t="n"/>
      <c r="J64" s="62" t="n"/>
      <c r="K64" s="62" t="n"/>
      <c r="L64" s="62" t="n"/>
      <c r="M64" s="62" t="n"/>
      <c r="N64" s="62" t="n"/>
      <c r="O64" s="60" t="n"/>
    </row>
    <row r="65">
      <c r="B65" s="61" t="inlineStr">
        <is>
          <t>レビュア</t>
        </is>
      </c>
      <c r="C65" s="62" t="n"/>
      <c r="D65" s="60" t="n"/>
      <c r="E65" s="61" t="inlineStr">
        <is>
          <t>メモを作成する際に自動挿入される氏名を転記します。</t>
        </is>
      </c>
      <c r="F65" s="62" t="n"/>
      <c r="G65" s="62" t="n"/>
      <c r="H65" s="62" t="n"/>
      <c r="I65" s="62" t="n"/>
      <c r="J65" s="62" t="n"/>
      <c r="K65" s="62" t="n"/>
      <c r="L65" s="62" t="n"/>
      <c r="M65" s="62" t="n"/>
      <c r="N65" s="62" t="n"/>
      <c r="O65" s="60" t="n"/>
    </row>
    <row r="66">
      <c r="B66" s="61" t="inlineStr">
        <is>
          <t>対応内容</t>
        </is>
      </c>
      <c r="C66" s="62" t="n"/>
      <c r="D66" s="60" t="n"/>
      <c r="E66" s="61" t="inlineStr">
        <is>
          <t>メモ機能で入力した対応内容を転記します。</t>
        </is>
      </c>
      <c r="F66" s="62" t="n"/>
      <c r="G66" s="62" t="n"/>
      <c r="H66" s="62" t="n"/>
      <c r="I66" s="62" t="n"/>
      <c r="J66" s="62" t="n"/>
      <c r="K66" s="62" t="n"/>
      <c r="L66" s="62" t="n"/>
      <c r="M66" s="62" t="n"/>
      <c r="N66" s="62" t="n"/>
      <c r="O66" s="60" t="n"/>
    </row>
    <row r="67">
      <c r="B67" s="61" t="inlineStr">
        <is>
          <t>レビュイ</t>
        </is>
      </c>
      <c r="C67" s="62" t="n"/>
      <c r="D67" s="60" t="n"/>
      <c r="E67" s="61" t="inlineStr">
        <is>
          <t>レビュー指摘事項抽出 シートで設定した固定値、またはレビュー対象成果物から抽出した値を転記します。</t>
        </is>
      </c>
      <c r="F67" s="62" t="n"/>
      <c r="G67" s="62" t="n"/>
      <c r="H67" s="62" t="n"/>
      <c r="I67" s="62" t="n"/>
      <c r="J67" s="62" t="n"/>
      <c r="K67" s="62" t="n"/>
      <c r="L67" s="62" t="n"/>
      <c r="M67" s="62" t="n"/>
      <c r="N67" s="62" t="n"/>
      <c r="O67" s="60" t="n"/>
    </row>
    <row r="68">
      <c r="B68" s="61" t="inlineStr">
        <is>
          <t>指摘クローズ</t>
        </is>
      </c>
      <c r="C68" s="62" t="n"/>
      <c r="D68" s="60" t="n"/>
      <c r="E68" s="61" t="inlineStr">
        <is>
          <t>メモ機能で末尾に「済」を入力した場合、同じ行にある「済」よりも前のテキストを転記します。※2</t>
        </is>
      </c>
      <c r="F68" s="62" t="n"/>
      <c r="G68" s="62" t="n"/>
      <c r="H68" s="62" t="n"/>
      <c r="I68" s="62" t="n"/>
      <c r="J68" s="62" t="n"/>
      <c r="K68" s="62" t="n"/>
      <c r="L68" s="62" t="n"/>
      <c r="M68" s="62" t="n"/>
      <c r="N68" s="62" t="n"/>
      <c r="O68" s="60" t="n"/>
    </row>
    <row r="70">
      <c r="B70" s="0" t="inlineStr">
        <is>
          <t>※1　指摘分類エイリアスと指摘分類の対応付けは「指摘分類マッピング設定」シートで行います。</t>
        </is>
      </c>
    </row>
    <row r="71">
      <c r="B71" s="0" t="inlineStr">
        <is>
          <t>※2　例えば、指摘事項を書いたメモの最終行が「7/1浦上 済」であれば、「7/1浦上」が転記されます。</t>
        </is>
      </c>
    </row>
  </sheetData>
  <pageMargins left="0.7" right="0.7" top="0.75" bottom="0.75" header="0.3" footer="0.3"/>
  <pageSetup orientation="portrait" paperSize="9"/>
  <drawing xmlns:r="http://schemas.openxmlformats.org/officeDocument/2006/relationships" r:id="rId1"/>
</worksheet>
</file>

<file path=xl/worksheets/sheet9.xml><?xml version="1.0" encoding="utf-8"?>
<worksheet xmlns="http://schemas.openxmlformats.org/spreadsheetml/2006/main">
  <sheetPr codeName="SheetTemplate">
    <tabColor indexed="44"/>
    <outlinePr summaryBelow="1" summaryRight="1"/>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baseColWidth="8" defaultRowHeight="13.5"/>
  <cols>
    <col width="13.25" customWidth="1" style="87" min="2" max="11"/>
    <col width="3.375" customWidth="1" style="87" min="12" max="20"/>
    <col width="73.625" customWidth="1" style="87" min="21" max="21"/>
  </cols>
  <sheetData>
    <row r="1">
      <c r="A1" s="8" t="inlineStr">
        <is>
          <t>＜レビュー結果＞</t>
        </is>
      </c>
      <c r="L1" s="33" t="n"/>
      <c r="U1" s="28" t="inlineStr">
        <is>
          <t>この列は削除しないでください。（行の高さ調整用です。）</t>
        </is>
      </c>
    </row>
    <row r="2">
      <c r="A2" s="0" t="inlineStr">
        <is>
          <t>文書ID:</t>
        </is>
      </c>
      <c r="E2" s="19" t="inlineStr">
        <is>
          <t>レビュー日時</t>
        </is>
      </c>
      <c r="F2" s="20" t="n"/>
      <c r="G2" s="20" t="n"/>
      <c r="H2" s="20" t="n"/>
      <c r="I2" s="21" t="n"/>
      <c r="L2" s="33" t="n"/>
    </row>
    <row r="3">
      <c r="A3" s="86" t="inlineStr">
        <is>
          <t>対象ファイル</t>
        </is>
      </c>
      <c r="B3" s="93" t="n"/>
      <c r="C3" s="86" t="inlineStr">
        <is>
          <t>回</t>
        </is>
      </c>
      <c r="E3" s="9" t="inlineStr">
        <is>
          <t>実施日</t>
        </is>
      </c>
      <c r="F3" s="9" t="inlineStr">
        <is>
          <t>開始</t>
        </is>
      </c>
      <c r="G3" s="5" t="n"/>
      <c r="H3" s="9" t="inlineStr">
        <is>
          <t>終了</t>
        </is>
      </c>
      <c r="I3" s="86" t="inlineStr">
        <is>
          <t>レビュー時間</t>
        </is>
      </c>
    </row>
    <row r="4">
      <c r="A4" s="85" t="n"/>
      <c r="B4" s="93" t="n"/>
      <c r="C4" s="85" t="n"/>
      <c r="E4" s="11" t="n"/>
      <c r="F4" s="12" t="n"/>
      <c r="G4" s="3" t="inlineStr">
        <is>
          <t>～</t>
        </is>
      </c>
      <c r="H4" s="12" t="n"/>
      <c r="I4" s="85" t="n"/>
    </row>
    <row r="6">
      <c r="A6" s="8" t="inlineStr">
        <is>
          <t>指摘件数</t>
        </is>
      </c>
    </row>
    <row r="7">
      <c r="B7" s="4" t="inlineStr">
        <is>
          <t>a</t>
        </is>
      </c>
      <c r="C7" s="4" t="inlineStr">
        <is>
          <t>b</t>
        </is>
      </c>
      <c r="D7" s="5" t="inlineStr">
        <is>
          <t>c</t>
        </is>
      </c>
      <c r="E7" s="5" t="inlineStr">
        <is>
          <t>d</t>
        </is>
      </c>
      <c r="F7" s="5" t="inlineStr">
        <is>
          <t>e</t>
        </is>
      </c>
      <c r="G7" s="5" t="inlineStr">
        <is>
          <t>f</t>
        </is>
      </c>
      <c r="H7" s="5" t="inlineStr">
        <is>
          <t>g</t>
        </is>
      </c>
      <c r="I7" s="5" t="inlineStr">
        <is>
          <t>h</t>
        </is>
      </c>
      <c r="J7" s="5" t="inlineStr">
        <is>
          <t>i</t>
        </is>
      </c>
    </row>
    <row r="8" ht="27" customHeight="1" s="87">
      <c r="A8" s="86" t="inlineStr">
        <is>
          <t>対応状況</t>
        </is>
      </c>
      <c r="B8" s="6" t="inlineStr">
        <is>
          <t>01_要件漏れ</t>
        </is>
      </c>
      <c r="C8" s="6" t="inlineStr">
        <is>
          <t>02_要件誤り</t>
        </is>
      </c>
      <c r="D8" s="6" t="inlineStr">
        <is>
          <t>11_機能・仕様漏れ</t>
        </is>
      </c>
      <c r="E8" s="7" t="inlineStr">
        <is>
          <t>12_機能・仕様誤り</t>
        </is>
      </c>
      <c r="F8" s="6" t="inlineStr">
        <is>
          <t>21_設計・ドキュメント規約違反</t>
        </is>
      </c>
      <c r="G8" s="6" t="inlineStr">
        <is>
          <t>22_記述誤り</t>
        </is>
      </c>
      <c r="H8" s="6" t="inlineStr">
        <is>
          <t>91_疑問点、確認</t>
        </is>
      </c>
      <c r="I8" s="6" t="inlineStr">
        <is>
          <t>92_改善要望</t>
        </is>
      </c>
      <c r="J8" s="7" t="inlineStr">
        <is>
          <t>93_仕様変更</t>
        </is>
      </c>
      <c r="K8" s="18" t="inlineStr">
        <is>
          <t>計</t>
        </is>
      </c>
      <c r="L8" s="77" t="n"/>
      <c r="M8" s="77" t="n"/>
      <c r="N8" s="77" t="n"/>
      <c r="O8" s="77" t="n"/>
      <c r="P8" s="77" t="n"/>
      <c r="Q8" s="77" t="n"/>
      <c r="R8" s="77" t="n"/>
      <c r="S8" s="77" t="n"/>
      <c r="T8" s="77" t="n"/>
    </row>
    <row r="9">
      <c r="A9" s="86" t="inlineStr">
        <is>
          <t>済</t>
        </is>
      </c>
      <c r="B9" s="97">
        <f>IF(SUMIF($K15:$K16,$A9,L15:L16)=0,"",SUMIF($K15:$K16,$A9,L15:L16))</f>
        <v/>
      </c>
      <c r="C9" s="97">
        <f>IF(SUMIF($K15:$K16,$A9,M15:M16)=0,"",SUMIF($K15:$K16,$A9,M15:M16))</f>
        <v/>
      </c>
      <c r="D9" s="97">
        <f>IF(SUMIF($K15:$K16,$A9,N15:N16)=0,"",SUMIF($K15:$K16,$A9,N15:N16))</f>
        <v/>
      </c>
      <c r="E9" s="97">
        <f>IF(SUMIF($K15:$K16,$A9,O15:O16)=0,"",SUMIF($K15:$K16,$A9,O15:O16))</f>
        <v/>
      </c>
      <c r="F9" s="97">
        <f>IF(SUMIF($K15:$K16,$A9,P15:P16)=0,"",SUMIF($K15:$K16,$A9,P15:P16))</f>
        <v/>
      </c>
      <c r="G9" s="97">
        <f>IF(SUMIF($K15:$K16,$A9,Q15:Q16)=0,"",SUMIF($K15:$K16,$A9,Q15:Q16))</f>
        <v/>
      </c>
      <c r="H9" s="97">
        <f>IF(SUMIF($K15:$K16,$A9,R15:R16)=0,"",SUMIF($K15:$K16,$A9,R15:R16))</f>
        <v/>
      </c>
      <c r="I9" s="97">
        <f>IF(SUMIF($K15:$K16,$A9,S15:S16)=0,"",SUMIF($K15:$K16,$A9,S15:S16))</f>
        <v/>
      </c>
      <c r="J9" s="97">
        <f>IF(SUMIF($K15:$K16,$A9,T15:T16)=0,"",SUMIF($K15:$K16,$A9,T15:T16))</f>
        <v/>
      </c>
      <c r="K9" s="98">
        <f>SUM(B9:J9)</f>
        <v/>
      </c>
      <c r="L9" s="8" t="n"/>
      <c r="M9" s="8" t="n"/>
      <c r="N9" s="8" t="n"/>
      <c r="O9" s="8" t="n"/>
      <c r="P9" s="8" t="n"/>
      <c r="Q9" s="8" t="n"/>
      <c r="R9" s="8" t="n"/>
      <c r="S9" s="8" t="n"/>
      <c r="T9" s="8" t="n"/>
    </row>
    <row r="10">
      <c r="A10" s="86" t="inlineStr">
        <is>
          <t>未</t>
        </is>
      </c>
      <c r="B10" s="97">
        <f>IF(SUMIF($K15:$K16,$A10,L15:L16)=0,"",SUMIF($K15:$K16,$A10,L15:L16))</f>
        <v/>
      </c>
      <c r="C10" s="97">
        <f>IF(SUMIF($K15:$K16,$A10,M15:M16)=0,"",SUMIF($K15:$K16,$A10,M15:M16))</f>
        <v/>
      </c>
      <c r="D10" s="97">
        <f>IF(SUMIF($K15:$K16,$A10,N15:N16)=0,"",SUMIF($K15:$K16,$A10,N15:N16))</f>
        <v/>
      </c>
      <c r="E10" s="97">
        <f>IF(SUMIF($K15:$K16,$A10,O15:O16)=0,"",SUMIF($K15:$K16,$A10,O15:O16))</f>
        <v/>
      </c>
      <c r="F10" s="97">
        <f>IF(SUMIF($K15:$K16,$A10,P15:P16)=0,"",SUMIF($K15:$K16,$A10,P15:P16))</f>
        <v/>
      </c>
      <c r="G10" s="97">
        <f>IF(SUMIF($K15:$K16,$A10,Q15:Q16)=0,"",SUMIF($K15:$K16,$A10,Q15:Q16))</f>
        <v/>
      </c>
      <c r="H10" s="97">
        <f>IF(SUMIF($K15:$K16,$A10,R15:R16)=0,"",SUMIF($K15:$K16,$A10,R15:R16))</f>
        <v/>
      </c>
      <c r="I10" s="97">
        <f>IF(SUMIF($K15:$K16,$A10,S15:S16)=0,"",SUMIF($K15:$K16,$A10,S15:S16))</f>
        <v/>
      </c>
      <c r="J10" s="97">
        <f>IF(SUMIF($K15:$K16,$A10,T15:T16)=0,"",SUMIF($K15:$K16,$A10,T15:T16))</f>
        <v/>
      </c>
      <c r="K10" s="98">
        <f>SUM(B10:J10)</f>
        <v/>
      </c>
      <c r="L10" s="8" t="n"/>
      <c r="M10" s="8" t="n"/>
      <c r="N10" s="8" t="n"/>
      <c r="O10" s="8" t="n"/>
      <c r="P10" s="8" t="n"/>
      <c r="Q10" s="8" t="n"/>
      <c r="R10" s="8" t="n"/>
      <c r="S10" s="8" t="n"/>
      <c r="T10" s="8" t="n"/>
    </row>
    <row r="11">
      <c r="A11" s="37" t="inlineStr">
        <is>
          <t>計</t>
        </is>
      </c>
      <c r="B11" s="99">
        <f>SUM(B9:B10)</f>
        <v/>
      </c>
      <c r="C11" s="99">
        <f>SUM(C9:C10)</f>
        <v/>
      </c>
      <c r="D11" s="99">
        <f>SUM(D9:D10)</f>
        <v/>
      </c>
      <c r="E11" s="99">
        <f>SUM(E9:E10)</f>
        <v/>
      </c>
      <c r="F11" s="99">
        <f>SUM(F9:F10)</f>
        <v/>
      </c>
      <c r="G11" s="99">
        <f>SUM(G9:G10)</f>
        <v/>
      </c>
      <c r="H11" s="99">
        <f>SUM(H9:H10)</f>
        <v/>
      </c>
      <c r="I11" s="99">
        <f>SUM(I9:I10)</f>
        <v/>
      </c>
      <c r="J11" s="99">
        <f>SUM(J9:J10)</f>
        <v/>
      </c>
      <c r="K11" s="99">
        <f>SUM(K9:K10)</f>
        <v/>
      </c>
    </row>
    <row r="12">
      <c r="A12" s="8" t="n"/>
      <c r="B12" s="100" t="n"/>
      <c r="C12" s="100" t="n"/>
      <c r="D12" s="100" t="n"/>
      <c r="E12" s="100" t="n"/>
      <c r="F12" s="100" t="n"/>
      <c r="G12" s="100" t="n"/>
      <c r="H12" s="100" t="n"/>
      <c r="I12" s="100" t="n"/>
      <c r="J12" s="100" t="n"/>
      <c r="K12" s="100" t="n"/>
    </row>
    <row r="13">
      <c r="A13" s="17" t="inlineStr">
        <is>
          <t>指摘詳細</t>
        </is>
      </c>
      <c r="B13" s="1" t="n"/>
      <c r="C13" s="1" t="n"/>
      <c r="D13" s="1" t="n"/>
      <c r="F13" s="1" t="n"/>
      <c r="L13" s="33" t="inlineStr">
        <is>
          <t>集計用ワーク</t>
        </is>
      </c>
      <c r="M13" s="33" t="n"/>
      <c r="N13" s="33" t="n"/>
      <c r="O13" s="33" t="n"/>
      <c r="P13" s="33" t="n"/>
      <c r="Q13" s="33" t="n"/>
      <c r="R13" s="33" t="n"/>
      <c r="S13" s="33" t="n"/>
      <c r="T13" s="33" t="n"/>
    </row>
    <row r="14">
      <c r="A14" s="13" t="inlineStr">
        <is>
          <t>シート</t>
        </is>
      </c>
      <c r="B14" s="13" t="inlineStr">
        <is>
          <t>場所</t>
        </is>
      </c>
      <c r="C14" s="13" t="inlineStr">
        <is>
          <t>指摘者</t>
        </is>
      </c>
      <c r="D14" s="13" t="inlineStr">
        <is>
          <t>指摘種別</t>
        </is>
      </c>
      <c r="E14" s="16" t="inlineStr">
        <is>
          <t>指摘内容</t>
        </is>
      </c>
      <c r="F14" s="35" t="n"/>
      <c r="G14" s="14" t="n"/>
      <c r="H14" s="14" t="n"/>
      <c r="I14" s="14" t="n"/>
      <c r="J14" s="15" t="n"/>
      <c r="K14" s="36" t="inlineStr">
        <is>
          <t>対応状況</t>
        </is>
      </c>
      <c r="L14" s="27" t="inlineStr">
        <is>
          <t>a</t>
        </is>
      </c>
      <c r="M14" s="27" t="inlineStr">
        <is>
          <t>b</t>
        </is>
      </c>
      <c r="N14" s="27" t="inlineStr">
        <is>
          <t>c</t>
        </is>
      </c>
      <c r="O14" s="27" t="inlineStr">
        <is>
          <t>d</t>
        </is>
      </c>
      <c r="P14" s="27" t="inlineStr">
        <is>
          <t>e</t>
        </is>
      </c>
      <c r="Q14" s="27" t="inlineStr">
        <is>
          <t>f</t>
        </is>
      </c>
      <c r="R14" s="27" t="inlineStr">
        <is>
          <t>g</t>
        </is>
      </c>
      <c r="S14" s="27" t="inlineStr">
        <is>
          <t>h</t>
        </is>
      </c>
      <c r="T14" s="27" t="inlineStr">
        <is>
          <t>i</t>
        </is>
      </c>
    </row>
    <row r="15">
      <c r="A15" s="85" t="n"/>
      <c r="B15" s="85" t="n"/>
      <c r="C15" s="85" t="n"/>
      <c r="D15" s="85" t="n"/>
      <c r="E15" s="85" t="n"/>
      <c r="F15" s="92" t="n"/>
      <c r="G15" s="92" t="n"/>
      <c r="H15" s="92" t="n"/>
      <c r="I15" s="92" t="n"/>
      <c r="J15" s="93" t="n"/>
      <c r="K15" s="85" t="n"/>
      <c r="L15" s="34">
        <f>IF($D15=L$14,1,0)</f>
        <v/>
      </c>
      <c r="M15" s="34">
        <f>IF($D15=M$14,1,0)</f>
        <v/>
      </c>
      <c r="N15" s="34">
        <f>IF($D15=N$14,1,0)</f>
        <v/>
      </c>
      <c r="O15" s="34">
        <f>IF($D15=O$14,1,0)</f>
        <v/>
      </c>
      <c r="P15" s="34">
        <f>IF($D15=P$14,1,0)</f>
        <v/>
      </c>
      <c r="Q15" s="34">
        <f>IF($D15=Q$14,1,0)</f>
        <v/>
      </c>
      <c r="R15" s="34">
        <f>IF($D15=R$14,1,0)</f>
        <v/>
      </c>
      <c r="S15" s="34">
        <f>IF($D15=S$14,1,0)</f>
        <v/>
      </c>
      <c r="T15" s="34">
        <f>IF($D15=T$14,1,0)</f>
        <v/>
      </c>
      <c r="U15" s="22">
        <f>IF(E15&lt;&gt;"",E15,"")</f>
        <v/>
      </c>
    </row>
    <row r="16">
      <c r="A16" s="85" t="n"/>
      <c r="B16" s="85" t="n"/>
      <c r="C16" s="85" t="n"/>
      <c r="D16" s="85" t="n"/>
      <c r="E16" s="85" t="n"/>
      <c r="F16" s="92" t="n"/>
      <c r="G16" s="92" t="n"/>
      <c r="H16" s="92" t="n"/>
      <c r="I16" s="92" t="n"/>
      <c r="J16" s="93" t="n"/>
      <c r="K16" s="85" t="n"/>
      <c r="L16" s="34">
        <f>IF($D16=L$14,1,0)</f>
        <v/>
      </c>
      <c r="M16" s="34">
        <f>IF($D16=M$14,1,0)</f>
        <v/>
      </c>
      <c r="N16" s="34">
        <f>IF($D16=N$14,1,0)</f>
        <v/>
      </c>
      <c r="O16" s="34">
        <f>IF($D16=O$14,1,0)</f>
        <v/>
      </c>
      <c r="P16" s="34">
        <f>IF($D16=P$14,1,0)</f>
        <v/>
      </c>
      <c r="Q16" s="34">
        <f>IF($D16=Q$14,1,0)</f>
        <v/>
      </c>
      <c r="R16" s="34">
        <f>IF($D16=R$14,1,0)</f>
        <v/>
      </c>
      <c r="S16" s="34">
        <f>IF($D16=S$14,1,0)</f>
        <v/>
      </c>
      <c r="T16" s="34">
        <f>IF($D16=T$14,1,0)</f>
        <v/>
      </c>
      <c r="U16" s="22">
        <f>IF(E16&lt;&gt;"",E16,"")</f>
        <v/>
      </c>
    </row>
  </sheetData>
  <mergeCells count="4">
    <mergeCell ref="A4:B4"/>
    <mergeCell ref="A3:B3"/>
    <mergeCell ref="E16:J16"/>
    <mergeCell ref="E15:J15"/>
  </mergeCells>
  <conditionalFormatting sqref="A15:K16">
    <cfRule type="expression" priority="1" dxfId="0" stopIfTrue="1">
      <formula>$K15="済"</formula>
    </cfRule>
  </conditionalFormatting>
  <dataValidations disablePrompts="1" count="1">
    <dataValidation sqref="K15:K16" showDropDown="0" showInputMessage="1" showErrorMessage="1" allowBlank="1" type="list">
      <formula1>"未,済"</formula1>
    </dataValidation>
  </dataValidations>
  <pageMargins left="0.75" right="0.75" top="1" bottom="1" header="0.512" footer="0.512"/>
  <pageSetup orientation="landscape" paperSize="9" scale="93" verticalDpi="200"/>
</worksheet>
</file>

<file path=xl/worksheets/sheet10.xml><?xml version="1.0" encoding="utf-8"?>
<worksheet xmlns="http://schemas.openxmlformats.org/spreadsheetml/2006/main">
  <sheetPr codeName="ErrorSheetTemplate">
    <tabColor theme="3" tint="0.5999938962981048"/>
    <outlinePr summaryBelow="1" summaryRight="1"/>
    <pageSetUpPr/>
  </sheetPr>
  <dimension ref="A1:B2"/>
  <sheetViews>
    <sheetView workbookViewId="0">
      <selection activeCell="A1" sqref="A1"/>
    </sheetView>
  </sheetViews>
  <sheetFormatPr baseColWidth="8" defaultRowHeight="13.5"/>
  <cols>
    <col width="78.875" customWidth="1" style="1" min="1" max="1"/>
    <col width="31.625" customWidth="1" style="87" min="2" max="2"/>
  </cols>
  <sheetData>
    <row r="1">
      <c r="A1" s="17" t="inlineStr">
        <is>
          <t>＜エラー＞</t>
        </is>
      </c>
    </row>
    <row r="2">
      <c r="A2" s="1" t="inlineStr">
        <is>
          <t>エラー内容</t>
        </is>
      </c>
      <c r="B2" s="0" t="inlineStr">
        <is>
          <t>場所</t>
        </is>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2023-08-01T09:27:52Z</dcterms:created>
  <dcterms:modified xsi:type="dcterms:W3CDTF">2026-03-24T13:58:15Z</dcterms:modified>
</cp:coreProperties>
</file>