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filterPrivacy="1" codeName="ThisWorkbook" defaultThemeVersion="124226"/>
  <xr:revisionPtr revIDLastSave="0" documentId="13_ncr:1_{20F7DEF9-FB8F-4872-A130-1D04F2A7702C}" xr6:coauthVersionLast="47" xr6:coauthVersionMax="47" xr10:uidLastSave="{00000000-0000-0000-0000-000000000000}"/>
  <bookViews>
    <workbookView xWindow="5265" yWindow="5265" windowWidth="26865" windowHeight="15345" activeTab="1" xr2:uid="{00000000-000D-0000-FFFF-FFFF00000000}"/>
  </bookViews>
  <sheets>
    <sheet name="改版履歴" sheetId="3" r:id="rId1"/>
    <sheet name="利用ガイド" sheetId="9" r:id="rId2"/>
    <sheet name="レビュー指摘事項抽出" sheetId="1" r:id="rId3"/>
    <sheet name="基本設定" sheetId="8" r:id="rId4"/>
    <sheet name="項目マッピング設定" sheetId="7" r:id="rId5"/>
    <sheet name="指摘分類マッピング設定" sheetId="6" r:id="rId6"/>
    <sheet name="これより右はツールが使用するシート" sheetId="10" r:id="rId7"/>
    <sheet name="項目マッピング設定ガイド" sheetId="11" state="hidden" r:id="rId8"/>
    <sheet name="レビュー結果シートテンプレート" sheetId="4" r:id="rId9"/>
    <sheet name="エラーシートテンプレート" sheetId="5" r:id="rId10"/>
  </sheets>
  <functionGroups builtInGroupCount="19"/>
  <definedNames>
    <definedName name="CONDITIONAL_CATEGORY">レビュー指摘事項抽出!$P$16</definedName>
    <definedName name="CONDITIONAL_COUNT">レビュー指摘事項抽出!$P$18</definedName>
    <definedName name="_xlnm.Print_Area" localSheetId="8">レビュー結果シートテンプレート!$A$1:$K$16</definedName>
    <definedName name="_xlnm.Print_Area" localSheetId="2">レビュー指摘事項抽出!$A$1:$T$118</definedName>
    <definedName name="REVIEW_LIST_FILEPATH">レビュー指摘事項抽出!$G$8</definedName>
    <definedName name="REVIEW_LIST_PHASE">レビュー指摘事項抽出!$G$14</definedName>
    <definedName name="REVIEW_LIST_PHASE_CELL">レビュー指摘事項抽出!$L$14</definedName>
    <definedName name="REVIEW_LIST_PHASE_SHEET">レビュー指摘事項抽出!$J$14</definedName>
    <definedName name="REVIEW_LIST_RESULT">レビュー指摘事項抽出!$G$20</definedName>
    <definedName name="REVIEW_LIST_RESULT_CELL">レビュー指摘事項抽出!$L$20</definedName>
    <definedName name="REVIEW_LIST_RESULT_SHEET">レビュー指摘事項抽出!$J$20</definedName>
    <definedName name="REVIEW_LIST_REVIEWEE">レビュー指摘事項抽出!$G$18</definedName>
    <definedName name="REVIEW_LIST_REVIEWEE_CELL">レビュー指摘事項抽出!$L$18</definedName>
    <definedName name="REVIEW_LIST_REVIEWEE_SHEET">レビュー指摘事項抽出!$J$18</definedName>
    <definedName name="REVIEW_LIST_REVIEWER">レビュー指摘事項抽出!$G$16</definedName>
    <definedName name="REVIEW_LIST_REVIEWER_CELL">レビュー指摘事項抽出!$L$16</definedName>
    <definedName name="REVIEW_LIST_REVIEWER_SHEET">レビュー指摘事項抽出!$J$16</definedName>
    <definedName name="REVIEW_LIST_SHEET">レビュー指摘事項抽出!$G$10</definedName>
    <definedName name="REVIEW_TIMES">レビュー指摘事項抽出!$G$4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4" l="1"/>
  <c r="D10" i="4"/>
  <c r="E10" i="4"/>
  <c r="F10" i="4"/>
  <c r="G10" i="4"/>
  <c r="H10" i="4"/>
  <c r="I10" i="4"/>
  <c r="K10" i="4" s="1"/>
  <c r="J10" i="4"/>
  <c r="B10" i="4"/>
  <c r="C9" i="4"/>
  <c r="C11" i="4"/>
  <c r="D9" i="4"/>
  <c r="D11" i="4"/>
  <c r="E9" i="4"/>
  <c r="E11" i="4"/>
  <c r="F9" i="4"/>
  <c r="F11" i="4" s="1"/>
  <c r="G9" i="4"/>
  <c r="G11" i="4" s="1"/>
  <c r="H9" i="4"/>
  <c r="H11" i="4" s="1"/>
  <c r="I9" i="4"/>
  <c r="I11" i="4" s="1"/>
  <c r="J9" i="4"/>
  <c r="J11" i="4" s="1"/>
  <c r="B9" i="4"/>
  <c r="B11" i="4" s="1"/>
  <c r="U16" i="4"/>
  <c r="U15" i="4"/>
  <c r="L16" i="4"/>
  <c r="M16" i="4"/>
  <c r="N16" i="4"/>
  <c r="O16" i="4"/>
  <c r="P16" i="4"/>
  <c r="Q16" i="4"/>
  <c r="R16" i="4"/>
  <c r="S16" i="4"/>
  <c r="T16" i="4"/>
  <c r="M15" i="4"/>
  <c r="N15" i="4"/>
  <c r="O15" i="4"/>
  <c r="P15" i="4"/>
  <c r="Q15" i="4"/>
  <c r="R15" i="4"/>
  <c r="S15" i="4"/>
  <c r="T15" i="4"/>
  <c r="L15" i="4"/>
  <c r="K9" i="4" l="1"/>
  <c r="K11" i="4" s="1"/>
</calcChain>
</file>

<file path=xl/sharedStrings.xml><?xml version="1.0" encoding="utf-8"?>
<sst xmlns="http://schemas.openxmlformats.org/spreadsheetml/2006/main" count="340" uniqueCount="255">
  <si>
    <t>指摘内容</t>
    <rPh sb="0" eb="2">
      <t>シテキ</t>
    </rPh>
    <rPh sb="2" eb="4">
      <t>ナイヨウ</t>
    </rPh>
    <phoneticPr fontId="2"/>
  </si>
  <si>
    <t>場所</t>
    <rPh sb="0" eb="2">
      <t>バショ</t>
    </rPh>
    <phoneticPr fontId="2"/>
  </si>
  <si>
    <t>指摘者</t>
    <rPh sb="0" eb="2">
      <t>シテキ</t>
    </rPh>
    <rPh sb="2" eb="3">
      <t>シャ</t>
    </rPh>
    <phoneticPr fontId="2"/>
  </si>
  <si>
    <t>指摘種別</t>
    <rPh sb="0" eb="2">
      <t>シテキ</t>
    </rPh>
    <rPh sb="2" eb="4">
      <t>シュベツ</t>
    </rPh>
    <phoneticPr fontId="2"/>
  </si>
  <si>
    <t>a</t>
  </si>
  <si>
    <t>g</t>
  </si>
  <si>
    <t>レビュー日時</t>
    <rPh sb="4" eb="6">
      <t>ニチジ</t>
    </rPh>
    <phoneticPr fontId="2"/>
  </si>
  <si>
    <t>開始</t>
    <rPh sb="0" eb="2">
      <t>カイシ</t>
    </rPh>
    <phoneticPr fontId="2"/>
  </si>
  <si>
    <t>終了</t>
    <rPh sb="0" eb="2">
      <t>シュウリョウ</t>
    </rPh>
    <phoneticPr fontId="2"/>
  </si>
  <si>
    <t>実施日</t>
    <rPh sb="0" eb="3">
      <t>ジッシビ</t>
    </rPh>
    <phoneticPr fontId="2"/>
  </si>
  <si>
    <t>指摘詳細</t>
    <rPh sb="0" eb="2">
      <t>シテキ</t>
    </rPh>
    <rPh sb="2" eb="4">
      <t>ショウサイ</t>
    </rPh>
    <phoneticPr fontId="2"/>
  </si>
  <si>
    <t>指摘件数</t>
    <rPh sb="0" eb="2">
      <t>シテキ</t>
    </rPh>
    <rPh sb="2" eb="4">
      <t>ケンスウ</t>
    </rPh>
    <phoneticPr fontId="2"/>
  </si>
  <si>
    <t>計</t>
    <rPh sb="0" eb="1">
      <t>ケイ</t>
    </rPh>
    <phoneticPr fontId="2"/>
  </si>
  <si>
    <t>対象ファイル</t>
    <rPh sb="0" eb="2">
      <t>タイショウ</t>
    </rPh>
    <phoneticPr fontId="2"/>
  </si>
  <si>
    <t>＜レビュー結果＞</t>
    <rPh sb="5" eb="7">
      <t>ケッカ</t>
    </rPh>
    <phoneticPr fontId="2"/>
  </si>
  <si>
    <t>回</t>
    <rPh sb="0" eb="1">
      <t>カイ</t>
    </rPh>
    <phoneticPr fontId="2"/>
  </si>
  <si>
    <t>改版履歴</t>
    <rPh sb="0" eb="2">
      <t>カイハン</t>
    </rPh>
    <rPh sb="2" eb="4">
      <t>リレキ</t>
    </rPh>
    <phoneticPr fontId="2"/>
  </si>
  <si>
    <t>No.</t>
    <phoneticPr fontId="2"/>
  </si>
  <si>
    <t>改版日付</t>
    <rPh sb="0" eb="2">
      <t>カイハン</t>
    </rPh>
    <rPh sb="2" eb="4">
      <t>ヒヅケ</t>
    </rPh>
    <phoneticPr fontId="2"/>
  </si>
  <si>
    <t>担当</t>
    <rPh sb="0" eb="2">
      <t>タントウ</t>
    </rPh>
    <phoneticPr fontId="2"/>
  </si>
  <si>
    <t>内容</t>
    <rPh sb="0" eb="2">
      <t>ナイヨウ</t>
    </rPh>
    <phoneticPr fontId="2"/>
  </si>
  <si>
    <t xml:space="preserve"> レビュー指摘事項抽出ツール</t>
    <rPh sb="5" eb="7">
      <t>シテキ</t>
    </rPh>
    <rPh sb="7" eb="9">
      <t>ジコウ</t>
    </rPh>
    <rPh sb="9" eb="11">
      <t>チュウシュツ</t>
    </rPh>
    <phoneticPr fontId="2"/>
  </si>
  <si>
    <t>対応内容</t>
    <rPh sb="0" eb="2">
      <t>タイオウ</t>
    </rPh>
    <rPh sb="2" eb="4">
      <t>ナイヨウ</t>
    </rPh>
    <phoneticPr fontId="2"/>
  </si>
  <si>
    <t>この列は削除しないでください。（行の高さ調整用です。）</t>
    <rPh sb="2" eb="3">
      <t>レツ</t>
    </rPh>
    <rPh sb="4" eb="6">
      <t>サクジョ</t>
    </rPh>
    <rPh sb="16" eb="17">
      <t>ギョウ</t>
    </rPh>
    <rPh sb="18" eb="19">
      <t>タカ</t>
    </rPh>
    <rPh sb="20" eb="22">
      <t>チョウセイ</t>
    </rPh>
    <rPh sb="22" eb="23">
      <t>ヨウ</t>
    </rPh>
    <phoneticPr fontId="2"/>
  </si>
  <si>
    <t>対応状況</t>
    <rPh sb="0" eb="2">
      <t>タイオウ</t>
    </rPh>
    <rPh sb="2" eb="4">
      <t>ジョウキョウ</t>
    </rPh>
    <phoneticPr fontId="2"/>
  </si>
  <si>
    <t>～</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</si>
  <si>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</si>
  <si>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</si>
  <si>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</si>
  <si>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</si>
  <si>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</si>
  <si>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</si>
  <si>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</si>
  <si>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</si>
  <si>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</si>
  <si>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シート</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</si>
  <si>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</si>
  <si>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</si>
  <si>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</si>
  <si>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</si>
  <si>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</si>
  <si>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</si>
  <si>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</si>
  <si>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</si>
  <si>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</si>
  <si>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集計用ワーク</t>
    <rPh sb="0" eb="3">
      <t>シュウケイヨウ</t>
    </rPh>
    <phoneticPr fontId="2"/>
  </si>
  <si>
    <t>未</t>
    <rPh sb="0" eb="1">
      <t>ミ</t>
    </rPh>
    <phoneticPr fontId="2"/>
  </si>
  <si>
    <t>済</t>
    <rPh sb="0" eb="1">
      <t>スミ</t>
    </rPh>
    <phoneticPr fontId="2"/>
  </si>
  <si>
    <t>工程</t>
    <rPh sb="0" eb="2">
      <t>コウテイ</t>
    </rPh>
    <phoneticPr fontId="2"/>
  </si>
  <si>
    <t>対象指摘分類</t>
    <rPh sb="0" eb="2">
      <t>タイショウ</t>
    </rPh>
    <rPh sb="2" eb="4">
      <t>シテキ</t>
    </rPh>
    <rPh sb="4" eb="6">
      <t>ブンルイ</t>
    </rPh>
    <phoneticPr fontId="2"/>
  </si>
  <si>
    <t>レビュア</t>
    <phoneticPr fontId="2"/>
  </si>
  <si>
    <t>件以内</t>
    <rPh sb="0" eb="1">
      <t>ケン</t>
    </rPh>
    <rPh sb="1" eb="3">
      <t>イナイ</t>
    </rPh>
    <phoneticPr fontId="2"/>
  </si>
  <si>
    <t>シート名</t>
    <rPh sb="3" eb="4">
      <t>メイ</t>
    </rPh>
    <phoneticPr fontId="2"/>
  </si>
  <si>
    <t>固定値</t>
    <rPh sb="0" eb="3">
      <t>コテイチ</t>
    </rPh>
    <phoneticPr fontId="2"/>
  </si>
  <si>
    <t>セル</t>
    <phoneticPr fontId="2"/>
  </si>
  <si>
    <t>合否判定</t>
    <rPh sb="0" eb="2">
      <t>ゴウヒ</t>
    </rPh>
    <rPh sb="2" eb="4">
      <t>ハンテイ</t>
    </rPh>
    <phoneticPr fontId="2"/>
  </si>
  <si>
    <t>作成者・レビュイ</t>
    <rPh sb="0" eb="3">
      <t>サクセイシャ</t>
    </rPh>
    <phoneticPr fontId="2"/>
  </si>
  <si>
    <t>文書ID:</t>
    <rPh sb="0" eb="2">
      <t>ブンショ</t>
    </rPh>
    <phoneticPr fontId="2"/>
  </si>
  <si>
    <t>ファイルパス：</t>
    <phoneticPr fontId="2"/>
  </si>
  <si>
    <t>一覧への反映値：</t>
    <rPh sb="0" eb="2">
      <t>イチラン</t>
    </rPh>
    <rPh sb="4" eb="6">
      <t>ハンエイ</t>
    </rPh>
    <rPh sb="6" eb="7">
      <t>チ</t>
    </rPh>
    <phoneticPr fontId="2"/>
  </si>
  <si>
    <t>成果物種類</t>
    <rPh sb="0" eb="3">
      <t>セイカブツ</t>
    </rPh>
    <rPh sb="3" eb="5">
      <t>シュルイ</t>
    </rPh>
    <phoneticPr fontId="2"/>
  </si>
  <si>
    <t>シート名：</t>
    <rPh sb="3" eb="4">
      <t>メイ</t>
    </rPh>
    <phoneticPr fontId="2"/>
  </si>
  <si>
    <t>成果物から取得</t>
    <rPh sb="0" eb="3">
      <t>セイカブツ</t>
    </rPh>
    <rPh sb="5" eb="7">
      <t>シュトク</t>
    </rPh>
    <phoneticPr fontId="2"/>
  </si>
  <si>
    <t>エラー内容</t>
    <rPh sb="3" eb="5">
      <t>ナイヨウ</t>
    </rPh>
    <phoneticPr fontId="2"/>
  </si>
  <si>
    <t>＜エラー＞</t>
    <phoneticPr fontId="2"/>
  </si>
  <si>
    <t>レビュー記録一覧</t>
    <rPh sb="4" eb="6">
      <t>キロク</t>
    </rPh>
    <rPh sb="6" eb="8">
      <t>イチラン</t>
    </rPh>
    <phoneticPr fontId="2"/>
  </si>
  <si>
    <t>指摘分類</t>
    <rPh sb="0" eb="2">
      <t>シテキ</t>
    </rPh>
    <rPh sb="2" eb="4">
      <t>ブンルイ</t>
    </rPh>
    <phoneticPr fontId="2"/>
  </si>
  <si>
    <t>レビュー回数</t>
    <rPh sb="4" eb="6">
      <t>カイスウ</t>
    </rPh>
    <phoneticPr fontId="2"/>
  </si>
  <si>
    <t>ページ数</t>
    <rPh sb="3" eb="4">
      <t>スウ</t>
    </rPh>
    <phoneticPr fontId="2"/>
  </si>
  <si>
    <t>レビュー開始日時</t>
    <rPh sb="4" eb="6">
      <t>カイシ</t>
    </rPh>
    <rPh sb="6" eb="8">
      <t>ニチジ</t>
    </rPh>
    <phoneticPr fontId="2"/>
  </si>
  <si>
    <t>レビュー日付</t>
    <rPh sb="4" eb="6">
      <t>ヒヅケ</t>
    </rPh>
    <phoneticPr fontId="2"/>
  </si>
  <si>
    <t>レビュイ</t>
    <phoneticPr fontId="2"/>
  </si>
  <si>
    <t>A</t>
    <phoneticPr fontId="2"/>
  </si>
  <si>
    <t>D</t>
    <phoneticPr fontId="2"/>
  </si>
  <si>
    <t>レビュー開始時刻</t>
    <rPh sb="4" eb="6">
      <t>カイシ</t>
    </rPh>
    <rPh sb="6" eb="8">
      <t>ジコク</t>
    </rPh>
    <phoneticPr fontId="2"/>
  </si>
  <si>
    <t>レビュー終了時刻</t>
    <rPh sb="4" eb="6">
      <t>シュウリョウ</t>
    </rPh>
    <rPh sb="6" eb="8">
      <t>ジコク</t>
    </rPh>
    <phoneticPr fontId="2"/>
  </si>
  <si>
    <t>レビュー終了日時</t>
    <rPh sb="4" eb="6">
      <t>シュウリョウ</t>
    </rPh>
    <rPh sb="6" eb="8">
      <t>ニチジ</t>
    </rPh>
    <phoneticPr fontId="2"/>
  </si>
  <si>
    <t>E</t>
    <phoneticPr fontId="2"/>
  </si>
  <si>
    <t>F</t>
    <phoneticPr fontId="2"/>
  </si>
  <si>
    <t>H</t>
    <phoneticPr fontId="2"/>
  </si>
  <si>
    <t>K</t>
    <phoneticPr fontId="2"/>
  </si>
  <si>
    <t>指摘一覧</t>
    <rPh sb="0" eb="2">
      <t>シテキ</t>
    </rPh>
    <rPh sb="2" eb="4">
      <t>イチラン</t>
    </rPh>
    <phoneticPr fontId="2"/>
  </si>
  <si>
    <t>指摘クローズ</t>
    <rPh sb="0" eb="2">
      <t>シテキ</t>
    </rPh>
    <phoneticPr fontId="2"/>
  </si>
  <si>
    <t>B</t>
    <phoneticPr fontId="2"/>
  </si>
  <si>
    <t>C</t>
    <phoneticPr fontId="2"/>
  </si>
  <si>
    <t>I</t>
    <phoneticPr fontId="2"/>
  </si>
  <si>
    <t>J</t>
    <phoneticPr fontId="2"/>
  </si>
  <si>
    <t>M</t>
    <phoneticPr fontId="2"/>
  </si>
  <si>
    <t>O</t>
    <phoneticPr fontId="2"/>
  </si>
  <si>
    <t>設定値</t>
    <rPh sb="0" eb="3">
      <t>セッテイチ</t>
    </rPh>
    <phoneticPr fontId="2"/>
  </si>
  <si>
    <t>項目</t>
    <rPh sb="0" eb="2">
      <t>コウモク</t>
    </rPh>
    <phoneticPr fontId="2"/>
  </si>
  <si>
    <t>列</t>
    <rPh sb="0" eb="1">
      <t>レツ</t>
    </rPh>
    <phoneticPr fontId="2"/>
  </si>
  <si>
    <t>設定項目</t>
    <rPh sb="0" eb="2">
      <t>セッテイ</t>
    </rPh>
    <rPh sb="2" eb="4">
      <t>コウモク</t>
    </rPh>
    <phoneticPr fontId="2"/>
  </si>
  <si>
    <t>.*レビュー記録票.*</t>
    <rPh sb="6" eb="8">
      <t>キロク</t>
    </rPh>
    <rPh sb="8" eb="9">
      <t>ヒョウ</t>
    </rPh>
    <phoneticPr fontId="2"/>
  </si>
  <si>
    <t>行</t>
    <rPh sb="0" eb="1">
      <t>ギョウ</t>
    </rPh>
    <phoneticPr fontId="2"/>
  </si>
  <si>
    <t>P</t>
    <phoneticPr fontId="2"/>
  </si>
  <si>
    <t>レビュー時間</t>
    <rPh sb="4" eb="6">
      <t>ジカン</t>
    </rPh>
    <phoneticPr fontId="2"/>
  </si>
  <si>
    <t>詳細設計</t>
    <rPh sb="0" eb="2">
      <t>ショウサイ</t>
    </rPh>
    <rPh sb="2" eb="4">
      <t>セッケイ</t>
    </rPh>
    <phoneticPr fontId="2"/>
  </si>
  <si>
    <t>エイリアス</t>
    <phoneticPr fontId="2"/>
  </si>
  <si>
    <t>説明</t>
    <rPh sb="0" eb="2">
      <t>セツメイ</t>
    </rPh>
    <phoneticPr fontId="2"/>
  </si>
  <si>
    <t>はじめに</t>
    <phoneticPr fontId="2"/>
  </si>
  <si>
    <t>設定内容の詳細は各シートで説明しています。</t>
    <phoneticPr fontId="2"/>
  </si>
  <si>
    <t>レビュー記録サマリの使用</t>
    <rPh sb="4" eb="6">
      <t>キロク</t>
    </rPh>
    <rPh sb="10" eb="12">
      <t>シヨウ</t>
    </rPh>
    <phoneticPr fontId="2"/>
  </si>
  <si>
    <t>.*機能設計書.*</t>
    <rPh sb="2" eb="4">
      <t>キノウ</t>
    </rPh>
    <rPh sb="4" eb="7">
      <t>セッケイショ</t>
    </rPh>
    <phoneticPr fontId="2"/>
  </si>
  <si>
    <t>処理対象Excelブック名</t>
    <rPh sb="0" eb="2">
      <t>ショリ</t>
    </rPh>
    <rPh sb="2" eb="4">
      <t>タイショウ</t>
    </rPh>
    <rPh sb="12" eb="13">
      <t>メイ</t>
    </rPh>
    <phoneticPr fontId="2"/>
  </si>
  <si>
    <t>処理対象外Excelブック名</t>
    <rPh sb="0" eb="2">
      <t>ショリ</t>
    </rPh>
    <rPh sb="2" eb="4">
      <t>タイショウ</t>
    </rPh>
    <rPh sb="4" eb="5">
      <t>ガイ</t>
    </rPh>
    <rPh sb="13" eb="14">
      <t>メイ</t>
    </rPh>
    <phoneticPr fontId="2"/>
  </si>
  <si>
    <t>レビュー指摘事項を抽出する処理対象となるExcelブックのファイル名を正規表現で指定します。
デフォルトではファイル名に「機能設計書」という言葉が含まれているExcelブックが処理対象になります。</t>
    <rPh sb="4" eb="6">
      <t>シテキ</t>
    </rPh>
    <rPh sb="6" eb="8">
      <t>ジコウ</t>
    </rPh>
    <rPh sb="9" eb="11">
      <t>チュウシュツ</t>
    </rPh>
    <rPh sb="13" eb="15">
      <t>ショリ</t>
    </rPh>
    <rPh sb="15" eb="17">
      <t>タイショウ</t>
    </rPh>
    <rPh sb="33" eb="34">
      <t>メイ</t>
    </rPh>
    <rPh sb="35" eb="37">
      <t>セイキ</t>
    </rPh>
    <rPh sb="37" eb="39">
      <t>ヒョウゲン</t>
    </rPh>
    <rPh sb="40" eb="42">
      <t>シテイ</t>
    </rPh>
    <rPh sb="58" eb="59">
      <t>メイ</t>
    </rPh>
    <rPh sb="61" eb="63">
      <t>キノウ</t>
    </rPh>
    <rPh sb="63" eb="65">
      <t>セッケイ</t>
    </rPh>
    <rPh sb="65" eb="66">
      <t>ショ</t>
    </rPh>
    <rPh sb="70" eb="72">
      <t>コトバ</t>
    </rPh>
    <rPh sb="73" eb="74">
      <t>フク</t>
    </rPh>
    <rPh sb="88" eb="90">
      <t>ショリ</t>
    </rPh>
    <rPh sb="90" eb="92">
      <t>タイショウ</t>
    </rPh>
    <phoneticPr fontId="2"/>
  </si>
  <si>
    <t>上記とは逆に、処理対象外となるExcelブックのファイル名を正規表現で指定します。
デフォルトではファイル名に「レビュー記録票」という言葉が含まれているExcelブックが処理対象外になります。</t>
    <rPh sb="0" eb="2">
      <t>ジョウキ</t>
    </rPh>
    <rPh sb="4" eb="5">
      <t>ギャク</t>
    </rPh>
    <rPh sb="7" eb="9">
      <t>ショリ</t>
    </rPh>
    <rPh sb="9" eb="12">
      <t>タイショウガイ</t>
    </rPh>
    <rPh sb="28" eb="29">
      <t>メイ</t>
    </rPh>
    <rPh sb="30" eb="32">
      <t>セイキ</t>
    </rPh>
    <rPh sb="32" eb="34">
      <t>ヒョウゲン</t>
    </rPh>
    <rPh sb="35" eb="37">
      <t>シテイ</t>
    </rPh>
    <rPh sb="53" eb="54">
      <t>メイ</t>
    </rPh>
    <rPh sb="60" eb="62">
      <t>キロク</t>
    </rPh>
    <rPh sb="62" eb="63">
      <t>ヒョウ</t>
    </rPh>
    <rPh sb="67" eb="69">
      <t>コトバ</t>
    </rPh>
    <rPh sb="70" eb="71">
      <t>フク</t>
    </rPh>
    <rPh sb="85" eb="87">
      <t>ショリ</t>
    </rPh>
    <rPh sb="87" eb="90">
      <t>タイショウガイ</t>
    </rPh>
    <phoneticPr fontId="2"/>
  </si>
  <si>
    <t>レビュー記録サマリ.xlsx を使用する場合は TRUE を設定してください。レビュー記録サマリ.xlsx は、レビューのサマリを記載するフォーマットを使用していない場合にご利用頂ける簡易的なフォーマットです。
特定のレビュー記録票フォーマットを使用しており、レビューのサマリを記載するフォーマットも含んでいる場合はこの項目には FALSE を設定してください。</t>
    <rPh sb="4" eb="6">
      <t>キロク</t>
    </rPh>
    <rPh sb="16" eb="18">
      <t>シヨウ</t>
    </rPh>
    <rPh sb="20" eb="22">
      <t>バアイ</t>
    </rPh>
    <rPh sb="30" eb="32">
      <t>セッテイ</t>
    </rPh>
    <rPh sb="43" eb="45">
      <t>キロク</t>
    </rPh>
    <rPh sb="65" eb="67">
      <t>キサイ</t>
    </rPh>
    <rPh sb="76" eb="78">
      <t>シヨウ</t>
    </rPh>
    <rPh sb="83" eb="85">
      <t>バアイ</t>
    </rPh>
    <rPh sb="87" eb="89">
      <t>リヨウ</t>
    </rPh>
    <rPh sb="89" eb="90">
      <t>イタダ</t>
    </rPh>
    <rPh sb="92" eb="94">
      <t>カンイ</t>
    </rPh>
    <rPh sb="94" eb="95">
      <t>テキ</t>
    </rPh>
    <rPh sb="106" eb="108">
      <t>トクテイ</t>
    </rPh>
    <rPh sb="113" eb="115">
      <t>キロク</t>
    </rPh>
    <rPh sb="115" eb="116">
      <t>ヒョウ</t>
    </rPh>
    <rPh sb="123" eb="125">
      <t>シヨウ</t>
    </rPh>
    <rPh sb="139" eb="141">
      <t>キサイ</t>
    </rPh>
    <rPh sb="150" eb="151">
      <t>フク</t>
    </rPh>
    <rPh sb="155" eb="157">
      <t>バアイ</t>
    </rPh>
    <rPh sb="160" eb="162">
      <t>コウモク</t>
    </rPh>
    <rPh sb="172" eb="174">
      <t>セッテイ</t>
    </rPh>
    <phoneticPr fontId="2"/>
  </si>
  <si>
    <t>指摘事項</t>
    <rPh sb="0" eb="2">
      <t>シテキ</t>
    </rPh>
    <rPh sb="2" eb="4">
      <t>ジコウ</t>
    </rPh>
    <phoneticPr fontId="2"/>
  </si>
  <si>
    <t>サマリ</t>
    <phoneticPr fontId="2"/>
  </si>
  <si>
    <t>ヘッダ</t>
    <phoneticPr fontId="2"/>
  </si>
  <si>
    <t>このシートではレビュー対象成果物からツールが抽出した指摘事項や対応内容などをレビュー記録票へ転記する位置を設定します。</t>
  </si>
  <si>
    <t>デフォルトではツールに同梱しているサンプルのレビュー記録票へ転記できるよう設定しています。</t>
  </si>
  <si>
    <t>デフォルトの設定を参考にして、実際にご利用されるレビュー記録票に合わせた設定を行ってください。</t>
  </si>
  <si>
    <t>設定の概要</t>
  </si>
  <si>
    <t>設定できる項目は次の3つに分類されます。</t>
  </si>
  <si>
    <t>ヘッダとサマリは転記できる項目が同一ですが、レビューの回数ごとに行を追加して異なる値を転記したい場合はサマリを使用してください。</t>
  </si>
  <si>
    <t>レビューの概要です。転記先の列と行を設定してください。</t>
    <phoneticPr fontId="2"/>
  </si>
  <si>
    <t>レビューの概要です。1回のレビューにつき1行書き出されます。転記を開始する行と、列を設定してください。</t>
    <phoneticPr fontId="2"/>
  </si>
  <si>
    <t>指摘事項の一覧です。1つの指摘事項(メモ)につき1行書き出されます。転記を開始する行と、列を設定してください。</t>
    <phoneticPr fontId="2"/>
  </si>
  <si>
    <t>指摘一覧</t>
    <phoneticPr fontId="2"/>
  </si>
  <si>
    <t>サマリと指摘一覧は特定の単位で繰り返し書き出される項目になります。レビュー回数を転記する列が空、もしくは現在のレビュー回数と同じであれば、</t>
    <phoneticPr fontId="2"/>
  </si>
  <si>
    <t>その行から転記を開始します。レビュー回数を転記する列が前回のレビュー回数と同じであれば、その行には転記せず、次の行へ移動します。</t>
    <phoneticPr fontId="2"/>
  </si>
  <si>
    <t>次の行へ移動した後も同様の判定を繰り返して転記可能な行を検出します。</t>
    <phoneticPr fontId="2"/>
  </si>
  <si>
    <t>このとき、現在のレビュー回数を 1 に設定してツールを実行した場合、5行目から転記が開始されます。</t>
    <rPh sb="5" eb="7">
      <t>ゲンザイ</t>
    </rPh>
    <rPh sb="12" eb="14">
      <t>カイスウ</t>
    </rPh>
    <rPh sb="19" eb="21">
      <t>セッテイ</t>
    </rPh>
    <rPh sb="27" eb="29">
      <t>ジッコウ</t>
    </rPh>
    <rPh sb="31" eb="33">
      <t>バアイ</t>
    </rPh>
    <rPh sb="35" eb="37">
      <t>ギョウメ</t>
    </rPh>
    <rPh sb="39" eb="41">
      <t>テンキ</t>
    </rPh>
    <rPh sb="42" eb="44">
      <t>カイシ</t>
    </rPh>
    <phoneticPr fontId="2"/>
  </si>
  <si>
    <t>現在のレビュー回数を 2 に設定してツールを実行した場合、7行目から転記が開始されます。</t>
    <rPh sb="0" eb="2">
      <t>ゲンザイ</t>
    </rPh>
    <rPh sb="7" eb="9">
      <t>カイスウ</t>
    </rPh>
    <rPh sb="14" eb="16">
      <t>セッテイ</t>
    </rPh>
    <rPh sb="22" eb="24">
      <t>ジッコウ</t>
    </rPh>
    <rPh sb="26" eb="28">
      <t>バアイ</t>
    </rPh>
    <rPh sb="30" eb="32">
      <t>ギョウメ</t>
    </rPh>
    <rPh sb="34" eb="36">
      <t>テンキ</t>
    </rPh>
    <rPh sb="37" eb="39">
      <t>カイシ</t>
    </rPh>
    <phoneticPr fontId="2"/>
  </si>
  <si>
    <t>各項目の説明</t>
    <rPh sb="0" eb="3">
      <t>カクコウモク</t>
    </rPh>
    <rPh sb="4" eb="6">
      <t>セツメイ</t>
    </rPh>
    <phoneticPr fontId="2"/>
  </si>
  <si>
    <t>レビュー記録票へ転記できる各項目について説明します。</t>
    <rPh sb="4" eb="6">
      <t>キロク</t>
    </rPh>
    <rPh sb="6" eb="7">
      <t>ヒョウ</t>
    </rPh>
    <rPh sb="8" eb="10">
      <t>テンキ</t>
    </rPh>
    <rPh sb="13" eb="14">
      <t>カク</t>
    </rPh>
    <rPh sb="14" eb="16">
      <t>コウモク</t>
    </rPh>
    <rPh sb="20" eb="22">
      <t>セツメイ</t>
    </rPh>
    <phoneticPr fontId="2"/>
  </si>
  <si>
    <t>ヘッダ・サマリへ転記できる項目</t>
    <rPh sb="8" eb="10">
      <t>テンキ</t>
    </rPh>
    <rPh sb="13" eb="15">
      <t>コウモク</t>
    </rPh>
    <phoneticPr fontId="2"/>
  </si>
  <si>
    <t>レビュー指摘事項抽出 シートで設定した固定値、またはレビュー対象成果物から抽出した値を転記します。</t>
    <rPh sb="15" eb="17">
      <t>セッテイ</t>
    </rPh>
    <rPh sb="19" eb="22">
      <t>コテイチ</t>
    </rPh>
    <rPh sb="30" eb="32">
      <t>タイショウ</t>
    </rPh>
    <rPh sb="32" eb="35">
      <t>セイカブツ</t>
    </rPh>
    <rPh sb="37" eb="39">
      <t>チュウシュツ</t>
    </rPh>
    <rPh sb="41" eb="42">
      <t>アタイ</t>
    </rPh>
    <rPh sb="43" eb="45">
      <t>テンキ</t>
    </rPh>
    <phoneticPr fontId="2"/>
  </si>
  <si>
    <t>レビュー対象成果物のページ数を算出し、転記します。</t>
    <rPh sb="4" eb="6">
      <t>タイショウ</t>
    </rPh>
    <rPh sb="6" eb="9">
      <t>セイカブツ</t>
    </rPh>
    <rPh sb="13" eb="14">
      <t>スウ</t>
    </rPh>
    <rPh sb="15" eb="17">
      <t>サンシュツ</t>
    </rPh>
    <rPh sb="19" eb="21">
      <t>テンキ</t>
    </rPh>
    <phoneticPr fontId="2"/>
  </si>
  <si>
    <t>メモ機能で入力したレビュー日付を転記します。</t>
    <rPh sb="2" eb="4">
      <t>キノウ</t>
    </rPh>
    <rPh sb="5" eb="7">
      <t>ニュウリョク</t>
    </rPh>
    <rPh sb="13" eb="15">
      <t>ヒヅケ</t>
    </rPh>
    <rPh sb="16" eb="18">
      <t>テンキ</t>
    </rPh>
    <phoneticPr fontId="2"/>
  </si>
  <si>
    <t>メモ機能で入力したレビュー開始時刻を転記します。</t>
    <rPh sb="2" eb="4">
      <t>キノウ</t>
    </rPh>
    <rPh sb="5" eb="7">
      <t>ニュウリョク</t>
    </rPh>
    <rPh sb="13" eb="15">
      <t>カイシ</t>
    </rPh>
    <rPh sb="15" eb="17">
      <t>ジコク</t>
    </rPh>
    <rPh sb="18" eb="20">
      <t>テンキ</t>
    </rPh>
    <phoneticPr fontId="2"/>
  </si>
  <si>
    <t>メモ機能で入力したレビュー終了時刻を転記します。</t>
    <rPh sb="2" eb="4">
      <t>キノウ</t>
    </rPh>
    <rPh sb="5" eb="7">
      <t>ニュウリョク</t>
    </rPh>
    <rPh sb="13" eb="15">
      <t>シュウリョウ</t>
    </rPh>
    <rPh sb="15" eb="17">
      <t>ジコク</t>
    </rPh>
    <rPh sb="18" eb="20">
      <t>テンキ</t>
    </rPh>
    <phoneticPr fontId="2"/>
  </si>
  <si>
    <t>メモ機能で入力したレビュー日付とレビュー終了時刻を繋げた値を転記します。</t>
    <rPh sb="2" eb="4">
      <t>キノウ</t>
    </rPh>
    <rPh sb="5" eb="7">
      <t>ニュウリョク</t>
    </rPh>
    <rPh sb="13" eb="15">
      <t>ヒヅケ</t>
    </rPh>
    <rPh sb="20" eb="22">
      <t>シュウリョウ</t>
    </rPh>
    <rPh sb="22" eb="24">
      <t>ジコク</t>
    </rPh>
    <rPh sb="25" eb="26">
      <t>ツナ</t>
    </rPh>
    <rPh sb="28" eb="29">
      <t>アタイ</t>
    </rPh>
    <rPh sb="30" eb="32">
      <t>テンキ</t>
    </rPh>
    <phoneticPr fontId="2"/>
  </si>
  <si>
    <t>メモ機能で入力したレビュー時間を転記します。</t>
    <rPh sb="2" eb="4">
      <t>キノウ</t>
    </rPh>
    <rPh sb="5" eb="7">
      <t>ニュウリョク</t>
    </rPh>
    <rPh sb="13" eb="15">
      <t>ジカン</t>
    </rPh>
    <rPh sb="16" eb="18">
      <t>テンキ</t>
    </rPh>
    <phoneticPr fontId="2"/>
  </si>
  <si>
    <t>指摘事項一覧へ転記できる項目</t>
    <rPh sb="0" eb="2">
      <t>シテキ</t>
    </rPh>
    <rPh sb="2" eb="4">
      <t>ジコウ</t>
    </rPh>
    <rPh sb="4" eb="6">
      <t>イチラン</t>
    </rPh>
    <rPh sb="7" eb="9">
      <t>テンキ</t>
    </rPh>
    <rPh sb="12" eb="14">
      <t>コウモク</t>
    </rPh>
    <phoneticPr fontId="2"/>
  </si>
  <si>
    <t>メモ機能で入力した指摘事項を転記します。</t>
    <rPh sb="2" eb="4">
      <t>キノウ</t>
    </rPh>
    <rPh sb="5" eb="7">
      <t>ニュウリョク</t>
    </rPh>
    <rPh sb="9" eb="11">
      <t>シテキ</t>
    </rPh>
    <rPh sb="11" eb="13">
      <t>ジコウ</t>
    </rPh>
    <rPh sb="14" eb="16">
      <t>テンキ</t>
    </rPh>
    <phoneticPr fontId="2"/>
  </si>
  <si>
    <t>メモを作成する際に自動挿入される氏名を転記します。</t>
    <rPh sb="3" eb="5">
      <t>サクセイ</t>
    </rPh>
    <rPh sb="7" eb="8">
      <t>サイ</t>
    </rPh>
    <rPh sb="9" eb="11">
      <t>ジドウ</t>
    </rPh>
    <rPh sb="11" eb="13">
      <t>ソウニュウ</t>
    </rPh>
    <rPh sb="16" eb="18">
      <t>シメイ</t>
    </rPh>
    <rPh sb="19" eb="21">
      <t>テンキ</t>
    </rPh>
    <phoneticPr fontId="2"/>
  </si>
  <si>
    <t>メモ機能で入力した対応内容を転記します。</t>
    <rPh sb="2" eb="4">
      <t>キノウ</t>
    </rPh>
    <rPh sb="5" eb="7">
      <t>ニュウリョク</t>
    </rPh>
    <rPh sb="9" eb="11">
      <t>タイオウ</t>
    </rPh>
    <rPh sb="11" eb="13">
      <t>ナイヨウ</t>
    </rPh>
    <rPh sb="14" eb="16">
      <t>テンキ</t>
    </rPh>
    <phoneticPr fontId="2"/>
  </si>
  <si>
    <t>レビュー指摘事項抽出 シートで設定した レビュー回数 を転記します。</t>
    <rPh sb="14" eb="16">
      <t>セッテイ</t>
    </rPh>
    <rPh sb="23" eb="25">
      <t>カイスウ</t>
    </rPh>
    <rPh sb="27" eb="29">
      <t>テンキ</t>
    </rPh>
    <phoneticPr fontId="2"/>
  </si>
  <si>
    <t>メモ機能で入力したレビュー日付とレビュー開始時刻を繋げた値を転記します。※</t>
    <rPh sb="2" eb="4">
      <t>キノウ</t>
    </rPh>
    <rPh sb="5" eb="7">
      <t>ニュウリョク</t>
    </rPh>
    <rPh sb="13" eb="15">
      <t>ヒヅケ</t>
    </rPh>
    <rPh sb="20" eb="22">
      <t>カイシ</t>
    </rPh>
    <rPh sb="22" eb="24">
      <t>ジコク</t>
    </rPh>
    <rPh sb="25" eb="26">
      <t>ツナ</t>
    </rPh>
    <rPh sb="28" eb="29">
      <t>アタイ</t>
    </rPh>
    <rPh sb="30" eb="32">
      <t>テンキ</t>
    </rPh>
    <phoneticPr fontId="2"/>
  </si>
  <si>
    <t>メモ機能で入力した指摘分類エイリアスに対応する指摘分類を転記します。※1</t>
    <rPh sb="2" eb="4">
      <t>キノウ</t>
    </rPh>
    <rPh sb="5" eb="7">
      <t>ニュウリョク</t>
    </rPh>
    <rPh sb="9" eb="11">
      <t>シテキ</t>
    </rPh>
    <rPh sb="11" eb="13">
      <t>ブンルイ</t>
    </rPh>
    <rPh sb="19" eb="21">
      <t>タイオウ</t>
    </rPh>
    <rPh sb="23" eb="25">
      <t>シテキ</t>
    </rPh>
    <rPh sb="25" eb="27">
      <t>ブンルイ</t>
    </rPh>
    <rPh sb="28" eb="30">
      <t>テンキ</t>
    </rPh>
    <phoneticPr fontId="2"/>
  </si>
  <si>
    <t>メモ機能で末尾に「済」を入力した場合、同じ行にある「済」よりも前のテキストを転記します。※2</t>
    <rPh sb="2" eb="4">
      <t>キノウ</t>
    </rPh>
    <rPh sb="5" eb="7">
      <t>マツビ</t>
    </rPh>
    <rPh sb="9" eb="10">
      <t>スミ</t>
    </rPh>
    <rPh sb="12" eb="14">
      <t>ニュウリョク</t>
    </rPh>
    <rPh sb="16" eb="18">
      <t>バアイ</t>
    </rPh>
    <rPh sb="19" eb="20">
      <t>オナ</t>
    </rPh>
    <rPh sb="21" eb="22">
      <t>ギョウ</t>
    </rPh>
    <rPh sb="26" eb="27">
      <t>スミ</t>
    </rPh>
    <rPh sb="31" eb="32">
      <t>マエ</t>
    </rPh>
    <rPh sb="38" eb="40">
      <t>テンキ</t>
    </rPh>
    <phoneticPr fontId="2"/>
  </si>
  <si>
    <t>※　例えば、レビュー日付が「2023/7/1」、レビュー開始時刻が「9:00」の場合、「2023/7/1 9:00」が転記されます。</t>
    <rPh sb="2" eb="3">
      <t>タト</t>
    </rPh>
    <rPh sb="10" eb="12">
      <t>ヒヅケ</t>
    </rPh>
    <rPh sb="28" eb="30">
      <t>カイシ</t>
    </rPh>
    <rPh sb="30" eb="32">
      <t>ジコク</t>
    </rPh>
    <rPh sb="40" eb="42">
      <t>バアイ</t>
    </rPh>
    <rPh sb="59" eb="61">
      <t>テンキ</t>
    </rPh>
    <phoneticPr fontId="2"/>
  </si>
  <si>
    <t>※2　例えば、指摘事項を書いたメモの最終行が「7/1浦上 済」であれば、「7/1浦上」が転記されます。</t>
    <rPh sb="3" eb="4">
      <t>タト</t>
    </rPh>
    <rPh sb="7" eb="9">
      <t>シテキ</t>
    </rPh>
    <rPh sb="9" eb="11">
      <t>ジコウ</t>
    </rPh>
    <rPh sb="12" eb="13">
      <t>カ</t>
    </rPh>
    <rPh sb="18" eb="21">
      <t>サイシュウギョウ</t>
    </rPh>
    <rPh sb="26" eb="28">
      <t>ウラガミ</t>
    </rPh>
    <rPh sb="29" eb="30">
      <t>スミ</t>
    </rPh>
    <rPh sb="40" eb="42">
      <t>ウラガミ</t>
    </rPh>
    <rPh sb="44" eb="46">
      <t>テンキ</t>
    </rPh>
    <phoneticPr fontId="2"/>
  </si>
  <si>
    <t>※1　指摘分類エイリアスと指摘分類の対応付けは「指摘分類マッピング設定」シートで行います。</t>
    <rPh sb="3" eb="5">
      <t>シテキ</t>
    </rPh>
    <rPh sb="5" eb="7">
      <t>ブンルイ</t>
    </rPh>
    <rPh sb="13" eb="15">
      <t>シテキ</t>
    </rPh>
    <rPh sb="15" eb="17">
      <t>ブンルイ</t>
    </rPh>
    <rPh sb="18" eb="20">
      <t>タイオウ</t>
    </rPh>
    <rPh sb="20" eb="21">
      <t>ヅ</t>
    </rPh>
    <rPh sb="24" eb="26">
      <t>シテキ</t>
    </rPh>
    <rPh sb="26" eb="28">
      <t>ブンルイ</t>
    </rPh>
    <rPh sb="33" eb="35">
      <t>セッテイ</t>
    </rPh>
    <rPh sb="40" eb="41">
      <t>オコナ</t>
    </rPh>
    <phoneticPr fontId="2"/>
  </si>
  <si>
    <t>分類</t>
    <rPh sb="0" eb="2">
      <t>ブンルイ</t>
    </rPh>
    <phoneticPr fontId="2"/>
  </si>
  <si>
    <t>レビュー実施状況</t>
  </si>
  <si>
    <t>レビュー実施状況</t>
    <rPh sb="4" eb="6">
      <t>ジッシ</t>
    </rPh>
    <rPh sb="6" eb="8">
      <t>ジョウキョウ</t>
    </rPh>
    <phoneticPr fontId="2"/>
  </si>
  <si>
    <t>指摘分類マッピング設定</t>
    <phoneticPr fontId="2"/>
  </si>
  <si>
    <t>項目マッピング設定</t>
    <phoneticPr fontId="2"/>
  </si>
  <si>
    <t>基本設定</t>
    <phoneticPr fontId="2"/>
  </si>
  <si>
    <t>メモを作成した際に自動挿入される氏名とコロンの後ろに*（アスタリスク）を記入し、レビューの実施日時を次のフォーマットで記入してください。</t>
    <rPh sb="3" eb="5">
      <t>サクセイ</t>
    </rPh>
    <rPh sb="7" eb="8">
      <t>サイ</t>
    </rPh>
    <rPh sb="9" eb="11">
      <t>ジドウ</t>
    </rPh>
    <rPh sb="11" eb="13">
      <t>ソウニュウ</t>
    </rPh>
    <rPh sb="16" eb="18">
      <t>シメイ</t>
    </rPh>
    <rPh sb="23" eb="24">
      <t>ウシ</t>
    </rPh>
    <rPh sb="36" eb="38">
      <t>キニュウ</t>
    </rPh>
    <rPh sb="45" eb="47">
      <t>ジッシ</t>
    </rPh>
    <rPh sb="47" eb="49">
      <t>ニチジ</t>
    </rPh>
    <rPh sb="50" eb="51">
      <t>ツギ</t>
    </rPh>
    <rPh sb="59" eb="61">
      <t>キニュウ</t>
    </rPh>
    <phoneticPr fontId="2"/>
  </si>
  <si>
    <t>レビュー時間:n</t>
    <rPh sb="4" eb="6">
      <t>ジカン</t>
    </rPh>
    <phoneticPr fontId="2"/>
  </si>
  <si>
    <t>実施日:yyyy/mm/dd</t>
    <rPh sb="0" eb="2">
      <t>ジッシ</t>
    </rPh>
    <rPh sb="2" eb="3">
      <t>ビ</t>
    </rPh>
    <phoneticPr fontId="2"/>
  </si>
  <si>
    <t>開始:hh:mm</t>
    <rPh sb="0" eb="2">
      <t>カイシ</t>
    </rPh>
    <phoneticPr fontId="2"/>
  </si>
  <si>
    <t>終了:hh:mm</t>
    <rPh sb="0" eb="2">
      <t>シュウリョウ</t>
    </rPh>
    <phoneticPr fontId="2"/>
  </si>
  <si>
    <t>← レビュー実施日</t>
    <rPh sb="6" eb="8">
      <t>ジッシ</t>
    </rPh>
    <rPh sb="8" eb="9">
      <t>ビ</t>
    </rPh>
    <phoneticPr fontId="2"/>
  </si>
  <si>
    <t>← レビュー開始時刻</t>
    <rPh sb="6" eb="8">
      <t>カイシ</t>
    </rPh>
    <rPh sb="8" eb="10">
      <t>ジコク</t>
    </rPh>
    <phoneticPr fontId="2"/>
  </si>
  <si>
    <t>← レビュー終了時刻</t>
    <rPh sb="6" eb="8">
      <t>シュウリョウ</t>
    </rPh>
    <rPh sb="8" eb="10">
      <t>ジコク</t>
    </rPh>
    <phoneticPr fontId="2"/>
  </si>
  <si>
    <t>※「実施日:」などのラベルは省略しても可</t>
    <rPh sb="2" eb="5">
      <t>ジッシビ</t>
    </rPh>
    <rPh sb="14" eb="16">
      <t>ショウリャク</t>
    </rPh>
    <rPh sb="19" eb="20">
      <t>カ</t>
    </rPh>
    <phoneticPr fontId="2"/>
  </si>
  <si>
    <t>← レビュー時間（分）</t>
    <rPh sb="6" eb="8">
      <t>ジカン</t>
    </rPh>
    <rPh sb="9" eb="10">
      <t>フン</t>
    </rPh>
    <phoneticPr fontId="2"/>
  </si>
  <si>
    <t>例</t>
    <rPh sb="0" eb="1">
      <t>レイ</t>
    </rPh>
    <phoneticPr fontId="2"/>
  </si>
  <si>
    <t>ラベル省略例</t>
    <rPh sb="3" eb="5">
      <t>ショウリャク</t>
    </rPh>
    <rPh sb="5" eb="6">
      <t>レイ</t>
    </rPh>
    <phoneticPr fontId="2"/>
  </si>
  <si>
    <t>レビュー指摘一覧</t>
    <rPh sb="4" eb="6">
      <t>シテキ</t>
    </rPh>
    <rPh sb="6" eb="8">
      <t>イチラン</t>
    </rPh>
    <phoneticPr fontId="2"/>
  </si>
  <si>
    <t>このとき入力するアルファベット1文字を今後は「指摘分類エイリアス」と呼びます。</t>
    <rPh sb="4" eb="6">
      <t>ニュウリョク</t>
    </rPh>
    <rPh sb="16" eb="18">
      <t>モジ</t>
    </rPh>
    <rPh sb="19" eb="21">
      <t>コンゴ</t>
    </rPh>
    <rPh sb="23" eb="25">
      <t>シテキ</t>
    </rPh>
    <rPh sb="25" eb="27">
      <t>ブンルイ</t>
    </rPh>
    <rPh sb="34" eb="35">
      <t>ヨ</t>
    </rPh>
    <phoneticPr fontId="2"/>
  </si>
  <si>
    <t>指摘分類エイリアスは、レビュー記録票へ転記する際、設定に従って実際の指摘分類に変換され、転記されます。</t>
    <rPh sb="0" eb="2">
      <t>シテキ</t>
    </rPh>
    <rPh sb="2" eb="4">
      <t>ブンルイ</t>
    </rPh>
    <rPh sb="15" eb="17">
      <t>キロク</t>
    </rPh>
    <rPh sb="17" eb="18">
      <t>ヒョウ</t>
    </rPh>
    <rPh sb="19" eb="21">
      <t>テンキ</t>
    </rPh>
    <rPh sb="23" eb="24">
      <t>サイ</t>
    </rPh>
    <rPh sb="25" eb="27">
      <t>セッテイ</t>
    </rPh>
    <rPh sb="28" eb="29">
      <t>シタガ</t>
    </rPh>
    <rPh sb="31" eb="33">
      <t>ジッサイ</t>
    </rPh>
    <rPh sb="34" eb="36">
      <t>シテキ</t>
    </rPh>
    <rPh sb="36" eb="38">
      <t>ブンルイ</t>
    </rPh>
    <rPh sb="39" eb="41">
      <t>ヘンカン</t>
    </rPh>
    <rPh sb="44" eb="46">
      <t>テンキ</t>
    </rPh>
    <phoneticPr fontId="2"/>
  </si>
  <si>
    <t>指摘分類エイリアスと実際の指摘分類との対応付けは次の通りです。</t>
    <rPh sb="0" eb="2">
      <t>シテキ</t>
    </rPh>
    <rPh sb="2" eb="4">
      <t>ブンルイ</t>
    </rPh>
    <rPh sb="10" eb="12">
      <t>ジッサイ</t>
    </rPh>
    <rPh sb="13" eb="15">
      <t>シテキ</t>
    </rPh>
    <rPh sb="15" eb="17">
      <t>ブンルイ</t>
    </rPh>
    <rPh sb="19" eb="21">
      <t>タイオウ</t>
    </rPh>
    <rPh sb="21" eb="22">
      <t>ヅ</t>
    </rPh>
    <rPh sb="24" eb="25">
      <t>ツギ</t>
    </rPh>
    <rPh sb="26" eb="27">
      <t>トオ</t>
    </rPh>
    <phoneticPr fontId="2"/>
  </si>
  <si>
    <t>といった工夫をして頂くようお願いします。</t>
    <rPh sb="4" eb="6">
      <t>クフウ</t>
    </rPh>
    <rPh sb="9" eb="10">
      <t>イタダ</t>
    </rPh>
    <rPh sb="14" eb="15">
      <t>ネガ</t>
    </rPh>
    <phoneticPr fontId="2"/>
  </si>
  <si>
    <t>メモを作成した際に自動挿入される氏名とコロンの後ろに a から i までのアルファベットのうち、いずれか1文字を記入し、続く行へ指摘事項を記入してください。</t>
    <rPh sb="3" eb="5">
      <t>サクセイ</t>
    </rPh>
    <rPh sb="7" eb="8">
      <t>サイ</t>
    </rPh>
    <rPh sb="9" eb="11">
      <t>ジドウ</t>
    </rPh>
    <rPh sb="11" eb="13">
      <t>ソウニュウ</t>
    </rPh>
    <rPh sb="16" eb="18">
      <t>シメイ</t>
    </rPh>
    <rPh sb="23" eb="24">
      <t>ウシ</t>
    </rPh>
    <rPh sb="53" eb="55">
      <t>モジ</t>
    </rPh>
    <rPh sb="56" eb="58">
      <t>キニュウ</t>
    </rPh>
    <rPh sb="60" eb="61">
      <t>ツヅ</t>
    </rPh>
    <rPh sb="62" eb="63">
      <t>ギョウ</t>
    </rPh>
    <rPh sb="64" eb="66">
      <t>シテキ</t>
    </rPh>
    <rPh sb="66" eb="68">
      <t>ジコウ</t>
    </rPh>
    <rPh sb="69" eb="71">
      <t>キニュウ</t>
    </rPh>
    <phoneticPr fontId="2"/>
  </si>
  <si>
    <t>←対応する→</t>
    <rPh sb="1" eb="3">
      <t>タイオウ</t>
    </rPh>
    <phoneticPr fontId="2"/>
  </si>
  <si>
    <t>山田　太郎</t>
    <rPh sb="0" eb="2">
      <t>ヤマダ</t>
    </rPh>
    <rPh sb="3" eb="5">
      <t>タロウ</t>
    </rPh>
    <phoneticPr fontId="2"/>
  </si>
  <si>
    <t>鈴木　花子</t>
    <rPh sb="0" eb="2">
      <t>スズキ</t>
    </rPh>
    <rPh sb="3" eb="5">
      <t>ハナコ</t>
    </rPh>
    <phoneticPr fontId="2"/>
  </si>
  <si>
    <t>※一覧への反映値はレビュー記録票への転記でも使用されます</t>
    <rPh sb="1" eb="3">
      <t>イチラン</t>
    </rPh>
    <rPh sb="5" eb="7">
      <t>ハンエイ</t>
    </rPh>
    <rPh sb="7" eb="8">
      <t>チ</t>
    </rPh>
    <rPh sb="13" eb="15">
      <t>キロク</t>
    </rPh>
    <rPh sb="15" eb="16">
      <t>ヒョウ</t>
    </rPh>
    <rPh sb="18" eb="20">
      <t>テンキ</t>
    </rPh>
    <rPh sb="22" eb="24">
      <t>シヨウ</t>
    </rPh>
    <phoneticPr fontId="2"/>
  </si>
  <si>
    <r>
      <t>レビュー回数</t>
    </r>
    <r>
      <rPr>
        <b/>
        <sz val="11"/>
        <color rgb="FFFF0000"/>
        <rFont val="ＭＳ Ｐゴシック"/>
        <family val="3"/>
        <charset val="128"/>
      </rPr>
      <t>*</t>
    </r>
    <rPh sb="4" eb="6">
      <t>カイスウ</t>
    </rPh>
    <phoneticPr fontId="2"/>
  </si>
  <si>
    <r>
      <t>開始行</t>
    </r>
    <r>
      <rPr>
        <b/>
        <sz val="11"/>
        <color rgb="FFFF0000"/>
        <rFont val="ＭＳ Ｐゴシック"/>
        <family val="3"/>
        <charset val="128"/>
      </rPr>
      <t>*</t>
    </r>
    <rPh sb="0" eb="2">
      <t>カイシ</t>
    </rPh>
    <rPh sb="2" eb="3">
      <t>ギョウ</t>
    </rPh>
    <phoneticPr fontId="2"/>
  </si>
  <si>
    <t>※赤色のアスタリスク(*)が付いている項目は必須項目です。</t>
    <rPh sb="1" eb="3">
      <t>アカイロ</t>
    </rPh>
    <rPh sb="14" eb="15">
      <t>ツ</t>
    </rPh>
    <rPh sb="19" eb="21">
      <t>コウモク</t>
    </rPh>
    <rPh sb="22" eb="24">
      <t>ヒッス</t>
    </rPh>
    <rPh sb="24" eb="26">
      <t>コウモク</t>
    </rPh>
    <phoneticPr fontId="2"/>
  </si>
  <si>
    <t>本ツールには次のファイルが同梱されています。</t>
    <rPh sb="0" eb="1">
      <t>ホン</t>
    </rPh>
    <rPh sb="6" eb="7">
      <t>ツギ</t>
    </rPh>
    <rPh sb="13" eb="15">
      <t>ドウコン</t>
    </rPh>
    <phoneticPr fontId="2"/>
  </si>
  <si>
    <t>ファイル</t>
    <phoneticPr fontId="2"/>
  </si>
  <si>
    <t>レビュー記録サマリ.xlsx</t>
    <phoneticPr fontId="2"/>
  </si>
  <si>
    <t>本ツールを活用することで、レビュー時や指摘事項への対応時に設計書とレビュー記録票を何度も行き来する必要がなくなり、設計書へ集中して作業できます。</t>
    <phoneticPr fontId="2"/>
  </si>
  <si>
    <t>Excel設計書レビュー指摘事項抽出ツール.xlsm</t>
    <phoneticPr fontId="2"/>
  </si>
  <si>
    <t>本ツールについて</t>
    <rPh sb="0" eb="1">
      <t>ホン</t>
    </rPh>
    <phoneticPr fontId="2"/>
  </si>
  <si>
    <t>使ってみよう</t>
    <rPh sb="0" eb="1">
      <t>ツカ</t>
    </rPh>
    <phoneticPr fontId="2"/>
  </si>
  <si>
    <t>本ツールはExcelで書かれた設計書を対象として、メモ機能で書いたレビュー指摘事項を抽出し、レビュー記録票へ転記するものです。</t>
    <rPh sb="11" eb="12">
      <t>カ</t>
    </rPh>
    <phoneticPr fontId="2"/>
  </si>
  <si>
    <t>本ファイル</t>
    <rPh sb="0" eb="1">
      <t>ホン</t>
    </rPh>
    <phoneticPr fontId="2"/>
  </si>
  <si>
    <t>レビュー記録票のサンプル</t>
    <rPh sb="4" eb="6">
      <t>キロク</t>
    </rPh>
    <rPh sb="6" eb="7">
      <t>ヒョウ</t>
    </rPh>
    <phoneticPr fontId="2"/>
  </si>
  <si>
    <t>レビューのサマリを記載する簡易的なフォーマット</t>
    <rPh sb="9" eb="11">
      <t>キサイ</t>
    </rPh>
    <rPh sb="13" eb="15">
      <t>カンイ</t>
    </rPh>
    <rPh sb="15" eb="16">
      <t>テキ</t>
    </rPh>
    <phoneticPr fontId="2"/>
  </si>
  <si>
    <t>レビュー指摘事項を記載済みの設計書サンプル</t>
    <rPh sb="4" eb="6">
      <t>シテキ</t>
    </rPh>
    <rPh sb="6" eb="8">
      <t>ジコウ</t>
    </rPh>
    <rPh sb="9" eb="11">
      <t>キサイ</t>
    </rPh>
    <rPh sb="11" eb="12">
      <t>ズ</t>
    </rPh>
    <rPh sb="14" eb="17">
      <t>セッケイショ</t>
    </rPh>
    <phoneticPr fontId="2"/>
  </si>
  <si>
    <t>システム機能設計書_サンプル.xlsx</t>
    <phoneticPr fontId="2"/>
  </si>
  <si>
    <t>システム機能設計書_サンプル_レビュー記録票.xlsx</t>
    <phoneticPr fontId="2"/>
  </si>
  <si>
    <t>「抽出」ボタンを押してください。</t>
    <rPh sb="1" eb="3">
      <t>チュウシュツ</t>
    </rPh>
    <rPh sb="8" eb="9">
      <t>オ</t>
    </rPh>
    <phoneticPr fontId="2"/>
  </si>
  <si>
    <t>「システム機能設計書_サンプル.xlsxのレビュー内容を抽出しますか？」という確認ダイアログが出るので「はい」を押してください。</t>
    <rPh sb="39" eb="41">
      <t>カクニン</t>
    </rPh>
    <rPh sb="47" eb="48">
      <t>デ</t>
    </rPh>
    <rPh sb="56" eb="57">
      <t>オ</t>
    </rPh>
    <phoneticPr fontId="2"/>
  </si>
  <si>
    <t>するとツールが動作し、レビュー記録票への転記が行われます。</t>
    <rPh sb="7" eb="9">
      <t>ドウサ</t>
    </rPh>
    <rPh sb="15" eb="17">
      <t>キロク</t>
    </rPh>
    <rPh sb="17" eb="18">
      <t>ヒョウ</t>
    </rPh>
    <rPh sb="20" eb="22">
      <t>テンキ</t>
    </rPh>
    <rPh sb="23" eb="24">
      <t>オコナ</t>
    </rPh>
    <phoneticPr fontId="2"/>
  </si>
  <si>
    <t>「システム機能設計書_サンプル_レビュー記録票.xlsx」を見てください。</t>
    <rPh sb="30" eb="31">
      <t>ミ</t>
    </rPh>
    <phoneticPr fontId="2"/>
  </si>
  <si>
    <t>自分のプロジェクトで使うためのカスタマイズ</t>
    <rPh sb="0" eb="2">
      <t>ジブン</t>
    </rPh>
    <rPh sb="10" eb="11">
      <t>ツカ</t>
    </rPh>
    <phoneticPr fontId="2"/>
  </si>
  <si>
    <t>本ツールは初期設定のままでも使えますが、他のレビュー記録票フォーマットを使う場合はカスタマイズが必要です。</t>
    <rPh sb="0" eb="1">
      <t>ホン</t>
    </rPh>
    <rPh sb="5" eb="7">
      <t>ショキ</t>
    </rPh>
    <rPh sb="7" eb="9">
      <t>セッテイ</t>
    </rPh>
    <rPh sb="14" eb="15">
      <t>ツカ</t>
    </rPh>
    <rPh sb="20" eb="21">
      <t>ホカ</t>
    </rPh>
    <rPh sb="26" eb="28">
      <t>キロク</t>
    </rPh>
    <rPh sb="28" eb="29">
      <t>ヒョウ</t>
    </rPh>
    <rPh sb="36" eb="37">
      <t>ツカ</t>
    </rPh>
    <rPh sb="38" eb="40">
      <t>バアイ</t>
    </rPh>
    <rPh sb="48" eb="50">
      <t>ヒツヨウ</t>
    </rPh>
    <phoneticPr fontId="2"/>
  </si>
  <si>
    <t>カスタマイズする場合は、本ツールにある次の3つのシートに対して設定を行ってください。</t>
    <rPh sb="8" eb="10">
      <t>バアイ</t>
    </rPh>
    <rPh sb="12" eb="13">
      <t>ホン</t>
    </rPh>
    <phoneticPr fontId="2"/>
  </si>
  <si>
    <t>レビュー記録票へ書き出す座標を設定します。本ツールに同梱しているレビュー記録票と異なるものを使いたい場合はカスタマイズしてください。</t>
    <rPh sb="4" eb="6">
      <t>キロク</t>
    </rPh>
    <rPh sb="6" eb="7">
      <t>ヒョウ</t>
    </rPh>
    <rPh sb="8" eb="9">
      <t>カ</t>
    </rPh>
    <rPh sb="10" eb="11">
      <t>ダ</t>
    </rPh>
    <rPh sb="12" eb="14">
      <t>ザヒョウ</t>
    </rPh>
    <rPh sb="15" eb="17">
      <t>セッテイ</t>
    </rPh>
    <rPh sb="21" eb="22">
      <t>ホン</t>
    </rPh>
    <rPh sb="26" eb="28">
      <t>ドウコン</t>
    </rPh>
    <rPh sb="36" eb="38">
      <t>キロク</t>
    </rPh>
    <rPh sb="38" eb="39">
      <t>ヒョウ</t>
    </rPh>
    <rPh sb="40" eb="41">
      <t>コト</t>
    </rPh>
    <rPh sb="46" eb="47">
      <t>ツカ</t>
    </rPh>
    <rPh sb="50" eb="52">
      <t>バアイ</t>
    </rPh>
    <phoneticPr fontId="2"/>
  </si>
  <si>
    <t>処理対象となるExcelブックの名前のパターンを設定します。デフォルトでは「機能設計書」という言葉が含まれているExcelブックを処理対象としています。</t>
    <rPh sb="0" eb="2">
      <t>ショリ</t>
    </rPh>
    <rPh sb="2" eb="4">
      <t>タイショウ</t>
    </rPh>
    <rPh sb="16" eb="18">
      <t>ナマエ</t>
    </rPh>
    <rPh sb="24" eb="26">
      <t>セッテイ</t>
    </rPh>
    <rPh sb="38" eb="40">
      <t>キノウ</t>
    </rPh>
    <rPh sb="40" eb="42">
      <t>セッケイ</t>
    </rPh>
    <rPh sb="42" eb="43">
      <t>ショ</t>
    </rPh>
    <rPh sb="47" eb="49">
      <t>コトバ</t>
    </rPh>
    <rPh sb="50" eb="51">
      <t>フク</t>
    </rPh>
    <rPh sb="65" eb="67">
      <t>ショリ</t>
    </rPh>
    <rPh sb="67" eb="69">
      <t>タイショウ</t>
    </rPh>
    <phoneticPr fontId="2"/>
  </si>
  <si>
    <t>01_要件漏れ</t>
  </si>
  <si>
    <t>02_要件誤り</t>
  </si>
  <si>
    <t>11_機能・仕様漏れ</t>
  </si>
  <si>
    <t>12_機能・仕様誤り</t>
  </si>
  <si>
    <t>21_設計・ドキュメント規約違反</t>
  </si>
  <si>
    <t>22_記述誤り</t>
  </si>
  <si>
    <t>91_疑問点、確認</t>
  </si>
  <si>
    <t>92_改善要望</t>
  </si>
  <si>
    <t>93_仕様変更</t>
  </si>
  <si>
    <t>次に「システム機能設計書_サンプル.xlsx」を見てください。</t>
    <rPh sb="0" eb="1">
      <t>ツギ</t>
    </rPh>
    <rPh sb="24" eb="25">
      <t>ミ</t>
    </rPh>
    <phoneticPr fontId="2"/>
  </si>
  <si>
    <t>これは設計書に記載したレビュー指摘事項や対応内容を一覧化したもので、該当箇所へ素早く移動するためのリンクがあります。</t>
    <rPh sb="3" eb="6">
      <t>セッケイショ</t>
    </rPh>
    <rPh sb="7" eb="9">
      <t>キサイ</t>
    </rPh>
    <rPh sb="15" eb="17">
      <t>シテキ</t>
    </rPh>
    <rPh sb="17" eb="19">
      <t>ジコウ</t>
    </rPh>
    <rPh sb="20" eb="22">
      <t>タイオウ</t>
    </rPh>
    <rPh sb="22" eb="24">
      <t>ナイヨウ</t>
    </rPh>
    <rPh sb="25" eb="28">
      <t>イチランカ</t>
    </rPh>
    <rPh sb="34" eb="36">
      <t>ガイトウ</t>
    </rPh>
    <rPh sb="36" eb="38">
      <t>カショ</t>
    </rPh>
    <rPh sb="39" eb="41">
      <t>スバヤ</t>
    </rPh>
    <rPh sb="42" eb="44">
      <t>イドウ</t>
    </rPh>
    <phoneticPr fontId="2"/>
  </si>
  <si>
    <t>レビュー指摘事項への対応時や、対応内容の確認時に活用してください。</t>
    <rPh sb="4" eb="6">
      <t>シテキ</t>
    </rPh>
    <rPh sb="6" eb="8">
      <t>ジコウ</t>
    </rPh>
    <rPh sb="10" eb="12">
      <t>タイオウ</t>
    </rPh>
    <rPh sb="12" eb="13">
      <t>ジ</t>
    </rPh>
    <rPh sb="15" eb="17">
      <t>タイオウ</t>
    </rPh>
    <rPh sb="17" eb="19">
      <t>ナイヨウ</t>
    </rPh>
    <rPh sb="20" eb="22">
      <t>カクニン</t>
    </rPh>
    <rPh sb="22" eb="23">
      <t>ジ</t>
    </rPh>
    <rPh sb="24" eb="26">
      <t>カツヨウ</t>
    </rPh>
    <phoneticPr fontId="2"/>
  </si>
  <si>
    <t>同梱されている「システム機能設計書_サンプル.xlsx」と「システム機能設計書_サンプル_レビュー記録票.xlsx」を開き、本ファイルの「レビュー指摘事項抽出」シートにある</t>
    <rPh sb="0" eb="2">
      <t>ドウコン</t>
    </rPh>
    <rPh sb="59" eb="60">
      <t>ヒラ</t>
    </rPh>
    <rPh sb="62" eb="63">
      <t>ホン</t>
    </rPh>
    <rPh sb="73" eb="75">
      <t>シテキ</t>
    </rPh>
    <rPh sb="75" eb="77">
      <t>ジコウ</t>
    </rPh>
    <rPh sb="77" eb="79">
      <t>チュウシュツ</t>
    </rPh>
    <phoneticPr fontId="2"/>
  </si>
  <si>
    <t>以上の操作を行うことで本ツールの動作イメージが掴めたと思います。</t>
    <rPh sb="0" eb="2">
      <t>イジョウ</t>
    </rPh>
    <rPh sb="3" eb="5">
      <t>ソウサ</t>
    </rPh>
    <rPh sb="6" eb="7">
      <t>オコナ</t>
    </rPh>
    <rPh sb="11" eb="12">
      <t>ホン</t>
    </rPh>
    <rPh sb="16" eb="18">
      <t>ドウサ</t>
    </rPh>
    <rPh sb="23" eb="24">
      <t>ツカ</t>
    </rPh>
    <rPh sb="27" eb="28">
      <t>オモ</t>
    </rPh>
    <phoneticPr fontId="2"/>
  </si>
  <si>
    <t>ぜひ本ツールを活用してレビュー記録作業を快適に実施してください。</t>
    <rPh sb="2" eb="3">
      <t>ホン</t>
    </rPh>
    <rPh sb="7" eb="9">
      <t>カツヨウ</t>
    </rPh>
    <rPh sb="15" eb="17">
      <t>キロク</t>
    </rPh>
    <rPh sb="17" eb="19">
      <t>サギョウ</t>
    </rPh>
    <rPh sb="20" eb="22">
      <t>カイテキ</t>
    </rPh>
    <rPh sb="23" eb="25">
      <t>ジッシ</t>
    </rPh>
    <phoneticPr fontId="2"/>
  </si>
  <si>
    <t>C:\path\to\レビュー記録サマリ.xlsx</t>
    <phoneticPr fontId="2"/>
  </si>
  <si>
    <t>レビュー指摘事項が記入されているメモに3つ以上の半角ハイフン（-）のみからなる行を記入し、続く行へ対応内容を記入してください。</t>
    <rPh sb="4" eb="6">
      <t>シテキ</t>
    </rPh>
    <rPh sb="6" eb="8">
      <t>ジコウ</t>
    </rPh>
    <rPh sb="9" eb="11">
      <t>キニュウ</t>
    </rPh>
    <rPh sb="21" eb="23">
      <t>イジョウ</t>
    </rPh>
    <rPh sb="24" eb="26">
      <t>ハンカク</t>
    </rPh>
    <rPh sb="39" eb="40">
      <t>ギョウ</t>
    </rPh>
    <rPh sb="41" eb="43">
      <t>キニュウ</t>
    </rPh>
    <rPh sb="45" eb="46">
      <t>ツヅ</t>
    </rPh>
    <rPh sb="47" eb="48">
      <t>ギョウ</t>
    </rPh>
    <rPh sb="49" eb="51">
      <t>タイオウ</t>
    </rPh>
    <rPh sb="51" eb="53">
      <t>ナイヨウ</t>
    </rPh>
    <rPh sb="54" eb="56">
      <t>キニュウ</t>
    </rPh>
    <phoneticPr fontId="2"/>
  </si>
  <si>
    <t>確認者や確認日は「済」の直前にスペースを置いて記入してください。</t>
    <rPh sb="0" eb="2">
      <t>カクニン</t>
    </rPh>
    <rPh sb="2" eb="3">
      <t>シャ</t>
    </rPh>
    <rPh sb="4" eb="6">
      <t>カクニン</t>
    </rPh>
    <rPh sb="6" eb="7">
      <t>ビ</t>
    </rPh>
    <rPh sb="9" eb="10">
      <t>スミ</t>
    </rPh>
    <rPh sb="12" eb="14">
      <t>チョクゼン</t>
    </rPh>
    <rPh sb="20" eb="21">
      <t>オ</t>
    </rPh>
    <rPh sb="23" eb="25">
      <t>キニュウ</t>
    </rPh>
    <phoneticPr fontId="2"/>
  </si>
  <si>
    <t>「レビュー実施状況」シートにレビュー開始日時や終了日時、レビュー時間が転記されているはずです。</t>
    <rPh sb="18" eb="20">
      <t>カイシ</t>
    </rPh>
    <rPh sb="20" eb="22">
      <t>ニチジ</t>
    </rPh>
    <rPh sb="23" eb="25">
      <t>シュウリョウ</t>
    </rPh>
    <rPh sb="25" eb="27">
      <t>ニチジ</t>
    </rPh>
    <rPh sb="32" eb="34">
      <t>ジカン</t>
    </rPh>
    <rPh sb="35" eb="37">
      <t>テンキ</t>
    </rPh>
    <phoneticPr fontId="2"/>
  </si>
  <si>
    <t>また、「レビュー指摘一覧」シートにレビュー指摘事項や対応内容、指摘分類などが転記されているはずです。</t>
    <rPh sb="21" eb="23">
      <t>シテキ</t>
    </rPh>
    <rPh sb="23" eb="25">
      <t>ジコウ</t>
    </rPh>
    <rPh sb="26" eb="28">
      <t>タイオウ</t>
    </rPh>
    <rPh sb="28" eb="30">
      <t>ナイヨウ</t>
    </rPh>
    <rPh sb="31" eb="33">
      <t>シテキ</t>
    </rPh>
    <rPh sb="33" eb="35">
      <t>ブンルイ</t>
    </rPh>
    <rPh sb="38" eb="40">
      <t>テンキ</t>
    </rPh>
    <phoneticPr fontId="2"/>
  </si>
  <si>
    <t>先頭に「レビュー結果1回目」というシートが差し込まれているはずです。</t>
    <rPh sb="0" eb="2">
      <t>セントウ</t>
    </rPh>
    <rPh sb="21" eb="22">
      <t>サ</t>
    </rPh>
    <rPh sb="23" eb="24">
      <t>コ</t>
    </rPh>
    <phoneticPr fontId="2"/>
  </si>
  <si>
    <t>レビューが終わるとレビュー指摘事項や対応内容を書いたメモは不要になりますが、これは「レビュー指摘事項抽出」シートにある「メモを削除」ボタンを押して削除できます。</t>
    <rPh sb="5" eb="6">
      <t>オ</t>
    </rPh>
    <rPh sb="13" eb="15">
      <t>シテキ</t>
    </rPh>
    <rPh sb="15" eb="17">
      <t>ジコウ</t>
    </rPh>
    <rPh sb="18" eb="20">
      <t>タイオウ</t>
    </rPh>
    <rPh sb="20" eb="22">
      <t>ナイヨウ</t>
    </rPh>
    <rPh sb="23" eb="24">
      <t>カ</t>
    </rPh>
    <rPh sb="29" eb="31">
      <t>フヨウ</t>
    </rPh>
    <rPh sb="70" eb="71">
      <t>オ</t>
    </rPh>
    <rPh sb="73" eb="75">
      <t>サクジョ</t>
    </rPh>
    <phoneticPr fontId="2"/>
  </si>
  <si>
    <t>また、設計書の先頭に差し込まれたレビュー結果シートも不要になりますが、これは「レビュー指摘事項抽出」シートにある「レビュー結果シートを削除」ボタンを押して削除できます。</t>
    <rPh sb="3" eb="5">
      <t>セッケイ</t>
    </rPh>
    <rPh sb="5" eb="6">
      <t>ショ</t>
    </rPh>
    <rPh sb="7" eb="9">
      <t>セントウ</t>
    </rPh>
    <rPh sb="10" eb="11">
      <t>サ</t>
    </rPh>
    <rPh sb="12" eb="13">
      <t>コ</t>
    </rPh>
    <rPh sb="20" eb="22">
      <t>ケッカ</t>
    </rPh>
    <rPh sb="26" eb="28">
      <t>フヨウ</t>
    </rPh>
    <rPh sb="74" eb="75">
      <t>オ</t>
    </rPh>
    <rPh sb="77" eb="79">
      <t>サクジョ</t>
    </rPh>
    <phoneticPr fontId="2"/>
  </si>
  <si>
    <t>メモ転記ルール詳細</t>
    <rPh sb="2" eb="4">
      <t>テンキ</t>
    </rPh>
    <rPh sb="7" eb="9">
      <t>ショウサイ</t>
    </rPh>
    <phoneticPr fontId="2"/>
  </si>
  <si>
    <t>実施日時</t>
    <rPh sb="0" eb="2">
      <t>ジッシ</t>
    </rPh>
    <rPh sb="2" eb="4">
      <t>ニチジ</t>
    </rPh>
    <phoneticPr fontId="2"/>
  </si>
  <si>
    <t>レビュー指摘事項</t>
    <rPh sb="4" eb="6">
      <t>シテキ</t>
    </rPh>
    <rPh sb="6" eb="8">
      <t>ジコウ</t>
    </rPh>
    <phoneticPr fontId="2"/>
  </si>
  <si>
    <t>指摘のクローズ</t>
    <rPh sb="0" eb="2">
      <t>シテキ</t>
    </rPh>
    <phoneticPr fontId="2"/>
  </si>
  <si>
    <t>設計書とレビュー記録票の対応付け</t>
    <phoneticPr fontId="2"/>
  </si>
  <si>
    <t>設計書（レビュー対象成果物）の拡張子を除いたファイル名と「レビュー記録票」という言葉が含まれるファイルを対応付けます。</t>
    <rPh sb="0" eb="3">
      <t>セッケイショ</t>
    </rPh>
    <rPh sb="8" eb="10">
      <t>タイショウ</t>
    </rPh>
    <rPh sb="10" eb="13">
      <t>セイカブツ</t>
    </rPh>
    <rPh sb="15" eb="18">
      <t>カクチョウシ</t>
    </rPh>
    <rPh sb="19" eb="20">
      <t>ノゾ</t>
    </rPh>
    <rPh sb="26" eb="27">
      <t>メイ</t>
    </rPh>
    <rPh sb="33" eb="35">
      <t>キロク</t>
    </rPh>
    <rPh sb="35" eb="36">
      <t>ヒョウ</t>
    </rPh>
    <rPh sb="52" eb="54">
      <t>タイオウ</t>
    </rPh>
    <rPh sb="54" eb="55">
      <t>ヅ</t>
    </rPh>
    <phoneticPr fontId="2"/>
  </si>
  <si>
    <t>例）</t>
    <rPh sb="0" eb="1">
      <t>レイ</t>
    </rPh>
    <phoneticPr fontId="2"/>
  </si>
  <si>
    <t>システム機能設計書(画面)_WA10101_ログイン.xlsx</t>
  </si>
  <si>
    <t>システム機能設計書(画面)_WA10101_ログイン.xlsx</t>
    <phoneticPr fontId="2"/>
  </si>
  <si>
    <r>
      <rPr>
        <sz val="11"/>
        <color rgb="FFFF0000"/>
        <rFont val="ＭＳ Ｐゴシック"/>
        <family val="3"/>
        <charset val="128"/>
      </rPr>
      <t>レビュー記録票</t>
    </r>
    <r>
      <rPr>
        <sz val="11"/>
        <rFont val="ＭＳ Ｐゴシック"/>
        <family val="3"/>
        <charset val="128"/>
      </rPr>
      <t>_システム機能設計書(画面)_WA10101_ログイン.xlsx</t>
    </r>
    <rPh sb="4" eb="7">
      <t>キロクヒョウ</t>
    </rPh>
    <phoneticPr fontId="2"/>
  </si>
  <si>
    <r>
      <t>システム機能設計書(画面)_WA10101_ログイン_</t>
    </r>
    <r>
      <rPr>
        <sz val="11"/>
        <color rgb="FFFF0000"/>
        <rFont val="ＭＳ Ｐゴシック"/>
        <family val="3"/>
        <charset val="128"/>
      </rPr>
      <t>レビュー記録票</t>
    </r>
    <r>
      <rPr>
        <sz val="11"/>
        <rFont val="ＭＳ Ｐゴシック"/>
        <family val="3"/>
        <charset val="128"/>
      </rPr>
      <t>.xlsx</t>
    </r>
    <rPh sb="31" eb="33">
      <t>キロク</t>
    </rPh>
    <rPh sb="33" eb="34">
      <t>ヒョウ</t>
    </rPh>
    <phoneticPr fontId="2"/>
  </si>
  <si>
    <t>浦上</t>
    <rPh sb="0" eb="2">
      <t>ウラガミ</t>
    </rPh>
    <phoneticPr fontId="2"/>
  </si>
  <si>
    <t>なお、本ツールは日をまたぐ記述はできないため、もしレビューが日をまたぐ場合はレビューが完了し、本ツールによる転記を済ませた後に手動で日付を記入してください。</t>
    <rPh sb="3" eb="4">
      <t>ホン</t>
    </rPh>
    <rPh sb="8" eb="9">
      <t>ヒ</t>
    </rPh>
    <rPh sb="13" eb="15">
      <t>キジュツ</t>
    </rPh>
    <rPh sb="30" eb="31">
      <t>ヒ</t>
    </rPh>
    <rPh sb="35" eb="37">
      <t>バアイ</t>
    </rPh>
    <rPh sb="43" eb="45">
      <t>カンリョウ</t>
    </rPh>
    <rPh sb="47" eb="48">
      <t>ホン</t>
    </rPh>
    <rPh sb="54" eb="56">
      <t>テンキ</t>
    </rPh>
    <rPh sb="57" eb="58">
      <t>ス</t>
    </rPh>
    <rPh sb="61" eb="62">
      <t>ノチ</t>
    </rPh>
    <rPh sb="63" eb="65">
      <t>シュドウ</t>
    </rPh>
    <rPh sb="66" eb="68">
      <t>ヒヅケ</t>
    </rPh>
    <rPh sb="69" eb="71">
      <t>キニュウ</t>
    </rPh>
    <phoneticPr fontId="2"/>
  </si>
  <si>
    <t>まずはサンプルを利用してツールの動作イメージを掴んでください。※サンプルでの試行が不要な場合は本シートの「自分のプロジェクトで使うためのカスタマイズ」から読み進めてください。</t>
    <rPh sb="8" eb="10">
      <t>リヨウ</t>
    </rPh>
    <rPh sb="16" eb="18">
      <t>ドウサ</t>
    </rPh>
    <rPh sb="23" eb="24">
      <t>ツカ</t>
    </rPh>
    <phoneticPr fontId="2"/>
  </si>
  <si>
    <t>指摘する箇所（セル）へメモを挿入してください。</t>
    <rPh sb="0" eb="2">
      <t>シテキ</t>
    </rPh>
    <rPh sb="4" eb="6">
      <t>カショ</t>
    </rPh>
    <rPh sb="14" eb="16">
      <t>ソウニュウ</t>
    </rPh>
    <phoneticPr fontId="2"/>
  </si>
  <si>
    <t>なお、1つのメモに複数の指摘を含めることはできないため、同一箇所へ複数の指摘を記載したい場合、2つめの指摘は隣のセルにメモを挿入して記載する、</t>
    <rPh sb="9" eb="11">
      <t>フクスウ</t>
    </rPh>
    <rPh sb="12" eb="14">
      <t>シテキ</t>
    </rPh>
    <rPh sb="15" eb="16">
      <t>フク</t>
    </rPh>
    <rPh sb="28" eb="30">
      <t>ドウイツ</t>
    </rPh>
    <rPh sb="30" eb="32">
      <t>カショ</t>
    </rPh>
    <rPh sb="33" eb="35">
      <t>フクスウ</t>
    </rPh>
    <rPh sb="36" eb="38">
      <t>シテキ</t>
    </rPh>
    <rPh sb="39" eb="41">
      <t>キサイ</t>
    </rPh>
    <rPh sb="44" eb="46">
      <t>バアイ</t>
    </rPh>
    <rPh sb="51" eb="53">
      <t>シテキ</t>
    </rPh>
    <rPh sb="54" eb="55">
      <t>トナリ</t>
    </rPh>
    <rPh sb="62" eb="64">
      <t>ソウニュウ</t>
    </rPh>
    <rPh sb="66" eb="68">
      <t>キサイ</t>
    </rPh>
    <phoneticPr fontId="2"/>
  </si>
  <si>
    <t>レビュー指摘事項と対応内容が記入されているメモの末尾に「済」と記入してください。</t>
    <rPh sb="4" eb="6">
      <t>シテキ</t>
    </rPh>
    <rPh sb="6" eb="8">
      <t>ジコウ</t>
    </rPh>
    <rPh sb="9" eb="11">
      <t>タイオウ</t>
    </rPh>
    <rPh sb="11" eb="13">
      <t>ナイヨウ</t>
    </rPh>
    <rPh sb="14" eb="16">
      <t>キニュウ</t>
    </rPh>
    <rPh sb="24" eb="26">
      <t>マツビ</t>
    </rPh>
    <rPh sb="28" eb="29">
      <t>スミ</t>
    </rPh>
    <rPh sb="31" eb="33">
      <t>キニュウ</t>
    </rPh>
    <phoneticPr fontId="2"/>
  </si>
  <si>
    <t>Excelブック上のどのシート、どのセルに入力しても構いません。（ Shift + F2 ですばやくメモを挿入・編集できます）</t>
    <rPh sb="8" eb="9">
      <t>ジョウ</t>
    </rPh>
    <rPh sb="21" eb="23">
      <t>ニュウリョク</t>
    </rPh>
    <rPh sb="26" eb="27">
      <t>カマ</t>
    </rPh>
    <rPh sb="56" eb="58">
      <t>ヘンシュウ</t>
    </rPh>
    <phoneticPr fontId="2"/>
  </si>
  <si>
    <t>レビュー記録票の使用</t>
    <rPh sb="4" eb="6">
      <t>キロク</t>
    </rPh>
    <rPh sb="6" eb="7">
      <t>ヒョウ</t>
    </rPh>
    <rPh sb="8" eb="10">
      <t>シヨウ</t>
    </rPh>
    <phoneticPr fontId="2"/>
  </si>
  <si>
    <t>レビュー指摘事項へアルファベット（a～i）で入力する指摘分類エイリアスとレビュー記録票へ書き出す実際の指摘分類をマッピングします。</t>
    <rPh sb="4" eb="6">
      <t>シテキ</t>
    </rPh>
    <rPh sb="6" eb="8">
      <t>ジコウ</t>
    </rPh>
    <rPh sb="22" eb="24">
      <t>ニュウリョク</t>
    </rPh>
    <rPh sb="26" eb="28">
      <t>シテキ</t>
    </rPh>
    <rPh sb="28" eb="30">
      <t>ブンルイ</t>
    </rPh>
    <rPh sb="40" eb="42">
      <t>キロク</t>
    </rPh>
    <rPh sb="42" eb="43">
      <t>ヒョウ</t>
    </rPh>
    <rPh sb="44" eb="45">
      <t>カ</t>
    </rPh>
    <rPh sb="46" eb="47">
      <t>ダ</t>
    </rPh>
    <rPh sb="48" eb="50">
      <t>ジッサイ</t>
    </rPh>
    <rPh sb="51" eb="53">
      <t>シテキ</t>
    </rPh>
    <rPh sb="53" eb="55">
      <t>ブンルイ</t>
    </rPh>
    <phoneticPr fontId="2"/>
  </si>
  <si>
    <t>レビュー記録票を使用する場合は TRUE を設定してください。この項目が FALSE の場合、レビュー記録票への転記は行われず、レビュー結果シートが挿入されるだけになります。</t>
    <rPh sb="4" eb="6">
      <t>キロク</t>
    </rPh>
    <rPh sb="6" eb="7">
      <t>ヒョウ</t>
    </rPh>
    <rPh sb="8" eb="10">
      <t>シヨウ</t>
    </rPh>
    <rPh sb="12" eb="14">
      <t>バアイ</t>
    </rPh>
    <rPh sb="22" eb="24">
      <t>セッテイ</t>
    </rPh>
    <rPh sb="33" eb="35">
      <t>コウモク</t>
    </rPh>
    <rPh sb="44" eb="46">
      <t>バアイ</t>
    </rPh>
    <rPh sb="51" eb="53">
      <t>キロク</t>
    </rPh>
    <rPh sb="53" eb="54">
      <t>ヒョウ</t>
    </rPh>
    <rPh sb="56" eb="58">
      <t>テンキ</t>
    </rPh>
    <rPh sb="59" eb="60">
      <t>オコナ</t>
    </rPh>
    <rPh sb="68" eb="70">
      <t>ケッカ</t>
    </rPh>
    <rPh sb="74" eb="76">
      <t>ソウニュウ</t>
    </rPh>
    <phoneticPr fontId="2"/>
  </si>
  <si>
    <t>例えば、レビュー記録票の指摘一覧が次のような状態だとします。※ツールに同梱しているサンプルのレビュー記録票です。</t>
    <rPh sb="0" eb="1">
      <t>タト</t>
    </rPh>
    <rPh sb="8" eb="10">
      <t>キロク</t>
    </rPh>
    <rPh sb="10" eb="11">
      <t>ヒョウ</t>
    </rPh>
    <rPh sb="12" eb="14">
      <t>シテキ</t>
    </rPh>
    <rPh sb="14" eb="16">
      <t>イチラン</t>
    </rPh>
    <rPh sb="17" eb="18">
      <t>ツギ</t>
    </rPh>
    <rPh sb="22" eb="24">
      <t>ジョウタイ</t>
    </rPh>
    <rPh sb="35" eb="37">
      <t>ドウコン</t>
    </rPh>
    <rPh sb="50" eb="52">
      <t>キロク</t>
    </rPh>
    <rPh sb="52" eb="53">
      <t>ヒョウ</t>
    </rPh>
    <phoneticPr fontId="2"/>
  </si>
  <si>
    <t>※以下①のメッセージが表示されてマクロが実行できない場合、②の内容に従いブロックを解除してください</t>
    <rPh sb="1" eb="3">
      <t>イカ</t>
    </rPh>
    <rPh sb="11" eb="13">
      <t>ヒョウジ</t>
    </rPh>
    <rPh sb="20" eb="22">
      <t>ジッコウ</t>
    </rPh>
    <rPh sb="26" eb="28">
      <t>バアイ</t>
    </rPh>
    <rPh sb="31" eb="33">
      <t>ナイヨウ</t>
    </rPh>
    <rPh sb="34" eb="35">
      <t>シタガ</t>
    </rPh>
    <rPh sb="41" eb="43">
      <t>カイジョ</t>
    </rPh>
    <phoneticPr fontId="2"/>
  </si>
  <si>
    <t>①</t>
    <phoneticPr fontId="2"/>
  </si>
  <si>
    <t>②</t>
    <phoneticPr fontId="2"/>
  </si>
  <si>
    <t>潜在的に危険なマクロがブロックされました - Microsoft サポート</t>
  </si>
  <si>
    <t>※ダウンロードした本ツール、「システム機能設計書_サンプル.xlsx」、「システム機能設計書_サンプル_レビュー記録票.xlsx」を開いた際、初回は以下のメッセージが表示されますので</t>
    <rPh sb="9" eb="10">
      <t>ホン</t>
    </rPh>
    <rPh sb="66" eb="67">
      <t>ヒラ</t>
    </rPh>
    <rPh sb="69" eb="70">
      <t>サイ</t>
    </rPh>
    <rPh sb="71" eb="73">
      <t>ショカイ</t>
    </rPh>
    <rPh sb="74" eb="76">
      <t>イカ</t>
    </rPh>
    <rPh sb="83" eb="85">
      <t>ヒョウジ</t>
    </rPh>
    <phoneticPr fontId="2"/>
  </si>
  <si>
    <t>　「編集を有効にする（E）」をクリックして保護ビューを解除してください。</t>
    <rPh sb="2" eb="4">
      <t>ヘンシュウ</t>
    </rPh>
    <rPh sb="5" eb="7">
      <t>ユウコウ</t>
    </rPh>
    <rPh sb="21" eb="23">
      <t>ホゴ</t>
    </rPh>
    <rPh sb="27" eb="29">
      <t>カイジョ</t>
    </rPh>
    <phoneticPr fontId="2"/>
  </si>
  <si>
    <t>社内で利用されていたツールを汎化して社外へ公開。</t>
    <rPh sb="0" eb="2">
      <t>シャナイ</t>
    </rPh>
    <rPh sb="3" eb="5">
      <t>リヨウ</t>
    </rPh>
    <rPh sb="14" eb="15">
      <t>ハン</t>
    </rPh>
    <rPh sb="15" eb="16">
      <t>カ</t>
    </rPh>
    <rPh sb="18" eb="20">
      <t>シャガイ</t>
    </rPh>
    <rPh sb="21" eb="23">
      <t>コウカイ</t>
    </rPh>
    <phoneticPr fontId="2"/>
  </si>
  <si>
    <t>誤ったバージョン表記を削除。</t>
    <rPh sb="0" eb="1">
      <t>アヤマ</t>
    </rPh>
    <rPh sb="8" eb="10">
      <t>ヒョウキ</t>
    </rPh>
    <rPh sb="11" eb="13">
      <t>サクジョ</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</si>
</sst>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
    <numFmt numFmtId="177" formatCode="00"/>
  </numFmts>
  <fonts count="30" x14ac:knownFonts="1">
    <font>
      <sz val="11"/>
      <name val="ＭＳ Ｐゴシック"/>
      <family val="3"/>
      <charset val="128"/>
    </font>
    <font>
      <sz val="11"/>
      <name val="ＭＳ Ｐゴシック"/>
      <family val="3"/>
      <charset val="128"/>
    </font>
    <font>
      <sz val="6"/>
      <name val="ＭＳ Ｐゴシック"/>
      <family val="3"/>
      <charset val="128"/>
    </font>
    <font>
      <sz val="11"/>
      <name val="MS UI Gothic"/>
      <family val="3"/>
      <charset val="128"/>
    </font>
    <font>
      <b/>
      <sz val="11"/>
      <name val="ＭＳ Ｐゴシック"/>
      <family val="3"/>
      <charset val="128"/>
    </font>
    <font>
      <b/>
      <sz val="11"/>
      <name val="MS UI Gothic"/>
      <family val="3"/>
      <charset val="128"/>
    </font>
    <font>
      <sz val="11"/>
      <color indexed="9"/>
      <name val="ＭＳ Ｐゴシック"/>
      <family val="3"/>
      <charset val="128"/>
    </font>
    <font>
      <b/>
      <i/>
      <sz val="14"/>
      <color indexed="9"/>
      <name val="ＭＳ Ｐゴシック"/>
      <family val="3"/>
      <charset val="128"/>
    </font>
    <font>
      <i/>
      <sz val="14"/>
      <color indexed="9"/>
      <name val="ＭＳ Ｐゴシック"/>
      <family val="3"/>
      <charset val="128"/>
    </font>
    <font>
      <sz val="11"/>
      <color indexed="10"/>
      <name val="ＭＳ Ｐゴシック"/>
      <family val="3"/>
      <charset val="128"/>
    </font>
    <font>
      <sz val="8"/>
      <name val="ＭＳ Ｐゴシック"/>
      <family val="3"/>
      <charset val="128"/>
    </font>
    <font>
      <b/>
      <i/>
      <sz val="11"/>
      <name val="ＭＳ Ｐゴシック"/>
      <family val="3"/>
      <charset val="128"/>
    </font>
    <font>
      <sz val="9"/>
      <name val="ＭＳ Ｐゴシック"/>
      <family val="3"/>
      <charset val="128"/>
    </font>
    <font>
      <b/>
      <sz val="14"/>
      <color indexed="9"/>
      <name val="HG丸ｺﾞｼｯｸM-PRO"/>
      <family val="3"/>
      <charset val="128"/>
    </font>
    <font>
      <sz val="10"/>
      <color indexed="9"/>
      <name val="Tahoma"/>
      <family val="2"/>
    </font>
    <font>
      <sz val="8"/>
      <name val="ＭＳ ゴシック"/>
      <family val="3"/>
      <charset val="128"/>
    </font>
    <font>
      <sz val="8"/>
      <color theme="0"/>
      <name val="ＭＳ Ｐゴシック"/>
      <family val="3"/>
      <charset val="128"/>
    </font>
    <font>
      <sz val="11"/>
      <name val="ＭＳ Ｐゴシック"/>
      <family val="3"/>
      <charset val="128"/>
      <scheme val="minor"/>
    </font>
    <font>
      <sz val="11"/>
      <color rgb="FF000000"/>
      <name val="ＭＳ Ｐゴシック"/>
      <family val="3"/>
      <charset val="128"/>
    </font>
    <font>
      <u/>
      <sz val="11"/>
      <color theme="10"/>
      <name val="ＭＳ Ｐゴシック"/>
      <family val="3"/>
      <charset val="128"/>
    </font>
    <font>
      <b/>
      <sz val="20"/>
      <name val="ＭＳ Ｐゴシック"/>
      <family val="3"/>
      <charset val="128"/>
    </font>
    <font>
      <b/>
      <sz val="16"/>
      <name val="ＭＳ Ｐゴシック"/>
      <family val="3"/>
      <charset val="128"/>
    </font>
    <font>
      <b/>
      <sz val="14"/>
      <name val="ＭＳ Ｐゴシック"/>
      <family val="3"/>
      <charset val="128"/>
    </font>
    <font>
      <b/>
      <sz val="11"/>
      <color rgb="FF000000"/>
      <name val="ＭＳ Ｐゴシック"/>
      <family val="3"/>
      <charset val="128"/>
    </font>
    <font>
      <b/>
      <sz val="14"/>
      <color rgb="FF000000"/>
      <name val="ＭＳ Ｐゴシック"/>
      <family val="3"/>
      <charset val="128"/>
    </font>
    <font>
      <i/>
      <sz val="11"/>
      <name val="ＭＳ Ｐゴシック"/>
      <family val="3"/>
      <charset val="128"/>
    </font>
    <font>
      <b/>
      <sz val="11"/>
      <color rgb="FFFF0000"/>
      <name val="ＭＳ Ｐゴシック"/>
      <family val="3"/>
      <charset val="128"/>
    </font>
    <font>
      <sz val="9"/>
      <color rgb="FF000000"/>
      <name val="ＭＳ Ｐゴシック"/>
      <family val="3"/>
      <charset val="128"/>
    </font>
    <font>
      <b/>
      <sz val="18"/>
      <name val="ＭＳ Ｐゴシック"/>
      <family val="3"/>
      <charset val="128"/>
    </font>
    <font>
      <sz val="11"/>
      <color rgb="FFFF0000"/>
      <name val="ＭＳ Ｐゴシック"/>
      <family val="3"/>
      <charset val="128"/>
    </font>
  </fonts>
  <fills count="10">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13"/>
        <bgColor indexed="64"/>
      </patternFill>
    </fill>
    <fill>
      <patternFill patternType="solid">
        <fgColor indexed="8"/>
        <bgColor indexed="64"/>
      </patternFill>
    </fill>
    <fill>
      <patternFill patternType="solid">
        <fgColor indexed="47"/>
        <bgColor indexed="64"/>
      </patternFill>
    </fill>
    <fill>
      <patternFill patternType="solid">
        <fgColor indexed="26"/>
        <bgColor indexed="64"/>
      </patternFill>
    </fill>
    <fill>
      <patternFill patternType="solid">
        <fgColor theme="0" tint="-0.14999847407452621"/>
        <bgColor indexed="64"/>
      </patternFill>
    </fill>
    <fill>
      <patternFill patternType="solid">
        <fgColor theme="6"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55"/>
      </right>
      <top style="thin">
        <color indexed="64"/>
      </top>
      <bottom style="thin">
        <color indexed="55"/>
      </bottom>
      <diagonal/>
    </border>
    <border>
      <left style="hair">
        <color indexed="64"/>
      </left>
      <right/>
      <top/>
      <bottom/>
      <diagonal/>
    </border>
    <border>
      <left style="thin">
        <color indexed="64"/>
      </left>
      <right/>
      <top style="thin">
        <color indexed="64"/>
      </top>
      <bottom style="thin">
        <color indexed="55"/>
      </bottom>
      <diagonal/>
    </border>
    <border>
      <left/>
      <right/>
      <top style="thin">
        <color indexed="64"/>
      </top>
      <bottom style="thin">
        <color indexed="55"/>
      </bottom>
      <diagonal/>
    </border>
    <border>
      <left/>
      <right style="thin">
        <color indexed="55"/>
      </right>
      <top style="thin">
        <color indexed="64"/>
      </top>
      <bottom style="thin">
        <color indexed="55"/>
      </bottom>
      <diagonal/>
    </border>
  </borders>
  <cellStyleXfs count="2">
    <xf numFmtId="0" fontId="0" fillId="0" borderId="0">
      <alignment vertical="center"/>
    </xf>
    <xf numFmtId="0" fontId="19" fillId="0" borderId="0" applyNumberFormat="0" applyFill="0" applyBorder="0" applyAlignment="0" applyProtection="0">
      <alignment vertical="center"/>
    </xf>
  </cellStyleXfs>
  <cellXfs count="87">
    <xf numFmtId="0" fontId="0" fillId="0" borderId="0" xfId="0">
      <alignment vertical="center"/>
    </xf>
    <xf numFmtId="0" fontId="0" fillId="0" borderId="0" xfId="0" applyAlignment="1">
      <alignment vertical="center" wrapText="1"/>
    </xf>
    <xf numFmtId="0" fontId="0" fillId="0" borderId="1" xfId="0" applyBorder="1">
      <alignment vertical="center"/>
    </xf>
    <xf numFmtId="0" fontId="0" fillId="0" borderId="1" xfId="0" applyBorder="1" applyAlignment="1">
      <alignment horizontal="center" vertical="center"/>
    </xf>
    <xf numFmtId="0" fontId="0" fillId="2" borderId="1" xfId="0" applyFill="1" applyBorder="1" applyAlignment="1">
      <alignment horizontal="center" vertical="center" wrapText="1"/>
    </xf>
    <xf numFmtId="0" fontId="0" fillId="2" borderId="1" xfId="0" applyFill="1" applyBorder="1" applyAlignment="1">
      <alignment horizontal="center" vertical="center"/>
    </xf>
    <xf numFmtId="0" fontId="3" fillId="2" borderId="1" xfId="0" applyFont="1" applyFill="1" applyBorder="1" applyAlignment="1">
      <alignment vertical="center" wrapText="1"/>
    </xf>
    <xf numFmtId="0" fontId="3" fillId="2" borderId="1" xfId="0" applyFont="1" applyFill="1" applyBorder="1">
      <alignment vertical="center"/>
    </xf>
    <xf numFmtId="0" fontId="4" fillId="0" borderId="0" xfId="0" applyFont="1">
      <alignment vertical="center"/>
    </xf>
    <xf numFmtId="0" fontId="1" fillId="2" borderId="1" xfId="0" applyFont="1" applyFill="1" applyBorder="1">
      <alignment vertical="center"/>
    </xf>
    <xf numFmtId="0" fontId="0" fillId="2" borderId="1" xfId="0" applyFill="1" applyBorder="1">
      <alignment vertical="center"/>
    </xf>
    <xf numFmtId="14" fontId="0" fillId="0" borderId="1" xfId="0" applyNumberFormat="1" applyBorder="1">
      <alignment vertical="center"/>
    </xf>
    <xf numFmtId="20" fontId="0" fillId="0" borderId="1" xfId="0" applyNumberFormat="1" applyBorder="1">
      <alignment vertical="center"/>
    </xf>
    <xf numFmtId="0" fontId="0" fillId="3" borderId="1" xfId="0" applyFill="1" applyBorder="1" applyAlignment="1">
      <alignment vertical="center" wrapText="1"/>
    </xf>
    <xf numFmtId="0" fontId="0" fillId="3" borderId="2" xfId="0" applyFill="1" applyBorder="1">
      <alignment vertical="center"/>
    </xf>
    <xf numFmtId="0" fontId="0" fillId="3" borderId="3" xfId="0" applyFill="1" applyBorder="1">
      <alignment vertical="center"/>
    </xf>
    <xf numFmtId="0" fontId="0" fillId="3" borderId="4" xfId="0" applyFill="1" applyBorder="1" applyAlignment="1">
      <alignment vertical="center" wrapText="1"/>
    </xf>
    <xf numFmtId="0" fontId="4" fillId="0" borderId="0" xfId="0" applyFont="1" applyAlignment="1">
      <alignment vertical="center" wrapText="1"/>
    </xf>
    <xf numFmtId="0" fontId="5" fillId="2" borderId="1" xfId="0" applyFont="1" applyFill="1" applyBorder="1" applyAlignment="1">
      <alignment vertical="center" wrapText="1"/>
    </xf>
    <xf numFmtId="0" fontId="1" fillId="2" borderId="4" xfId="0" applyFont="1" applyFill="1" applyBorder="1">
      <alignment vertical="center"/>
    </xf>
    <xf numFmtId="0" fontId="0" fillId="2" borderId="2" xfId="0" applyFill="1" applyBorder="1">
      <alignment vertical="center"/>
    </xf>
    <xf numFmtId="0" fontId="0" fillId="2" borderId="3" xfId="0" applyFill="1" applyBorder="1">
      <alignment vertical="center"/>
    </xf>
    <xf numFmtId="0" fontId="6" fillId="0" borderId="0" xfId="0" applyFont="1" applyAlignment="1">
      <alignment vertical="center" wrapText="1"/>
    </xf>
    <xf numFmtId="176" fontId="0" fillId="0" borderId="1" xfId="0" applyNumberFormat="1" applyBorder="1">
      <alignment vertical="center"/>
    </xf>
    <xf numFmtId="0" fontId="7" fillId="5" borderId="0" xfId="0" applyFont="1" applyFill="1">
      <alignment vertical="center"/>
    </xf>
    <xf numFmtId="0" fontId="8" fillId="5" borderId="0" xfId="0" applyFont="1" applyFill="1">
      <alignment vertical="center"/>
    </xf>
    <xf numFmtId="0" fontId="0" fillId="0" borderId="1" xfId="0" applyBorder="1" applyAlignment="1">
      <alignment vertical="center" wrapText="1"/>
    </xf>
    <xf numFmtId="0" fontId="6" fillId="6" borderId="0" xfId="0" applyFont="1" applyFill="1" applyAlignment="1">
      <alignment horizontal="right" vertical="center"/>
    </xf>
    <xf numFmtId="0" fontId="9" fillId="0" borderId="0" xfId="0" applyFont="1">
      <alignment vertical="center"/>
    </xf>
    <xf numFmtId="14" fontId="0" fillId="0" borderId="1" xfId="0" applyNumberFormat="1" applyBorder="1" applyAlignment="1">
      <alignment horizontal="center" vertical="center"/>
    </xf>
    <xf numFmtId="0" fontId="0" fillId="4" borderId="1" xfId="0" applyFill="1" applyBorder="1" applyAlignment="1">
      <alignment horizontal="left" vertical="center"/>
    </xf>
    <xf numFmtId="0" fontId="0" fillId="4" borderId="1" xfId="0" applyFill="1" applyBorder="1" applyAlignment="1">
      <alignment horizontal="center" vertical="center"/>
    </xf>
    <xf numFmtId="0" fontId="11" fillId="0" borderId="0" xfId="0" applyFont="1">
      <alignment vertical="center"/>
    </xf>
    <xf numFmtId="0" fontId="5" fillId="2" borderId="0" xfId="0" applyFont="1" applyFill="1" applyAlignment="1">
      <alignment vertical="center" wrapText="1"/>
    </xf>
    <xf numFmtId="0" fontId="6" fillId="0" borderId="0" xfId="0" applyFont="1">
      <alignment vertical="center"/>
    </xf>
    <xf numFmtId="0" fontId="6" fillId="0" borderId="0" xfId="0" applyFont="1" applyAlignment="1">
      <alignment horizontal="right" vertical="center"/>
    </xf>
    <xf numFmtId="0" fontId="0" fillId="3" borderId="2" xfId="0" applyFill="1" applyBorder="1" applyAlignment="1">
      <alignment vertical="center" wrapText="1"/>
    </xf>
    <xf numFmtId="0" fontId="0" fillId="3" borderId="1" xfId="0" applyFill="1" applyBorder="1">
      <alignment vertical="center"/>
    </xf>
    <xf numFmtId="0" fontId="4" fillId="2" borderId="1" xfId="0" applyFont="1" applyFill="1" applyBorder="1">
      <alignment vertical="center"/>
    </xf>
    <xf numFmtId="176" fontId="4" fillId="7" borderId="1" xfId="0" applyNumberFormat="1" applyFont="1" applyFill="1" applyBorder="1">
      <alignment vertical="center"/>
    </xf>
    <xf numFmtId="176" fontId="4" fillId="7" borderId="1" xfId="0" applyNumberFormat="1" applyFont="1" applyFill="1" applyBorder="1" applyAlignment="1">
      <alignment vertical="center" wrapText="1"/>
    </xf>
    <xf numFmtId="176" fontId="4" fillId="0" borderId="0" xfId="0" applyNumberFormat="1" applyFont="1" applyAlignment="1">
      <alignment vertical="center" wrapText="1"/>
    </xf>
    <xf numFmtId="0" fontId="10" fillId="0" borderId="0" xfId="0" applyFont="1">
      <alignment vertical="center"/>
    </xf>
    <xf numFmtId="0" fontId="10" fillId="0" borderId="5" xfId="0" applyFont="1" applyBorder="1">
      <alignment vertical="center"/>
    </xf>
    <xf numFmtId="0" fontId="10" fillId="0" borderId="6" xfId="0" applyFont="1" applyBorder="1">
      <alignment vertical="center"/>
    </xf>
    <xf numFmtId="0" fontId="0" fillId="0" borderId="6" xfId="0" applyBorder="1">
      <alignment vertical="center"/>
    </xf>
    <xf numFmtId="0" fontId="12" fillId="0" borderId="5" xfId="0" applyFont="1" applyBorder="1" applyAlignment="1">
      <alignment horizontal="center" vertical="center"/>
    </xf>
    <xf numFmtId="0" fontId="13" fillId="5" borderId="0" xfId="0" applyFont="1" applyFill="1">
      <alignment vertical="center"/>
    </xf>
    <xf numFmtId="0" fontId="14" fillId="5" borderId="0" xfId="0" applyFont="1" applyFill="1" applyAlignment="1">
      <alignment horizontal="right" vertical="center"/>
    </xf>
    <xf numFmtId="0" fontId="10" fillId="0" borderId="0" xfId="0" applyFont="1" applyAlignment="1">
      <alignment horizontal="center" vertical="center"/>
    </xf>
    <xf numFmtId="0" fontId="10" fillId="0" borderId="6" xfId="0" applyFont="1" applyBorder="1" applyAlignment="1">
      <alignment horizontal="center" vertical="center"/>
    </xf>
    <xf numFmtId="0" fontId="10" fillId="0" borderId="0" xfId="0" applyFont="1" applyAlignment="1">
      <alignment horizontal="left" vertical="center"/>
    </xf>
    <xf numFmtId="0" fontId="0" fillId="0" borderId="0" xfId="0" applyAlignment="1">
      <alignment horizontal="left" vertical="center"/>
    </xf>
    <xf numFmtId="0" fontId="16" fillId="0" borderId="0" xfId="0" applyFont="1" applyAlignment="1">
      <alignment horizontal="left" vertical="center"/>
    </xf>
    <xf numFmtId="177" fontId="17" fillId="0" borderId="1" xfId="0" applyNumberFormat="1" applyFont="1" applyBorder="1" applyAlignment="1">
      <alignment horizontal="left"/>
    </xf>
    <xf numFmtId="0" fontId="20" fillId="0" borderId="0" xfId="0" applyFont="1">
      <alignment vertical="center"/>
    </xf>
    <xf numFmtId="0" fontId="21" fillId="0" borderId="0" xfId="0" applyFont="1">
      <alignment vertical="center"/>
    </xf>
    <xf numFmtId="0" fontId="22" fillId="0" borderId="0" xfId="0" applyFont="1">
      <alignment vertical="center"/>
    </xf>
    <xf numFmtId="0" fontId="18" fillId="0" borderId="0" xfId="0" applyFont="1">
      <alignment vertical="center"/>
    </xf>
    <xf numFmtId="0" fontId="24" fillId="0" borderId="0" xfId="0" applyFont="1">
      <alignment vertical="center"/>
    </xf>
    <xf numFmtId="0" fontId="18" fillId="0" borderId="4" xfId="0" applyFont="1" applyBorder="1">
      <alignment vertical="center"/>
    </xf>
    <xf numFmtId="0" fontId="0" fillId="0" borderId="3" xfId="0" applyBorder="1">
      <alignment vertical="center"/>
    </xf>
    <xf numFmtId="0" fontId="0" fillId="0" borderId="4" xfId="0" applyBorder="1">
      <alignment vertical="center"/>
    </xf>
    <xf numFmtId="0" fontId="0" fillId="0" borderId="2" xfId="0" applyBorder="1">
      <alignment vertical="center"/>
    </xf>
    <xf numFmtId="0" fontId="4" fillId="8" borderId="4" xfId="0" applyFont="1" applyFill="1" applyBorder="1">
      <alignment vertical="center"/>
    </xf>
    <xf numFmtId="0" fontId="4" fillId="8" borderId="2" xfId="0" applyFont="1" applyFill="1" applyBorder="1">
      <alignment vertical="center"/>
    </xf>
    <xf numFmtId="0" fontId="4" fillId="8" borderId="3" xfId="0" applyFont="1" applyFill="1" applyBorder="1">
      <alignment vertical="center"/>
    </xf>
    <xf numFmtId="0" fontId="0" fillId="8" borderId="3" xfId="0" applyFill="1" applyBorder="1">
      <alignment vertical="center"/>
    </xf>
    <xf numFmtId="0" fontId="23" fillId="8" borderId="4" xfId="0" applyFont="1" applyFill="1" applyBorder="1">
      <alignment vertical="center"/>
    </xf>
    <xf numFmtId="0" fontId="0" fillId="8" borderId="2" xfId="0" applyFill="1" applyBorder="1">
      <alignment vertical="center"/>
    </xf>
    <xf numFmtId="0" fontId="4" fillId="9" borderId="1" xfId="0" applyFont="1" applyFill="1" applyBorder="1">
      <alignment vertical="center"/>
    </xf>
    <xf numFmtId="0" fontId="19" fillId="0" borderId="0" xfId="1">
      <alignment vertical="center"/>
    </xf>
    <xf numFmtId="0" fontId="25" fillId="0" borderId="0" xfId="0" applyFont="1">
      <alignment vertical="center"/>
    </xf>
    <xf numFmtId="0" fontId="0" fillId="8" borderId="4" xfId="0" applyFill="1" applyBorder="1">
      <alignment vertical="center"/>
    </xf>
    <xf numFmtId="0" fontId="28" fillId="0" borderId="0" xfId="0" applyFont="1">
      <alignment vertical="center"/>
    </xf>
    <xf numFmtId="0" fontId="0" fillId="9" borderId="1" xfId="0" applyFill="1" applyBorder="1">
      <alignment vertical="center"/>
    </xf>
    <xf numFmtId="0" fontId="29" fillId="0" borderId="0" xfId="0" applyFont="1">
      <alignment vertical="center"/>
    </xf>
    <xf numFmtId="0" fontId="0" fillId="0" borderId="0" xfId="0" applyAlignment="1">
      <alignment horizontal="right" vertical="center"/>
    </xf>
    <xf numFmtId="0" fontId="15" fillId="0" borderId="7" xfId="0" applyFont="1" applyBorder="1" applyAlignment="1">
      <alignment vertical="center" shrinkToFit="1"/>
    </xf>
    <xf numFmtId="0" fontId="15" fillId="0" borderId="8" xfId="0" applyFont="1" applyBorder="1" applyAlignment="1">
      <alignment vertical="center" shrinkToFit="1"/>
    </xf>
    <xf numFmtId="0" fontId="15" fillId="0" borderId="9" xfId="0" applyFont="1" applyBorder="1" applyAlignment="1">
      <alignment vertical="center" shrinkToFit="1"/>
    </xf>
    <xf numFmtId="0" fontId="10" fillId="0" borderId="4" xfId="0" applyFont="1" applyBorder="1">
      <alignment vertical="center"/>
    </xf>
    <xf numFmtId="0" fontId="10" fillId="0" borderId="2" xfId="0" applyFont="1" applyBorder="1">
      <alignment vertical="center"/>
    </xf>
    <xf numFmtId="0" fontId="10" fillId="0" borderId="3" xfId="0" applyFont="1" applyBorder="1">
      <alignment vertical="center"/>
    </xf>
    <xf numFmtId="0" fontId="10" fillId="0" borderId="0" xfId="0" applyFont="1" applyAlignment="1">
      <alignment horizontal="center" vertical="center"/>
    </xf>
    <xf numFmtId="0" fontId="0" fillId="0" borderId="1" xfId="0" applyBorder="1">
      <alignment vertical="center"/>
    </xf>
    <xf numFmtId="0" fontId="0" fillId="2" borderId="1" xfId="0" applyFill="1" applyBorder="1">
      <alignment vertical="center"/>
    </xf>
  </cellXfs>
  <cellStyles count="2">
    <cellStyle name="ハイパーリンク" xfId="1" builtinId="8"/>
    <cellStyle name="標準" xfId="0" builtinId="0"/>
  </cellStyles>
  <dxfs count="1">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emf"/></Relationships>
</file>

<file path=xl/drawings/_rels/drawing4.xml.rels><?xml version="1.0" encoding="UTF-8" standalone="yes"?>
<Relationships xmlns="http://schemas.openxmlformats.org/package/2006/relationships"><Relationship Id="rId1" Type="http://schemas.openxmlformats.org/officeDocument/2006/relationships/image" Target="../media/image14.emf"/></Relationships>
</file>

<file path=xl/drawings/_rels/drawing5.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6.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5" Type="http://schemas.openxmlformats.org/officeDocument/2006/relationships/image" Target="../media/image13.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33</xdr:row>
      <xdr:rowOff>0</xdr:rowOff>
    </xdr:from>
    <xdr:to>
      <xdr:col>11</xdr:col>
      <xdr:colOff>324757</xdr:colOff>
      <xdr:row>34</xdr:row>
      <xdr:rowOff>161972</xdr:rowOff>
    </xdr:to>
    <xdr:pic>
      <xdr:nvPicPr>
        <xdr:cNvPr id="2" name="図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371600" y="4724400"/>
          <a:ext cx="6496957" cy="333422"/>
        </a:xfrm>
        <a:prstGeom prst="rect">
          <a:avLst/>
        </a:prstGeom>
      </xdr:spPr>
    </xdr:pic>
    <xdr:clientData/>
  </xdr:twoCellAnchor>
  <xdr:twoCellAnchor editAs="oneCell">
    <xdr:from>
      <xdr:col>1</xdr:col>
      <xdr:colOff>0</xdr:colOff>
      <xdr:row>27</xdr:row>
      <xdr:rowOff>0</xdr:rowOff>
    </xdr:from>
    <xdr:to>
      <xdr:col>15</xdr:col>
      <xdr:colOff>191867</xdr:colOff>
      <xdr:row>29</xdr:row>
      <xdr:rowOff>95311</xdr:rowOff>
    </xdr:to>
    <xdr:pic>
      <xdr:nvPicPr>
        <xdr:cNvPr id="4" name="図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85800" y="4552950"/>
          <a:ext cx="9793067" cy="438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857250</xdr:colOff>
      <xdr:row>5</xdr:row>
      <xdr:rowOff>161925</xdr:rowOff>
    </xdr:from>
    <xdr:to>
      <xdr:col>16</xdr:col>
      <xdr:colOff>571500</xdr:colOff>
      <xdr:row>22</xdr:row>
      <xdr:rowOff>142875</xdr:rowOff>
    </xdr:to>
    <xdr:sp macro="" textlink="">
      <xdr:nvSpPr>
        <xdr:cNvPr id="8344" name="Rectangle 26">
          <a:extLst>
            <a:ext uri="{FF2B5EF4-FFF2-40B4-BE49-F238E27FC236}">
              <a16:creationId xmlns:a16="http://schemas.microsoft.com/office/drawing/2014/main" id="{00000000-0008-0000-0200-000098200000}"/>
            </a:ext>
          </a:extLst>
        </xdr:cNvPr>
        <xdr:cNvSpPr>
          <a:spLocks noChangeArrowheads="1"/>
        </xdr:cNvSpPr>
      </xdr:nvSpPr>
      <xdr:spPr bwMode="auto">
        <a:xfrm>
          <a:off x="2019300" y="485775"/>
          <a:ext cx="6276975" cy="22860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209550</xdr:colOff>
          <xdr:row>2</xdr:row>
          <xdr:rowOff>142875</xdr:rowOff>
        </xdr:from>
        <xdr:to>
          <xdr:col>3</xdr:col>
          <xdr:colOff>638175</xdr:colOff>
          <xdr:row>10</xdr:row>
          <xdr:rowOff>57150</xdr:rowOff>
        </xdr:to>
        <xdr:sp macro="" textlink="">
          <xdr:nvSpPr>
            <xdr:cNvPr id="1025" name="CmdGen"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1057275</xdr:colOff>
          <xdr:row>24</xdr:row>
          <xdr:rowOff>38100</xdr:rowOff>
        </xdr:from>
        <xdr:to>
          <xdr:col>9</xdr:col>
          <xdr:colOff>123825</xdr:colOff>
          <xdr:row>25</xdr:row>
          <xdr:rowOff>152400</xdr:rowOff>
        </xdr:to>
        <xdr:sp macro="" textlink="">
          <xdr:nvSpPr>
            <xdr:cNvPr id="1047" name="CbAdjustCmntPos" hidden="1">
              <a:extLst>
                <a:ext uri="{63B3BB69-23CF-44E3-9099-C40C66FF867C}">
                  <a14:compatExt spid="_x0000_s1047"/>
                </a:ext>
                <a:ext uri="{FF2B5EF4-FFF2-40B4-BE49-F238E27FC236}">
                  <a16:creationId xmlns:a16="http://schemas.microsoft.com/office/drawing/2014/main" id="{00000000-0008-0000-02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1009650</xdr:colOff>
      <xdr:row>5</xdr:row>
      <xdr:rowOff>95250</xdr:rowOff>
    </xdr:from>
    <xdr:ext cx="1661032" cy="168508"/>
    <xdr:sp macro="" textlink="">
      <xdr:nvSpPr>
        <xdr:cNvPr id="1049" name="Text Box 25">
          <a:extLst>
            <a:ext uri="{FF2B5EF4-FFF2-40B4-BE49-F238E27FC236}">
              <a16:creationId xmlns:a16="http://schemas.microsoft.com/office/drawing/2014/main" id="{00000000-0008-0000-0200-000019040000}"/>
            </a:ext>
          </a:extLst>
        </xdr:cNvPr>
        <xdr:cNvSpPr txBox="1">
          <a:spLocks noChangeArrowheads="1"/>
        </xdr:cNvSpPr>
      </xdr:nvSpPr>
      <xdr:spPr bwMode="auto">
        <a:xfrm>
          <a:off x="2171700" y="1104900"/>
          <a:ext cx="1661032"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レビュー記録サマリへの反映オプション</a:t>
          </a:r>
        </a:p>
      </xdr:txBody>
    </xdr:sp>
    <xdr:clientData/>
  </xdr:oneCellAnchor>
  <xdr:twoCellAnchor>
    <xdr:from>
      <xdr:col>17</xdr:col>
      <xdr:colOff>38100</xdr:colOff>
      <xdr:row>2</xdr:row>
      <xdr:rowOff>38100</xdr:rowOff>
    </xdr:from>
    <xdr:to>
      <xdr:col>19</xdr:col>
      <xdr:colOff>381000</xdr:colOff>
      <xdr:row>27</xdr:row>
      <xdr:rowOff>133350</xdr:rowOff>
    </xdr:to>
    <xdr:sp macro="" textlink="">
      <xdr:nvSpPr>
        <xdr:cNvPr id="1054" name="Rectangle 30">
          <a:extLst>
            <a:ext uri="{FF2B5EF4-FFF2-40B4-BE49-F238E27FC236}">
              <a16:creationId xmlns:a16="http://schemas.microsoft.com/office/drawing/2014/main" id="{00000000-0008-0000-0200-00001E040000}"/>
            </a:ext>
          </a:extLst>
        </xdr:cNvPr>
        <xdr:cNvSpPr>
          <a:spLocks noChangeArrowheads="1"/>
        </xdr:cNvSpPr>
      </xdr:nvSpPr>
      <xdr:spPr bwMode="auto">
        <a:xfrm>
          <a:off x="8448675" y="533400"/>
          <a:ext cx="3533775" cy="37719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txBody>
        <a:bodyPr vertOverflow="clip" wrap="square" lIns="27432" tIns="36576" rIns="0" bIns="0" anchor="t" upright="1"/>
        <a:lstStyle/>
        <a:p>
          <a:pPr marL="0" marR="0" lvl="0" indent="0" algn="l" defTabSz="914400" rtl="0" eaLnBrk="1" fontAlgn="auto" latinLnBrk="0" hangingPunct="1">
            <a:lnSpc>
              <a:spcPts val="1400"/>
            </a:lnSpc>
            <a:spcBef>
              <a:spcPts val="0"/>
            </a:spcBef>
            <a:spcAft>
              <a:spcPts val="0"/>
            </a:spcAft>
            <a:buClrTx/>
            <a:buSzTx/>
            <a:buFontTx/>
            <a:buNone/>
            <a:tabLst/>
            <a:defRPr sz="1000"/>
          </a:pPr>
          <a:r>
            <a:rPr lang="ja-JP" altLang="en-US" sz="800" b="1" i="0" u="sng" baseline="0">
              <a:effectLst/>
              <a:latin typeface="メイリオ" panose="020B0604030504040204" pitchFamily="50" charset="-128"/>
              <a:ea typeface="メイリオ" panose="020B0604030504040204" pitchFamily="50" charset="-128"/>
              <a:cs typeface="+mn-cs"/>
            </a:rPr>
            <a:t>必須の設定</a:t>
          </a:r>
          <a:endParaRPr lang="ja-JP" altLang="ja-JP" sz="800">
            <a:effectLst/>
            <a:latin typeface="メイリオ" panose="020B0604030504040204" pitchFamily="50" charset="-128"/>
            <a:ea typeface="メイリオ" panose="020B0604030504040204" pitchFamily="50" charset="-128"/>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レビュー回数：</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レビュー記録票へ転記される項目です。特定のレビュー対象成果物に対する初回のレビューでは</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を設定し、再レビューを重ねるごとに</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してください。</a:t>
          </a:r>
          <a:endPar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endParaRPr lang="en-US" altLang="ja-JP" sz="800" b="1" i="0" u="sng"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レビュー記録サマリへの反映オプション</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【一覧への反映値】</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固定値：</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抽出時に指定した値が一覧に自動反映されます。フェーズなどは普段から変わらないと思うので、こちらを採用してください</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シート名、セル</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：レビュー対象文書の特定のシート、セルから値を取得します。ドキュメントの書式が統一されている場合には有効です。</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【合否判定】</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条件付合格自動判定：</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抽出した指摘が別途指定した指摘分類（通常はg:単純ミス・誤記）のみで、かつ件数が指定した数以下の場合、結果を自動で条件付合格とします。</a:t>
          </a:r>
        </a:p>
        <a:p>
          <a:pPr algn="l" rtl="0">
            <a:lnSpc>
              <a:spcPts val="1400"/>
            </a:lnSpc>
            <a:defRPr sz="1000"/>
          </a:pP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その他のオプション</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レビューコメントの位置・サイズ調整：</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レビューコメントが入ったExcelシートで編集を繰り返した結果、コメントの位置や大きさが狂うことがあります。このチェックを入れると、それらを補正することができます。</a:t>
          </a:r>
        </a:p>
      </xdr:txBody>
    </xdr:sp>
    <xdr:clientData/>
  </xdr:twoCellAnchor>
  <mc:AlternateContent xmlns:mc="http://schemas.openxmlformats.org/markup-compatibility/2006">
    <mc:Choice xmlns:a14="http://schemas.microsoft.com/office/drawing/2010/main" Requires="a14">
      <xdr:twoCellAnchor editAs="oneCell">
        <xdr:from>
          <xdr:col>14</xdr:col>
          <xdr:colOff>28575</xdr:colOff>
          <xdr:row>12</xdr:row>
          <xdr:rowOff>47625</xdr:rowOff>
        </xdr:from>
        <xdr:to>
          <xdr:col>16</xdr:col>
          <xdr:colOff>95250</xdr:colOff>
          <xdr:row>13</xdr:row>
          <xdr:rowOff>161925</xdr:rowOff>
        </xdr:to>
        <xdr:sp macro="" textlink="">
          <xdr:nvSpPr>
            <xdr:cNvPr id="1055" name="CbConditional"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857250</xdr:colOff>
      <xdr:row>23</xdr:row>
      <xdr:rowOff>104775</xdr:rowOff>
    </xdr:from>
    <xdr:to>
      <xdr:col>16</xdr:col>
      <xdr:colOff>571500</xdr:colOff>
      <xdr:row>26</xdr:row>
      <xdr:rowOff>28575</xdr:rowOff>
    </xdr:to>
    <xdr:sp macro="" textlink="">
      <xdr:nvSpPr>
        <xdr:cNvPr id="8359" name="Rectangle 32">
          <a:extLst>
            <a:ext uri="{FF2B5EF4-FFF2-40B4-BE49-F238E27FC236}">
              <a16:creationId xmlns:a16="http://schemas.microsoft.com/office/drawing/2014/main" id="{00000000-0008-0000-0200-0000A7200000}"/>
            </a:ext>
          </a:extLst>
        </xdr:cNvPr>
        <xdr:cNvSpPr>
          <a:spLocks noChangeArrowheads="1"/>
        </xdr:cNvSpPr>
      </xdr:nvSpPr>
      <xdr:spPr bwMode="auto">
        <a:xfrm>
          <a:off x="2019300" y="2905125"/>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oneCellAnchor>
    <xdr:from>
      <xdr:col>3</xdr:col>
      <xdr:colOff>1009650</xdr:colOff>
      <xdr:row>23</xdr:row>
      <xdr:rowOff>28575</xdr:rowOff>
    </xdr:from>
    <xdr:ext cx="822405" cy="168508"/>
    <xdr:sp macro="" textlink="">
      <xdr:nvSpPr>
        <xdr:cNvPr id="1057" name="Text Box 33">
          <a:extLst>
            <a:ext uri="{FF2B5EF4-FFF2-40B4-BE49-F238E27FC236}">
              <a16:creationId xmlns:a16="http://schemas.microsoft.com/office/drawing/2014/main" id="{00000000-0008-0000-0200-000021040000}"/>
            </a:ext>
          </a:extLst>
        </xdr:cNvPr>
        <xdr:cNvSpPr txBox="1">
          <a:spLocks noChangeArrowheads="1"/>
        </xdr:cNvSpPr>
      </xdr:nvSpPr>
      <xdr:spPr bwMode="auto">
        <a:xfrm>
          <a:off x="2171700" y="2828925"/>
          <a:ext cx="822405"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その他のオプション</a:t>
          </a:r>
        </a:p>
      </xdr:txBody>
    </xdr:sp>
    <xdr:clientData/>
  </xdr:oneCellAnchor>
  <mc:AlternateContent xmlns:mc="http://schemas.openxmlformats.org/markup-compatibility/2006">
    <mc:Choice xmlns:a14="http://schemas.microsoft.com/office/drawing/2010/main" Requires="a14">
      <xdr:twoCellAnchor editAs="oneCell">
        <xdr:from>
          <xdr:col>14</xdr:col>
          <xdr:colOff>342900</xdr:colOff>
          <xdr:row>9</xdr:row>
          <xdr:rowOff>9525</xdr:rowOff>
        </xdr:from>
        <xdr:to>
          <xdr:col>16</xdr:col>
          <xdr:colOff>409575</xdr:colOff>
          <xdr:row>10</xdr:row>
          <xdr:rowOff>123825</xdr:rowOff>
        </xdr:to>
        <xdr:sp macro="" textlink="">
          <xdr:nvSpPr>
            <xdr:cNvPr id="1063" name="CbBkup"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12</xdr:row>
          <xdr:rowOff>9525</xdr:rowOff>
        </xdr:from>
        <xdr:to>
          <xdr:col>3</xdr:col>
          <xdr:colOff>352425</xdr:colOff>
          <xdr:row>15</xdr:row>
          <xdr:rowOff>66675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200-00002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メモを削除</a:t>
              </a:r>
            </a:p>
          </xdr:txBody>
        </xdr:sp>
        <xdr:clientData fPrintsWithSheet="0"/>
      </xdr:twoCellAnchor>
    </mc:Choice>
    <mc:Fallback/>
  </mc:AlternateContent>
  <xdr:twoCellAnchor>
    <xdr:from>
      <xdr:col>3</xdr:col>
      <xdr:colOff>857250</xdr:colOff>
      <xdr:row>2</xdr:row>
      <xdr:rowOff>57150</xdr:rowOff>
    </xdr:from>
    <xdr:to>
      <xdr:col>16</xdr:col>
      <xdr:colOff>571500</xdr:colOff>
      <xdr:row>4</xdr:row>
      <xdr:rowOff>152400</xdr:rowOff>
    </xdr:to>
    <xdr:sp macro="" textlink="">
      <xdr:nvSpPr>
        <xdr:cNvPr id="3" name="Rectangle 32">
          <a:extLst>
            <a:ext uri="{FF2B5EF4-FFF2-40B4-BE49-F238E27FC236}">
              <a16:creationId xmlns:a16="http://schemas.microsoft.com/office/drawing/2014/main" id="{00000000-0008-0000-0200-000003000000}"/>
            </a:ext>
          </a:extLst>
        </xdr:cNvPr>
        <xdr:cNvSpPr>
          <a:spLocks noChangeArrowheads="1"/>
        </xdr:cNvSpPr>
      </xdr:nvSpPr>
      <xdr:spPr bwMode="auto">
        <a:xfrm>
          <a:off x="2019300" y="552450"/>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xdr:from>
          <xdr:col>1</xdr:col>
          <xdr:colOff>171450</xdr:colOff>
          <xdr:row>19</xdr:row>
          <xdr:rowOff>9525</xdr:rowOff>
        </xdr:from>
        <xdr:to>
          <xdr:col>3</xdr:col>
          <xdr:colOff>342900</xdr:colOff>
          <xdr:row>21</xdr:row>
          <xdr:rowOff>104775</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200-00002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レビュー結果</a:t>
              </a:r>
            </a:p>
            <a:p>
              <a:pPr algn="ctr" rtl="0">
                <a:defRPr sz="1000"/>
              </a:pPr>
              <a:r>
                <a:rPr lang="ja-JP" altLang="en-US" sz="900" b="0" i="0" u="none" strike="noStrike" baseline="0">
                  <a:solidFill>
                    <a:srgbClr val="000000"/>
                  </a:solidFill>
                  <a:latin typeface="ＭＳ Ｐゴシック"/>
                  <a:ea typeface="ＭＳ Ｐゴシック"/>
                </a:rPr>
                <a:t>シートを削除</a:t>
              </a:r>
            </a:p>
          </xdr:txBody>
        </xdr:sp>
        <xdr:clientData fPrintsWithSheet="0"/>
      </xdr:twoCellAnchor>
    </mc:Choice>
    <mc:Fallback/>
  </mc:AlternateContent>
  <xdr:twoCellAnchor editAs="oneCell">
    <xdr:from>
      <xdr:col>3</xdr:col>
      <xdr:colOff>352425</xdr:colOff>
      <xdr:row>41</xdr:row>
      <xdr:rowOff>104775</xdr:rowOff>
    </xdr:from>
    <xdr:to>
      <xdr:col>5</xdr:col>
      <xdr:colOff>752714</xdr:colOff>
      <xdr:row>46</xdr:row>
      <xdr:rowOff>162053</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514475" y="6553200"/>
          <a:ext cx="1714739" cy="914528"/>
        </a:xfrm>
        <a:prstGeom prst="rect">
          <a:avLst/>
        </a:prstGeom>
      </xdr:spPr>
    </xdr:pic>
    <xdr:clientData/>
  </xdr:twoCellAnchor>
  <xdr:twoCellAnchor editAs="oneCell">
    <xdr:from>
      <xdr:col>9</xdr:col>
      <xdr:colOff>152400</xdr:colOff>
      <xdr:row>41</xdr:row>
      <xdr:rowOff>85725</xdr:rowOff>
    </xdr:from>
    <xdr:to>
      <xdr:col>12</xdr:col>
      <xdr:colOff>352648</xdr:colOff>
      <xdr:row>47</xdr:row>
      <xdr:rowOff>132</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4219575" y="6534150"/>
          <a:ext cx="1600423" cy="943107"/>
        </a:xfrm>
        <a:prstGeom prst="rect">
          <a:avLst/>
        </a:prstGeom>
      </xdr:spPr>
    </xdr:pic>
    <xdr:clientData/>
  </xdr:twoCellAnchor>
  <xdr:twoCellAnchor editAs="oneCell">
    <xdr:from>
      <xdr:col>3</xdr:col>
      <xdr:colOff>304800</xdr:colOff>
      <xdr:row>55</xdr:row>
      <xdr:rowOff>104775</xdr:rowOff>
    </xdr:from>
    <xdr:to>
      <xdr:col>5</xdr:col>
      <xdr:colOff>809879</xdr:colOff>
      <xdr:row>61</xdr:row>
      <xdr:rowOff>19182</xdr:rowOff>
    </xdr:to>
    <xdr:pic>
      <xdr:nvPicPr>
        <xdr:cNvPr id="5" name="図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1466850" y="8486775"/>
          <a:ext cx="1819529" cy="94310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66</xdr:row>
          <xdr:rowOff>0</xdr:rowOff>
        </xdr:from>
        <xdr:to>
          <xdr:col>9</xdr:col>
          <xdr:colOff>161925</xdr:colOff>
          <xdr:row>76</xdr:row>
          <xdr:rowOff>19050</xdr:rowOff>
        </xdr:to>
        <xdr:pic>
          <xdr:nvPicPr>
            <xdr:cNvPr id="6" name="図 5">
              <a:extLst>
                <a:ext uri="{FF2B5EF4-FFF2-40B4-BE49-F238E27FC236}">
                  <a16:creationId xmlns:a16="http://schemas.microsoft.com/office/drawing/2014/main" id="{00000000-0008-0000-0200-000006000000}"/>
                </a:ext>
              </a:extLst>
            </xdr:cNvPr>
            <xdr:cNvPicPr>
              <a:picLocks noChangeAspect="1" noChangeArrowheads="1"/>
              <a:extLst>
                <a:ext uri="{84589F7E-364E-4C9E-8A38-B11213B215E9}">
                  <a14:cameraTool cellRange="指摘分類マッピング設定!$A$1:$B$10" spid="_x0000_s1485"/>
                </a:ext>
              </a:extLst>
            </xdr:cNvPicPr>
          </xdr:nvPicPr>
          <xdr:blipFill>
            <a:blip xmlns:r="http://schemas.openxmlformats.org/officeDocument/2006/relationships" r:embed="rId4"/>
            <a:stretch>
              <a:fillRect/>
            </a:stretch>
          </xdr:blipFill>
          <xdr:spPr bwMode="auto">
            <a:xfrm>
              <a:off x="1162050" y="11049000"/>
              <a:ext cx="3067050" cy="1733550"/>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3</xdr:col>
      <xdr:colOff>1028700</xdr:colOff>
      <xdr:row>1</xdr:row>
      <xdr:rowOff>133350</xdr:rowOff>
    </xdr:from>
    <xdr:ext cx="574388" cy="168508"/>
    <xdr:sp macro="" textlink="">
      <xdr:nvSpPr>
        <xdr:cNvPr id="10" name="Text Box 33">
          <a:extLst>
            <a:ext uri="{FF2B5EF4-FFF2-40B4-BE49-F238E27FC236}">
              <a16:creationId xmlns:a16="http://schemas.microsoft.com/office/drawing/2014/main" id="{00000000-0008-0000-0200-00000A000000}"/>
            </a:ext>
          </a:extLst>
        </xdr:cNvPr>
        <xdr:cNvSpPr txBox="1">
          <a:spLocks noChangeArrowheads="1"/>
        </xdr:cNvSpPr>
      </xdr:nvSpPr>
      <xdr:spPr bwMode="auto">
        <a:xfrm>
          <a:off x="2190750" y="457200"/>
          <a:ext cx="574388"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必須の設定</a:t>
          </a:r>
        </a:p>
      </xdr:txBody>
    </xdr:sp>
    <xdr:clientData/>
  </xdr:oneCellAnchor>
  <xdr:twoCellAnchor editAs="oneCell">
    <xdr:from>
      <xdr:col>3</xdr:col>
      <xdr:colOff>428625</xdr:colOff>
      <xdr:row>85</xdr:row>
      <xdr:rowOff>47625</xdr:rowOff>
    </xdr:from>
    <xdr:to>
      <xdr:col>5</xdr:col>
      <xdr:colOff>695546</xdr:colOff>
      <xdr:row>90</xdr:row>
      <xdr:rowOff>57271</xdr:rowOff>
    </xdr:to>
    <xdr:pic>
      <xdr:nvPicPr>
        <xdr:cNvPr id="7" name="図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5"/>
        <a:stretch>
          <a:fillRect/>
        </a:stretch>
      </xdr:blipFill>
      <xdr:spPr>
        <a:xfrm>
          <a:off x="1590675" y="14401800"/>
          <a:ext cx="1581371" cy="866896"/>
        </a:xfrm>
        <a:prstGeom prst="rect">
          <a:avLst/>
        </a:prstGeom>
      </xdr:spPr>
    </xdr:pic>
    <xdr:clientData/>
  </xdr:twoCellAnchor>
  <xdr:twoCellAnchor editAs="oneCell">
    <xdr:from>
      <xdr:col>3</xdr:col>
      <xdr:colOff>457200</xdr:colOff>
      <xdr:row>98</xdr:row>
      <xdr:rowOff>9525</xdr:rowOff>
    </xdr:from>
    <xdr:to>
      <xdr:col>5</xdr:col>
      <xdr:colOff>762226</xdr:colOff>
      <xdr:row>103</xdr:row>
      <xdr:rowOff>38224</xdr:rowOff>
    </xdr:to>
    <xdr:pic>
      <xdr:nvPicPr>
        <xdr:cNvPr id="8" name="図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stretch>
          <a:fillRect/>
        </a:stretch>
      </xdr:blipFill>
      <xdr:spPr>
        <a:xfrm>
          <a:off x="1619250" y="16640175"/>
          <a:ext cx="1619476" cy="8859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228600</xdr:colOff>
      <xdr:row>7</xdr:row>
      <xdr:rowOff>19050</xdr:rowOff>
    </xdr:from>
    <xdr:to>
      <xdr:col>2</xdr:col>
      <xdr:colOff>2752724</xdr:colOff>
      <xdr:row>21</xdr:row>
      <xdr:rowOff>123825</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228600" y="1905000"/>
          <a:ext cx="6572249" cy="25050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latin typeface="+mn-ea"/>
              <a:ea typeface="+mn-ea"/>
            </a:rPr>
            <a:t>補足</a:t>
          </a:r>
          <a:endParaRPr kumimoji="1" lang="en-US" altLang="ja-JP" sz="1100" b="1">
            <a:latin typeface="+mn-ea"/>
            <a:ea typeface="+mn-ea"/>
          </a:endParaRPr>
        </a:p>
        <a:p>
          <a:endParaRPr kumimoji="1" lang="en-US" altLang="ja-JP" sz="1100">
            <a:latin typeface="+mn-ea"/>
            <a:ea typeface="+mn-ea"/>
          </a:endParaRPr>
        </a:p>
        <a:p>
          <a:r>
            <a:rPr kumimoji="1" lang="en-US" altLang="ja-JP" sz="1100">
              <a:latin typeface="+mn-ea"/>
              <a:ea typeface="+mn-ea"/>
            </a:rPr>
            <a:t>Excel</a:t>
          </a:r>
          <a:r>
            <a:rPr kumimoji="1" lang="ja-JP" altLang="en-US" sz="1100">
              <a:latin typeface="+mn-ea"/>
              <a:ea typeface="+mn-ea"/>
            </a:rPr>
            <a:t>ブックが「処理対象</a:t>
          </a:r>
          <a:r>
            <a:rPr kumimoji="1" lang="en-US" altLang="ja-JP" sz="1100">
              <a:latin typeface="+mn-ea"/>
              <a:ea typeface="+mn-ea"/>
            </a:rPr>
            <a:t>Excel</a:t>
          </a:r>
          <a:r>
            <a:rPr kumimoji="1" lang="ja-JP" altLang="en-US" sz="1100">
              <a:latin typeface="+mn-ea"/>
              <a:ea typeface="+mn-ea"/>
            </a:rPr>
            <a:t>ブック名」と「処理対象外</a:t>
          </a:r>
          <a:r>
            <a:rPr kumimoji="1" lang="en-US" altLang="ja-JP" sz="1100">
              <a:latin typeface="+mn-ea"/>
              <a:ea typeface="+mn-ea"/>
            </a:rPr>
            <a:t>Excel</a:t>
          </a:r>
          <a:r>
            <a:rPr kumimoji="1" lang="ja-JP" altLang="en-US" sz="1100">
              <a:latin typeface="+mn-ea"/>
              <a:ea typeface="+mn-ea"/>
            </a:rPr>
            <a:t>ブック名」の両方にマッチした場合、その</a:t>
          </a:r>
          <a:r>
            <a:rPr kumimoji="1" lang="en-US" altLang="ja-JP" sz="1100">
              <a:latin typeface="+mn-ea"/>
              <a:ea typeface="+mn-ea"/>
            </a:rPr>
            <a:t>Excel</a:t>
          </a:r>
          <a:r>
            <a:rPr kumimoji="1" lang="ja-JP" altLang="en-US" sz="1100">
              <a:latin typeface="+mn-ea"/>
              <a:ea typeface="+mn-ea"/>
            </a:rPr>
            <a:t>ブックは処理対象外となります。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デフォルトの設定の場合に処理対象となるか否かの判定の例をいくつか示します。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.xlsx</a:t>
          </a:r>
          <a:r>
            <a:rPr kumimoji="1" lang="ja-JP" altLang="en-US" sz="1100">
              <a:latin typeface="+mn-ea"/>
              <a:ea typeface="+mn-ea"/>
            </a:rPr>
            <a:t>」　処理対象</a:t>
          </a:r>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_</a:t>
          </a:r>
          <a:r>
            <a:rPr kumimoji="1" lang="ja-JP" altLang="en-US" sz="1100">
              <a:latin typeface="+mn-ea"/>
              <a:ea typeface="+mn-ea"/>
            </a:rPr>
            <a:t>レビュー記録票</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r>
            <a:rPr kumimoji="1" lang="ja-JP" altLang="en-US" sz="1100">
              <a:latin typeface="+mn-ea"/>
              <a:ea typeface="+mn-ea"/>
            </a:rPr>
            <a:t>・「アプリケーション方式設計書</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endParaRPr kumimoji="1" lang="ja-JP" altLang="en-US" sz="1100">
            <a:latin typeface="+mn-ea"/>
            <a:ea typeface="+mn-ea"/>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21</xdr:row>
          <xdr:rowOff>9525</xdr:rowOff>
        </xdr:from>
        <xdr:to>
          <xdr:col>9</xdr:col>
          <xdr:colOff>476250</xdr:colOff>
          <xdr:row>93</xdr:row>
          <xdr:rowOff>123825</xdr:rowOff>
        </xdr:to>
        <xdr:pic>
          <xdr:nvPicPr>
            <xdr:cNvPr id="5" name="図 4">
              <a:extLst>
                <a:ext uri="{FF2B5EF4-FFF2-40B4-BE49-F238E27FC236}">
                  <a16:creationId xmlns:a16="http://schemas.microsoft.com/office/drawing/2014/main" id="{00000000-0008-0000-0400-000005000000}"/>
                </a:ext>
              </a:extLst>
            </xdr:cNvPr>
            <xdr:cNvPicPr>
              <a:picLocks noChangeAspect="1" noChangeArrowheads="1"/>
              <a:extLst>
                <a:ext uri="{84589F7E-364E-4C9E-8A38-B11213B215E9}">
                  <a14:cameraTool cellRange="項目マッピング設定ガイド!$A$1:$Q$72" spid="_x0000_s7599"/>
                </a:ext>
              </a:extLst>
            </xdr:cNvPicPr>
          </xdr:nvPicPr>
          <xdr:blipFill>
            <a:blip xmlns:r="http://schemas.openxmlformats.org/officeDocument/2006/relationships" r:embed="rId1"/>
            <a:stretch>
              <a:fillRect/>
            </a:stretch>
          </xdr:blipFill>
          <xdr:spPr bwMode="auto">
            <a:xfrm>
              <a:off x="314325" y="3267075"/>
              <a:ext cx="11010900" cy="12458700"/>
            </a:xfrm>
            <a:prstGeom prst="rect">
              <a:avLst/>
            </a:prstGeom>
            <a:noFill/>
            <a:ln>
              <a:solidFill>
                <a:schemeClr val="tx1"/>
              </a:solidFill>
            </a:ln>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209550</xdr:colOff>
      <xdr:row>12</xdr:row>
      <xdr:rowOff>114300</xdr:rowOff>
    </xdr:from>
    <xdr:to>
      <xdr:col>8</xdr:col>
      <xdr:colOff>123825</xdr:colOff>
      <xdr:row>30</xdr:row>
      <xdr:rowOff>142875</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209550" y="2171700"/>
          <a:ext cx="7077075" cy="31146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latin typeface="+mn-ea"/>
              <a:ea typeface="+mn-ea"/>
            </a:rPr>
            <a:t>メモ機能で指摘事項を記入するときに指定する指摘分類エイリアスを実際の指摘分類に対応付ける設定です。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例えば次の場合、指摘分類エイリアスは「</a:t>
          </a:r>
          <a:r>
            <a:rPr kumimoji="1" lang="en-US" altLang="ja-JP" sz="1100">
              <a:latin typeface="+mn-ea"/>
              <a:ea typeface="+mn-ea"/>
            </a:rPr>
            <a:t>g</a:t>
          </a:r>
          <a:r>
            <a:rPr kumimoji="1" lang="ja-JP" altLang="en-US" sz="1100">
              <a:latin typeface="+mn-ea"/>
              <a:ea typeface="+mn-ea"/>
            </a:rPr>
            <a:t>」、実際の指摘分類は「</a:t>
          </a:r>
          <a:r>
            <a:rPr kumimoji="1" lang="en-US" altLang="ja-JP" sz="1100">
              <a:latin typeface="+mn-ea"/>
              <a:ea typeface="+mn-ea"/>
            </a:rPr>
            <a:t>01_</a:t>
          </a:r>
          <a:r>
            <a:rPr kumimoji="1" lang="ja-JP" altLang="en-US" sz="1100">
              <a:latin typeface="+mn-ea"/>
              <a:ea typeface="+mn-ea"/>
            </a:rPr>
            <a:t>要件漏れ」です。</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指摘分類エイリアスは「</a:t>
          </a:r>
          <a:r>
            <a:rPr kumimoji="1" lang="en-US" altLang="ja-JP" sz="1100">
              <a:latin typeface="+mn-ea"/>
              <a:ea typeface="+mn-ea"/>
            </a:rPr>
            <a:t>a</a:t>
          </a:r>
          <a:r>
            <a:rPr kumimoji="1" lang="ja-JP" altLang="en-US" sz="1100">
              <a:latin typeface="+mn-ea"/>
              <a:ea typeface="+mn-ea"/>
            </a:rPr>
            <a:t>」から「</a:t>
          </a:r>
          <a:r>
            <a:rPr kumimoji="1" lang="en-US" altLang="ja-JP" sz="1100">
              <a:latin typeface="+mn-ea"/>
              <a:ea typeface="+mn-ea"/>
            </a:rPr>
            <a:t>i</a:t>
          </a:r>
          <a:r>
            <a:rPr kumimoji="1" lang="ja-JP" altLang="en-US" sz="1100">
              <a:latin typeface="+mn-ea"/>
              <a:ea typeface="+mn-ea"/>
            </a:rPr>
            <a:t>」までの</a:t>
          </a:r>
          <a:r>
            <a:rPr kumimoji="1" lang="en-US" altLang="ja-JP" sz="1100">
              <a:latin typeface="+mn-ea"/>
              <a:ea typeface="+mn-ea"/>
            </a:rPr>
            <a:t>9</a:t>
          </a:r>
          <a:r>
            <a:rPr kumimoji="1" lang="ja-JP" altLang="en-US" sz="1100">
              <a:latin typeface="+mn-ea"/>
              <a:ea typeface="+mn-ea"/>
            </a:rPr>
            <a:t>種類が使えます。</a:t>
          </a:r>
          <a:endParaRPr kumimoji="1" lang="en-US" altLang="ja-JP" sz="1100">
            <a:latin typeface="+mn-ea"/>
            <a:ea typeface="+mn-ea"/>
          </a:endParaRPr>
        </a:p>
        <a:p>
          <a:r>
            <a:rPr kumimoji="1" lang="ja-JP" altLang="en-US" sz="1100">
              <a:latin typeface="+mn-ea"/>
              <a:ea typeface="+mn-ea"/>
            </a:rPr>
            <a:t>実際の指摘分類が</a:t>
          </a:r>
          <a:r>
            <a:rPr kumimoji="1" lang="en-US" altLang="ja-JP" sz="1100">
              <a:latin typeface="+mn-ea"/>
              <a:ea typeface="+mn-ea"/>
            </a:rPr>
            <a:t>9</a:t>
          </a:r>
          <a:r>
            <a:rPr kumimoji="1" lang="ja-JP" altLang="en-US" sz="1100">
              <a:latin typeface="+mn-ea"/>
              <a:ea typeface="+mn-ea"/>
            </a:rPr>
            <a:t>種類よりも多い場合、よく使う</a:t>
          </a:r>
          <a:r>
            <a:rPr kumimoji="1" lang="en-US" altLang="ja-JP" sz="1100">
              <a:latin typeface="+mn-ea"/>
              <a:ea typeface="+mn-ea"/>
            </a:rPr>
            <a:t>9</a:t>
          </a:r>
          <a:r>
            <a:rPr kumimoji="1" lang="ja-JP" altLang="en-US" sz="1100">
              <a:latin typeface="+mn-ea"/>
              <a:ea typeface="+mn-ea"/>
            </a:rPr>
            <a:t>種類を厳選し、対応付けてください。</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もし対応付けた</a:t>
          </a:r>
          <a:r>
            <a:rPr kumimoji="1" lang="en-US" altLang="ja-JP" sz="1100">
              <a:latin typeface="+mn-ea"/>
              <a:ea typeface="+mn-ea"/>
            </a:rPr>
            <a:t>9</a:t>
          </a:r>
          <a:r>
            <a:rPr kumimoji="1" lang="ja-JP" altLang="en-US" sz="1100">
              <a:latin typeface="+mn-ea"/>
              <a:ea typeface="+mn-ea"/>
            </a:rPr>
            <a:t>種類以外の指摘分類を使用したい場合は、レビューが完了し、本ツールによる転記を済ませた後に手動で指摘分類を設定してください。</a:t>
          </a:r>
          <a:endParaRPr kumimoji="1" lang="en-US" altLang="ja-JP" sz="1100">
            <a:latin typeface="+mn-ea"/>
            <a:ea typeface="+mn-ea"/>
          </a:endParaRPr>
        </a:p>
        <a:p>
          <a:endParaRPr kumimoji="1" lang="en-US" altLang="ja-JP" sz="1100">
            <a:latin typeface="+mn-ea"/>
            <a:ea typeface="+mn-ea"/>
          </a:endParaRPr>
        </a:p>
      </xdr:txBody>
    </xdr:sp>
    <xdr:clientData/>
  </xdr:twoCellAnchor>
  <xdr:twoCellAnchor editAs="oneCell">
    <xdr:from>
      <xdr:col>0</xdr:col>
      <xdr:colOff>571500</xdr:colOff>
      <xdr:row>16</xdr:row>
      <xdr:rowOff>114300</xdr:rowOff>
    </xdr:from>
    <xdr:to>
      <xdr:col>1</xdr:col>
      <xdr:colOff>1448022</xdr:colOff>
      <xdr:row>22</xdr:row>
      <xdr:rowOff>28707</xdr:rowOff>
    </xdr:to>
    <xdr:pic>
      <xdr:nvPicPr>
        <xdr:cNvPr id="5" name="図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stretch>
          <a:fillRect/>
        </a:stretch>
      </xdr:blipFill>
      <xdr:spPr>
        <a:xfrm>
          <a:off x="571500" y="2857500"/>
          <a:ext cx="1590897" cy="943107"/>
        </a:xfrm>
        <a:prstGeom prst="rect">
          <a:avLst/>
        </a:prstGeom>
      </xdr:spPr>
    </xdr:pic>
    <xdr:clientData/>
  </xdr:twoCellAnchor>
  <xdr:twoCellAnchor editAs="oneCell">
    <xdr:from>
      <xdr:col>1</xdr:col>
      <xdr:colOff>1971675</xdr:colOff>
      <xdr:row>17</xdr:row>
      <xdr:rowOff>123825</xdr:rowOff>
    </xdr:from>
    <xdr:to>
      <xdr:col>6</xdr:col>
      <xdr:colOff>76644</xdr:colOff>
      <xdr:row>20</xdr:row>
      <xdr:rowOff>57212</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2686050" y="3038475"/>
          <a:ext cx="3181794" cy="447737"/>
        </a:xfrm>
        <a:prstGeom prst="rect">
          <a:avLst/>
        </a:prstGeom>
        <a:ln>
          <a:solidFill>
            <a:schemeClr val="tx1"/>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38100</xdr:colOff>
      <xdr:row>23</xdr:row>
      <xdr:rowOff>28574</xdr:rowOff>
    </xdr:from>
    <xdr:to>
      <xdr:col>15</xdr:col>
      <xdr:colOff>464192</xdr:colOff>
      <xdr:row>32</xdr:row>
      <xdr:rowOff>76199</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723900" y="3848099"/>
          <a:ext cx="10027292" cy="1590675"/>
        </a:xfrm>
        <a:prstGeom prst="rect">
          <a:avLst/>
        </a:prstGeom>
        <a:ln w="19050">
          <a:solidFill>
            <a:schemeClr val="tx1"/>
          </a:solidFill>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support.microsoft.com/ja-jp/topic/%E6%BD%9C%E5%9C%A8%E7%9A%84%E3%81%AB%E5%8D%B1%E9%99%BA%E3%81%AA%E3%83%9E%E3%82%AF%E3%83%AD%E3%81%8C%E3%83%96%E3%83%AD%E3%83%83%E3%82%AF%E3%81%95%E3%82%8C%E3%81%BE%E3%81%97%E3%81%9F-0952faa0-37e7-4316-b61d-5b5ed6024216" TargetMode="Externa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4.emf"/><Relationship Id="rId12" Type="http://schemas.openxmlformats.org/officeDocument/2006/relationships/ctrlProp" Target="../ctrlProps/ctrlProp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44"/>
  </sheetPr>
  <dimension ref="A1:D4"/>
  <sheetViews>
    <sheetView showGridLines="0" zoomScaleNormal="100" workbookViewId="0"/>
  </sheetViews>
  <sheetFormatPr defaultRowHeight="13.5" x14ac:dyDescent="0.15"/>
  <cols>
    <col min="1" max="1" width="4.5" customWidth="1"/>
    <col min="2" max="2" width="13" bestFit="1" customWidth="1"/>
    <col min="3" max="3" width="10.25" bestFit="1" customWidth="1"/>
    <col min="4" max="4" width="70.5" customWidth="1"/>
    <col min="5" max="5" width="12.25" bestFit="1" customWidth="1"/>
  </cols>
  <sheetData>
    <row r="1" spans="1:4" x14ac:dyDescent="0.15">
      <c r="A1" s="32" t="s">
        <v>16</v>
      </c>
    </row>
    <row r="2" spans="1:4" x14ac:dyDescent="0.15">
      <c r="A2" s="30" t="s">
        <v>17</v>
      </c>
      <c r="B2" s="31" t="s">
        <v>18</v>
      </c>
      <c r="C2" s="31" t="s">
        <v>19</v>
      </c>
      <c r="D2" s="30" t="s">
        <v>20</v>
      </c>
    </row>
    <row r="3" spans="1:4" x14ac:dyDescent="0.15">
      <c r="A3" s="2">
        <v>1</v>
      </c>
      <c r="B3" s="29">
        <v>45145</v>
      </c>
      <c r="C3" s="3" t="s">
        <v>236</v>
      </c>
      <c r="D3" s="26" t="s">
        <v>253</v>
      </c>
    </row>
    <row r="4" spans="1:4" x14ac:dyDescent="0.15">
      <c r="A4" s="2">
        <v>2</v>
      </c>
      <c r="B4" s="29">
        <v>45152</v>
      </c>
      <c r="C4" s="3" t="s">
        <v>236</v>
      </c>
      <c r="D4" s="26" t="s">
        <v>254</v>
      </c>
    </row>
  </sheetData>
  <phoneticPr fontId="2"/>
  <pageMargins left="0.75" right="0.75" top="1" bottom="1" header="0.51200000000000001" footer="0.51200000000000001"/>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0B618-5146-4E90-A18B-1A8479CA82F9}">
  <sheetPr codeName="Sheet6">
    <tabColor indexed="44"/>
  </sheetPr>
  <dimension ref="B2:O62"/>
  <sheetViews>
    <sheetView showGridLines="0" tabSelected="1" zoomScaleNormal="100" workbookViewId="0"/>
  </sheetViews>
  <sheetFormatPr defaultRowHeight="13.5" x14ac:dyDescent="0.15"/>
  <sheetData>
    <row r="2" spans="2:15" ht="24" x14ac:dyDescent="0.15">
      <c r="B2" s="55" t="s">
        <v>100</v>
      </c>
    </row>
    <row r="4" spans="2:15" ht="18.75" x14ac:dyDescent="0.15">
      <c r="B4" s="56" t="s">
        <v>184</v>
      </c>
    </row>
    <row r="6" spans="2:15" x14ac:dyDescent="0.15">
      <c r="B6" t="s">
        <v>186</v>
      </c>
    </row>
    <row r="7" spans="2:15" x14ac:dyDescent="0.15">
      <c r="B7" t="s">
        <v>182</v>
      </c>
    </row>
    <row r="9" spans="2:15" x14ac:dyDescent="0.15">
      <c r="B9" t="s">
        <v>179</v>
      </c>
    </row>
    <row r="11" spans="2:15" x14ac:dyDescent="0.15">
      <c r="B11" s="73" t="s">
        <v>180</v>
      </c>
      <c r="C11" s="69"/>
      <c r="D11" s="69"/>
      <c r="E11" s="69"/>
      <c r="F11" s="69"/>
      <c r="G11" s="69"/>
      <c r="H11" s="73" t="s">
        <v>99</v>
      </c>
      <c r="I11" s="69"/>
      <c r="J11" s="69"/>
      <c r="K11" s="69"/>
      <c r="L11" s="69"/>
      <c r="M11" s="69"/>
      <c r="N11" s="69"/>
      <c r="O11" s="67"/>
    </row>
    <row r="12" spans="2:15" x14ac:dyDescent="0.15">
      <c r="B12" s="62" t="s">
        <v>183</v>
      </c>
      <c r="C12" s="63"/>
      <c r="D12" s="63"/>
      <c r="E12" s="63"/>
      <c r="F12" s="63"/>
      <c r="G12" s="63"/>
      <c r="H12" s="62" t="s">
        <v>187</v>
      </c>
      <c r="I12" s="63"/>
      <c r="J12" s="63"/>
      <c r="K12" s="63"/>
      <c r="L12" s="63"/>
      <c r="M12" s="63"/>
      <c r="N12" s="63"/>
      <c r="O12" s="61"/>
    </row>
    <row r="13" spans="2:15" x14ac:dyDescent="0.15">
      <c r="B13" s="62" t="s">
        <v>181</v>
      </c>
      <c r="C13" s="63"/>
      <c r="D13" s="63"/>
      <c r="E13" s="63"/>
      <c r="F13" s="63"/>
      <c r="G13" s="63"/>
      <c r="H13" s="62" t="s">
        <v>189</v>
      </c>
      <c r="I13" s="63"/>
      <c r="J13" s="63"/>
      <c r="K13" s="63"/>
      <c r="L13" s="63"/>
      <c r="M13" s="63"/>
      <c r="N13" s="63"/>
      <c r="O13" s="61"/>
    </row>
    <row r="14" spans="2:15" x14ac:dyDescent="0.15">
      <c r="B14" s="62" t="s">
        <v>191</v>
      </c>
      <c r="C14" s="63"/>
      <c r="D14" s="63"/>
      <c r="E14" s="63"/>
      <c r="F14" s="63"/>
      <c r="G14" s="63"/>
      <c r="H14" s="62" t="s">
        <v>190</v>
      </c>
      <c r="I14" s="63"/>
      <c r="J14" s="63"/>
      <c r="K14" s="63"/>
      <c r="L14" s="63"/>
      <c r="M14" s="63"/>
      <c r="N14" s="63"/>
      <c r="O14" s="61"/>
    </row>
    <row r="15" spans="2:15" x14ac:dyDescent="0.15">
      <c r="B15" s="62" t="s">
        <v>192</v>
      </c>
      <c r="C15" s="63"/>
      <c r="D15" s="63"/>
      <c r="E15" s="63"/>
      <c r="F15" s="63"/>
      <c r="G15" s="63"/>
      <c r="H15" s="62" t="s">
        <v>188</v>
      </c>
      <c r="I15" s="63"/>
      <c r="J15" s="63"/>
      <c r="K15" s="63"/>
      <c r="L15" s="63"/>
      <c r="M15" s="63"/>
      <c r="N15" s="63"/>
      <c r="O15" s="61"/>
    </row>
    <row r="17" spans="2:2" ht="18.75" x14ac:dyDescent="0.15">
      <c r="B17" s="56" t="s">
        <v>185</v>
      </c>
    </row>
    <row r="19" spans="2:2" x14ac:dyDescent="0.15">
      <c r="B19" t="s">
        <v>238</v>
      </c>
    </row>
    <row r="20" spans="2:2" x14ac:dyDescent="0.15">
      <c r="B20" t="s">
        <v>214</v>
      </c>
    </row>
    <row r="21" spans="2:2" x14ac:dyDescent="0.15">
      <c r="B21" t="s">
        <v>193</v>
      </c>
    </row>
    <row r="22" spans="2:2" x14ac:dyDescent="0.15">
      <c r="B22" t="s">
        <v>194</v>
      </c>
    </row>
    <row r="23" spans="2:2" x14ac:dyDescent="0.15">
      <c r="B23" t="s">
        <v>195</v>
      </c>
    </row>
    <row r="25" spans="2:2" x14ac:dyDescent="0.15">
      <c r="B25" s="76" t="s">
        <v>251</v>
      </c>
    </row>
    <row r="26" spans="2:2" x14ac:dyDescent="0.15">
      <c r="B26" s="76" t="s">
        <v>252</v>
      </c>
    </row>
    <row r="32" spans="2:2" x14ac:dyDescent="0.15">
      <c r="B32" s="76" t="s">
        <v>247</v>
      </c>
    </row>
    <row r="34" spans="2:3" x14ac:dyDescent="0.15">
      <c r="B34" s="77" t="s">
        <v>248</v>
      </c>
    </row>
    <row r="35" spans="2:3" x14ac:dyDescent="0.15">
      <c r="B35" s="77"/>
    </row>
    <row r="36" spans="2:3" x14ac:dyDescent="0.15">
      <c r="B36" s="77" t="s">
        <v>249</v>
      </c>
      <c r="C36" s="71" t="s">
        <v>250</v>
      </c>
    </row>
    <row r="38" spans="2:3" x14ac:dyDescent="0.15">
      <c r="B38" t="s">
        <v>196</v>
      </c>
    </row>
    <row r="39" spans="2:3" x14ac:dyDescent="0.15">
      <c r="B39" t="s">
        <v>220</v>
      </c>
    </row>
    <row r="40" spans="2:3" x14ac:dyDescent="0.15">
      <c r="B40" t="s">
        <v>221</v>
      </c>
    </row>
    <row r="42" spans="2:3" x14ac:dyDescent="0.15">
      <c r="B42" t="s">
        <v>211</v>
      </c>
    </row>
    <row r="43" spans="2:3" x14ac:dyDescent="0.15">
      <c r="B43" t="s">
        <v>222</v>
      </c>
    </row>
    <row r="44" spans="2:3" x14ac:dyDescent="0.15">
      <c r="B44" t="s">
        <v>212</v>
      </c>
    </row>
    <row r="45" spans="2:3" x14ac:dyDescent="0.15">
      <c r="B45" t="s">
        <v>213</v>
      </c>
    </row>
    <row r="47" spans="2:3" x14ac:dyDescent="0.15">
      <c r="B47" t="s">
        <v>223</v>
      </c>
    </row>
    <row r="48" spans="2:3" x14ac:dyDescent="0.15">
      <c r="B48" t="s">
        <v>224</v>
      </c>
    </row>
    <row r="50" spans="2:6" x14ac:dyDescent="0.15">
      <c r="B50" t="s">
        <v>215</v>
      </c>
    </row>
    <row r="51" spans="2:6" x14ac:dyDescent="0.15">
      <c r="B51" t="s">
        <v>216</v>
      </c>
    </row>
    <row r="53" spans="2:6" ht="18.75" x14ac:dyDescent="0.15">
      <c r="B53" s="56" t="s">
        <v>197</v>
      </c>
    </row>
    <row r="55" spans="2:6" x14ac:dyDescent="0.15">
      <c r="B55" t="s">
        <v>198</v>
      </c>
    </row>
    <row r="57" spans="2:6" x14ac:dyDescent="0.15">
      <c r="B57" t="s">
        <v>199</v>
      </c>
    </row>
    <row r="58" spans="2:6" x14ac:dyDescent="0.15">
      <c r="B58" t="s">
        <v>101</v>
      </c>
    </row>
    <row r="60" spans="2:6" x14ac:dyDescent="0.15">
      <c r="C60" s="71" t="s">
        <v>153</v>
      </c>
      <c r="F60" t="s">
        <v>201</v>
      </c>
    </row>
    <row r="61" spans="2:6" x14ac:dyDescent="0.15">
      <c r="C61" s="71" t="s">
        <v>152</v>
      </c>
      <c r="F61" t="s">
        <v>200</v>
      </c>
    </row>
    <row r="62" spans="2:6" x14ac:dyDescent="0.15">
      <c r="C62" s="71" t="s">
        <v>151</v>
      </c>
      <c r="F62" t="s">
        <v>244</v>
      </c>
    </row>
  </sheetData>
  <phoneticPr fontId="2"/>
  <hyperlinks>
    <hyperlink ref="C60" location="基本設定!A1" display="　・基本設定" xr:uid="{7F93636E-EDB7-4D8B-9AB4-5954013BDFE5}"/>
    <hyperlink ref="C61" location="項目マッピング設定!A1" display="　・項目マッピング設定" xr:uid="{36AFA1D2-4033-40E6-A8CE-AA41593D6C5D}"/>
    <hyperlink ref="C62" location="指摘分類マッピング設定!A1" display="　・指摘分類マッピング設定" xr:uid="{27B1F4CF-2839-42E8-9866-4F3780C442C6}"/>
    <hyperlink ref="C36" r:id="rId1" location="ID0EDJBH" display="https://support.microsoft.com/ja-jp/topic/%E6%BD%9C%E5%9C%A8%E7%9A%84%E3%81%AB%E5%8D%B1%E9%99%BA%E3%81%AA%E3%83%9E%E3%82%AF%E3%83%AD%E3%81%8C%E3%83%96%E3%83%AD%E3%83%83%E3%82%AF%E3%81%95%E3%82%8C%E3%81%BE%E3%81%97%E3%81%9F-0952faa0-37e7-4316-b61d-5b5ed6024216 - ID0EDJBH" xr:uid="{52A1A6F3-F321-44B0-9BA3-1FBB16E775FB}"/>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indexed="44"/>
    <pageSetUpPr fitToPage="1"/>
  </sheetPr>
  <dimension ref="A1:T112"/>
  <sheetViews>
    <sheetView showGridLines="0" view="pageBreakPreview" zoomScaleNormal="100" workbookViewId="0"/>
  </sheetViews>
  <sheetFormatPr defaultRowHeight="13.5" x14ac:dyDescent="0.15"/>
  <cols>
    <col min="1" max="1" width="3.375" customWidth="1"/>
    <col min="2" max="2" width="2.875" customWidth="1"/>
    <col min="4" max="4" width="14.625" customWidth="1"/>
    <col min="5" max="5" width="2.625" customWidth="1"/>
    <col min="6" max="6" width="11.125" bestFit="1" customWidth="1"/>
    <col min="8" max="9" width="0.375" customWidth="1"/>
    <col min="11" max="11" width="0.375" customWidth="1"/>
    <col min="14" max="14" width="2.625" customWidth="1"/>
    <col min="18" max="18" width="32.875" bestFit="1" customWidth="1"/>
    <col min="21" max="21" width="10.5" bestFit="1" customWidth="1"/>
    <col min="23" max="23" width="15.875" customWidth="1"/>
  </cols>
  <sheetData>
    <row r="1" spans="1:20" ht="25.5" customHeight="1" x14ac:dyDescent="0.15">
      <c r="A1" s="47" t="s">
        <v>21</v>
      </c>
      <c r="B1" s="24"/>
      <c r="C1" s="25"/>
      <c r="D1" s="25"/>
      <c r="E1" s="25"/>
      <c r="F1" s="25"/>
      <c r="G1" s="25"/>
      <c r="H1" s="25"/>
      <c r="I1" s="25"/>
      <c r="J1" s="25"/>
      <c r="K1" s="25"/>
      <c r="L1" s="25"/>
      <c r="M1" s="25"/>
      <c r="N1" s="25"/>
      <c r="O1" s="25"/>
      <c r="P1" s="25"/>
      <c r="Q1" s="25"/>
      <c r="R1" s="25"/>
      <c r="S1" s="25"/>
      <c r="T1" s="48"/>
    </row>
    <row r="2" spans="1:20" x14ac:dyDescent="0.15">
      <c r="A2" s="8"/>
      <c r="B2" s="8"/>
    </row>
    <row r="3" spans="1:20" x14ac:dyDescent="0.15">
      <c r="A3" s="8"/>
      <c r="B3" s="8"/>
    </row>
    <row r="4" spans="1:20" x14ac:dyDescent="0.15">
      <c r="A4" s="8"/>
      <c r="B4" s="8"/>
      <c r="F4" s="42" t="s">
        <v>67</v>
      </c>
      <c r="G4" s="43">
        <v>1</v>
      </c>
    </row>
    <row r="5" spans="1:20" x14ac:dyDescent="0.15">
      <c r="A5" s="8"/>
      <c r="B5" s="8"/>
    </row>
    <row r="6" spans="1:20" x14ac:dyDescent="0.15">
      <c r="A6" s="8"/>
      <c r="B6" s="8"/>
    </row>
    <row r="7" spans="1:20" x14ac:dyDescent="0.15">
      <c r="A7" s="8"/>
      <c r="B7" s="8"/>
    </row>
    <row r="8" spans="1:20" x14ac:dyDescent="0.15">
      <c r="A8" s="8"/>
      <c r="B8" s="8"/>
      <c r="E8" s="42" t="s">
        <v>58</v>
      </c>
      <c r="G8" s="78" t="s">
        <v>217</v>
      </c>
      <c r="H8" s="79"/>
      <c r="I8" s="79"/>
      <c r="J8" s="79"/>
      <c r="K8" s="79"/>
      <c r="L8" s="79"/>
      <c r="M8" s="79"/>
      <c r="N8" s="79"/>
      <c r="O8" s="79"/>
      <c r="P8" s="80"/>
    </row>
    <row r="9" spans="1:20" ht="2.1" customHeight="1" x14ac:dyDescent="0.15">
      <c r="A9" s="8"/>
      <c r="B9" s="8"/>
    </row>
    <row r="10" spans="1:20" x14ac:dyDescent="0.15">
      <c r="A10" s="8"/>
      <c r="B10" s="8"/>
      <c r="E10" s="42" t="s">
        <v>61</v>
      </c>
      <c r="F10" s="42"/>
      <c r="G10" s="81" t="s">
        <v>65</v>
      </c>
      <c r="H10" s="82"/>
      <c r="I10" s="82"/>
      <c r="J10" s="83"/>
      <c r="N10" s="42"/>
      <c r="O10" s="42"/>
    </row>
    <row r="11" spans="1:20" x14ac:dyDescent="0.15">
      <c r="A11" s="8"/>
      <c r="B11" s="8"/>
      <c r="E11" s="42"/>
      <c r="F11" s="42"/>
      <c r="N11" s="42"/>
      <c r="O11" s="42"/>
    </row>
    <row r="12" spans="1:20" x14ac:dyDescent="0.15">
      <c r="A12" s="8"/>
      <c r="B12" s="8"/>
      <c r="E12" s="42" t="s">
        <v>59</v>
      </c>
      <c r="F12" s="42"/>
      <c r="J12" s="84" t="s">
        <v>62</v>
      </c>
      <c r="K12" s="84"/>
      <c r="L12" s="84"/>
      <c r="N12" s="42" t="s">
        <v>55</v>
      </c>
      <c r="O12" s="42"/>
    </row>
    <row r="13" spans="1:20" x14ac:dyDescent="0.15">
      <c r="A13" s="8"/>
      <c r="B13" s="8"/>
      <c r="G13" s="49" t="s">
        <v>53</v>
      </c>
      <c r="H13" s="49"/>
      <c r="I13" s="50"/>
      <c r="J13" s="49" t="s">
        <v>52</v>
      </c>
      <c r="K13" s="49"/>
      <c r="L13" s="49" t="s">
        <v>54</v>
      </c>
    </row>
    <row r="14" spans="1:20" x14ac:dyDescent="0.15">
      <c r="A14" s="8"/>
      <c r="B14" s="8"/>
      <c r="F14" s="51" t="s">
        <v>48</v>
      </c>
      <c r="G14" s="43" t="s">
        <v>97</v>
      </c>
      <c r="H14" s="42"/>
      <c r="I14" s="44"/>
      <c r="J14" s="43"/>
      <c r="K14" s="42"/>
      <c r="L14" s="43"/>
    </row>
    <row r="15" spans="1:20" ht="2.1" customHeight="1" x14ac:dyDescent="0.15">
      <c r="A15" s="8"/>
      <c r="B15" s="8"/>
      <c r="F15" s="51"/>
      <c r="G15" s="42"/>
      <c r="H15" s="42"/>
      <c r="I15" s="44"/>
      <c r="J15" s="43"/>
      <c r="K15" s="42"/>
    </row>
    <row r="16" spans="1:20" x14ac:dyDescent="0.15">
      <c r="A16" s="8"/>
      <c r="B16" s="8"/>
      <c r="F16" s="51" t="s">
        <v>50</v>
      </c>
      <c r="G16" s="43" t="s">
        <v>173</v>
      </c>
      <c r="H16" s="42"/>
      <c r="I16" s="44"/>
      <c r="J16" s="43"/>
      <c r="K16" s="42"/>
      <c r="L16" s="43"/>
      <c r="O16" s="42" t="s">
        <v>49</v>
      </c>
      <c r="P16" s="46" t="s">
        <v>5</v>
      </c>
    </row>
    <row r="17" spans="1:17" ht="2.1" customHeight="1" x14ac:dyDescent="0.15">
      <c r="A17" s="8"/>
      <c r="B17" s="8"/>
      <c r="F17" s="52"/>
      <c r="I17" s="45"/>
      <c r="L17" s="42"/>
      <c r="O17" s="42"/>
    </row>
    <row r="18" spans="1:17" x14ac:dyDescent="0.15">
      <c r="A18" s="8"/>
      <c r="B18" s="8"/>
      <c r="F18" s="51" t="s">
        <v>56</v>
      </c>
      <c r="G18" s="43" t="s">
        <v>174</v>
      </c>
      <c r="H18" s="42"/>
      <c r="I18" s="44"/>
      <c r="J18" s="43"/>
      <c r="K18" s="42"/>
      <c r="L18" s="43"/>
      <c r="O18" s="42" t="s">
        <v>11</v>
      </c>
      <c r="P18" s="43">
        <v>3</v>
      </c>
      <c r="Q18" s="42" t="s">
        <v>51</v>
      </c>
    </row>
    <row r="19" spans="1:17" ht="2.1" customHeight="1" x14ac:dyDescent="0.15">
      <c r="A19" s="8"/>
      <c r="B19" s="8"/>
      <c r="F19" s="52"/>
      <c r="I19" s="45"/>
      <c r="L19" s="42"/>
      <c r="O19" s="42"/>
    </row>
    <row r="20" spans="1:17" x14ac:dyDescent="0.15">
      <c r="A20" s="8"/>
      <c r="B20" s="8"/>
      <c r="F20" s="53" t="s">
        <v>60</v>
      </c>
      <c r="G20" s="42"/>
      <c r="H20" s="42"/>
      <c r="I20" s="44"/>
      <c r="J20" s="42"/>
      <c r="K20" s="42"/>
      <c r="L20" s="42"/>
      <c r="O20" s="42"/>
      <c r="P20" s="42"/>
      <c r="Q20" s="42"/>
    </row>
    <row r="21" spans="1:17" x14ac:dyDescent="0.15">
      <c r="A21" s="8"/>
      <c r="B21" s="8"/>
      <c r="E21" s="42" t="s">
        <v>175</v>
      </c>
      <c r="F21" s="51"/>
      <c r="G21" s="42"/>
      <c r="H21" s="42"/>
      <c r="I21" s="42"/>
      <c r="J21" s="42"/>
      <c r="K21" s="42"/>
      <c r="L21" s="42"/>
      <c r="O21" s="42"/>
      <c r="P21" s="42"/>
      <c r="Q21" s="42"/>
    </row>
    <row r="22" spans="1:17" x14ac:dyDescent="0.15">
      <c r="A22" s="8"/>
      <c r="B22" s="8"/>
      <c r="F22" s="51"/>
      <c r="G22" s="42"/>
      <c r="H22" s="42"/>
      <c r="I22" s="42"/>
      <c r="J22" s="42"/>
      <c r="K22" s="42"/>
      <c r="L22" s="42"/>
      <c r="O22" s="42"/>
      <c r="P22" s="42"/>
      <c r="Q22" s="42"/>
    </row>
    <row r="23" spans="1:17" x14ac:dyDescent="0.15">
      <c r="A23" s="8"/>
      <c r="B23" s="8"/>
      <c r="P23" s="42"/>
      <c r="Q23" s="42"/>
    </row>
    <row r="24" spans="1:17" x14ac:dyDescent="0.15">
      <c r="A24" s="8"/>
      <c r="B24" s="8"/>
    </row>
    <row r="25" spans="1:17" x14ac:dyDescent="0.15">
      <c r="A25" s="8"/>
      <c r="B25" s="8"/>
    </row>
    <row r="26" spans="1:17" x14ac:dyDescent="0.15">
      <c r="A26" s="8"/>
      <c r="B26" s="8"/>
    </row>
    <row r="27" spans="1:17" x14ac:dyDescent="0.15">
      <c r="A27" s="8"/>
      <c r="B27" s="8"/>
    </row>
    <row r="30" spans="1:17" ht="21" x14ac:dyDescent="0.15">
      <c r="C30" s="74" t="s">
        <v>225</v>
      </c>
    </row>
    <row r="32" spans="1:17" ht="17.25" x14ac:dyDescent="0.15">
      <c r="C32" s="57" t="s">
        <v>226</v>
      </c>
    </row>
    <row r="34" spans="3:12" x14ac:dyDescent="0.15">
      <c r="C34" t="s">
        <v>154</v>
      </c>
    </row>
    <row r="35" spans="3:12" x14ac:dyDescent="0.15">
      <c r="C35" t="s">
        <v>242</v>
      </c>
    </row>
    <row r="37" spans="3:12" x14ac:dyDescent="0.15">
      <c r="D37" t="s">
        <v>156</v>
      </c>
      <c r="G37" s="72" t="s">
        <v>159</v>
      </c>
      <c r="L37" t="s">
        <v>162</v>
      </c>
    </row>
    <row r="38" spans="3:12" x14ac:dyDescent="0.15">
      <c r="D38" t="s">
        <v>157</v>
      </c>
      <c r="G38" s="72" t="s">
        <v>160</v>
      </c>
    </row>
    <row r="39" spans="3:12" x14ac:dyDescent="0.15">
      <c r="D39" t="s">
        <v>158</v>
      </c>
      <c r="G39" s="72" t="s">
        <v>161</v>
      </c>
    </row>
    <row r="40" spans="3:12" x14ac:dyDescent="0.15">
      <c r="D40" t="s">
        <v>155</v>
      </c>
      <c r="G40" s="72" t="s">
        <v>163</v>
      </c>
    </row>
    <row r="43" spans="3:12" x14ac:dyDescent="0.15">
      <c r="D43" t="s">
        <v>164</v>
      </c>
      <c r="G43" t="s">
        <v>165</v>
      </c>
    </row>
    <row r="48" spans="3:12" x14ac:dyDescent="0.15">
      <c r="C48" t="s">
        <v>237</v>
      </c>
    </row>
    <row r="51" spans="3:4" ht="17.25" x14ac:dyDescent="0.15">
      <c r="C51" s="57" t="s">
        <v>227</v>
      </c>
    </row>
    <row r="53" spans="3:4" x14ac:dyDescent="0.15">
      <c r="C53" t="s">
        <v>239</v>
      </c>
    </row>
    <row r="54" spans="3:4" x14ac:dyDescent="0.15">
      <c r="C54" t="s">
        <v>171</v>
      </c>
    </row>
    <row r="55" spans="3:4" x14ac:dyDescent="0.15">
      <c r="C55" t="s">
        <v>167</v>
      </c>
    </row>
    <row r="57" spans="3:4" x14ac:dyDescent="0.15">
      <c r="D57" t="s">
        <v>164</v>
      </c>
    </row>
    <row r="63" spans="3:4" x14ac:dyDescent="0.15">
      <c r="C63" t="s">
        <v>168</v>
      </c>
    </row>
    <row r="64" spans="3:4" x14ac:dyDescent="0.15">
      <c r="C64" t="s">
        <v>169</v>
      </c>
    </row>
    <row r="79" spans="3:3" x14ac:dyDescent="0.15">
      <c r="C79" t="s">
        <v>240</v>
      </c>
    </row>
    <row r="80" spans="3:3" x14ac:dyDescent="0.15">
      <c r="C80" t="s">
        <v>170</v>
      </c>
    </row>
    <row r="82" spans="3:4" ht="17.25" x14ac:dyDescent="0.15">
      <c r="C82" s="57" t="s">
        <v>22</v>
      </c>
    </row>
    <row r="84" spans="3:4" x14ac:dyDescent="0.15">
      <c r="C84" t="s">
        <v>218</v>
      </c>
    </row>
    <row r="86" spans="3:4" x14ac:dyDescent="0.15">
      <c r="D86" t="s">
        <v>164</v>
      </c>
    </row>
    <row r="94" spans="3:4" ht="17.25" x14ac:dyDescent="0.15">
      <c r="C94" s="57" t="s">
        <v>228</v>
      </c>
    </row>
    <row r="96" spans="3:4" x14ac:dyDescent="0.15">
      <c r="C96" t="s">
        <v>241</v>
      </c>
    </row>
    <row r="97" spans="3:15" x14ac:dyDescent="0.15">
      <c r="C97" t="s">
        <v>219</v>
      </c>
    </row>
    <row r="99" spans="3:15" x14ac:dyDescent="0.15">
      <c r="D99" t="s">
        <v>164</v>
      </c>
    </row>
    <row r="107" spans="3:15" ht="17.25" x14ac:dyDescent="0.15">
      <c r="C107" s="57" t="s">
        <v>229</v>
      </c>
    </row>
    <row r="109" spans="3:15" x14ac:dyDescent="0.15">
      <c r="C109" t="s">
        <v>230</v>
      </c>
    </row>
    <row r="111" spans="3:15" x14ac:dyDescent="0.15">
      <c r="C111" t="s">
        <v>231</v>
      </c>
      <c r="D111" t="s">
        <v>233</v>
      </c>
      <c r="L111" s="52" t="s">
        <v>172</v>
      </c>
      <c r="O111" t="s">
        <v>235</v>
      </c>
    </row>
    <row r="112" spans="3:15" x14ac:dyDescent="0.15">
      <c r="D112" t="s">
        <v>232</v>
      </c>
      <c r="L112" t="s">
        <v>172</v>
      </c>
      <c r="O112" t="s">
        <v>234</v>
      </c>
    </row>
  </sheetData>
  <dataConsolidate/>
  <mergeCells count="3">
    <mergeCell ref="G8:P8"/>
    <mergeCell ref="G10:J10"/>
    <mergeCell ref="J12:L12"/>
  </mergeCells>
  <phoneticPr fontId="2"/>
  <dataValidations disablePrompts="1" count="1">
    <dataValidation type="list" allowBlank="1" showInputMessage="1" showErrorMessage="1" sqref="P16" xr:uid="{00000000-0002-0000-0100-000000000000}">
      <formula1>"a,b,c,d,e,f,g,h,i"</formula1>
    </dataValidation>
  </dataValidations>
  <pageMargins left="0.75" right="0.75" top="1" bottom="1" header="0.51200000000000001" footer="0.51200000000000001"/>
  <pageSetup paperSize="9" scale="48" orientation="portrait" verticalDpi="200" r:id="rId1"/>
  <headerFooter alignWithMargins="0"/>
  <drawing r:id="rId2"/>
  <legacyDrawing r:id="rId3"/>
  <controls>
    <mc:AlternateContent xmlns:mc="http://schemas.openxmlformats.org/markup-compatibility/2006">
      <mc:Choice Requires="x14">
        <control shapeId="1063" r:id="rId4" name="CbBkup">
          <controlPr defaultSize="0" autoLine="0" r:id="rId5">
            <anchor moveWithCells="1">
              <from>
                <xdr:col>14</xdr:col>
                <xdr:colOff>342900</xdr:colOff>
                <xdr:row>9</xdr:row>
                <xdr:rowOff>9525</xdr:rowOff>
              </from>
              <to>
                <xdr:col>16</xdr:col>
                <xdr:colOff>409575</xdr:colOff>
                <xdr:row>10</xdr:row>
                <xdr:rowOff>123825</xdr:rowOff>
              </to>
            </anchor>
          </controlPr>
        </control>
      </mc:Choice>
      <mc:Fallback>
        <control shapeId="1063" r:id="rId4" name="CbBkup"/>
      </mc:Fallback>
    </mc:AlternateContent>
    <mc:AlternateContent xmlns:mc="http://schemas.openxmlformats.org/markup-compatibility/2006">
      <mc:Choice Requires="x14">
        <control shapeId="1055" r:id="rId6" name="CbConditional">
          <controlPr defaultSize="0" autoLine="0" r:id="rId7">
            <anchor moveWithCells="1">
              <from>
                <xdr:col>14</xdr:col>
                <xdr:colOff>28575</xdr:colOff>
                <xdr:row>12</xdr:row>
                <xdr:rowOff>47625</xdr:rowOff>
              </from>
              <to>
                <xdr:col>16</xdr:col>
                <xdr:colOff>95250</xdr:colOff>
                <xdr:row>13</xdr:row>
                <xdr:rowOff>161925</xdr:rowOff>
              </to>
            </anchor>
          </controlPr>
        </control>
      </mc:Choice>
      <mc:Fallback>
        <control shapeId="1055" r:id="rId6" name="CbConditional"/>
      </mc:Fallback>
    </mc:AlternateContent>
    <mc:AlternateContent xmlns:mc="http://schemas.openxmlformats.org/markup-compatibility/2006">
      <mc:Choice Requires="x14">
        <control shapeId="1047" r:id="rId8" name="CbAdjustCmntPos">
          <controlPr defaultSize="0" autoLine="0" r:id="rId9">
            <anchor moveWithCells="1">
              <from>
                <xdr:col>3</xdr:col>
                <xdr:colOff>1057275</xdr:colOff>
                <xdr:row>24</xdr:row>
                <xdr:rowOff>38100</xdr:rowOff>
              </from>
              <to>
                <xdr:col>9</xdr:col>
                <xdr:colOff>123825</xdr:colOff>
                <xdr:row>25</xdr:row>
                <xdr:rowOff>152400</xdr:rowOff>
              </to>
            </anchor>
          </controlPr>
        </control>
      </mc:Choice>
      <mc:Fallback>
        <control shapeId="1047" r:id="rId8" name="CbAdjustCmntPos"/>
      </mc:Fallback>
    </mc:AlternateContent>
    <mc:AlternateContent xmlns:mc="http://schemas.openxmlformats.org/markup-compatibility/2006">
      <mc:Choice Requires="x14">
        <control shapeId="1025" r:id="rId10" name="CmdGen">
          <controlPr defaultSize="0" autoLine="0" autoPict="0" r:id="rId11">
            <anchor moveWithCells="1">
              <from>
                <xdr:col>0</xdr:col>
                <xdr:colOff>209550</xdr:colOff>
                <xdr:row>2</xdr:row>
                <xdr:rowOff>142875</xdr:rowOff>
              </from>
              <to>
                <xdr:col>3</xdr:col>
                <xdr:colOff>638175</xdr:colOff>
                <xdr:row>10</xdr:row>
                <xdr:rowOff>57150</xdr:rowOff>
              </to>
            </anchor>
          </controlPr>
        </control>
      </mc:Choice>
      <mc:Fallback>
        <control shapeId="1025" r:id="rId10" name="CmdGen"/>
      </mc:Fallback>
    </mc:AlternateContent>
    <mc:AlternateContent xmlns:mc="http://schemas.openxmlformats.org/markup-compatibility/2006">
      <mc:Choice Requires="x14">
        <control shapeId="1064" r:id="rId12" name="Button 40">
          <controlPr defaultSize="0" print="0" autoFill="0" autoPict="0" macro="[0]!DelAllReviewComments_Click">
            <anchor moveWithCells="1" sizeWithCells="1">
              <from>
                <xdr:col>1</xdr:col>
                <xdr:colOff>123825</xdr:colOff>
                <xdr:row>12</xdr:row>
                <xdr:rowOff>9525</xdr:rowOff>
              </from>
              <to>
                <xdr:col>3</xdr:col>
                <xdr:colOff>352425</xdr:colOff>
                <xdr:row>15</xdr:row>
                <xdr:rowOff>66675</xdr:rowOff>
              </to>
            </anchor>
          </controlPr>
        </control>
      </mc:Choice>
    </mc:AlternateContent>
    <mc:AlternateContent xmlns:mc="http://schemas.openxmlformats.org/markup-compatibility/2006">
      <mc:Choice Requires="x14">
        <control shapeId="1071" r:id="rId13" name="Button 47">
          <controlPr defaultSize="0" print="0" autoFill="0" autoPict="0" macro="[0]!DelAllReviewResultSheets_Click">
            <anchor moveWithCells="1" sizeWithCells="1">
              <from>
                <xdr:col>1</xdr:col>
                <xdr:colOff>171450</xdr:colOff>
                <xdr:row>19</xdr:row>
                <xdr:rowOff>9525</xdr:rowOff>
              </from>
              <to>
                <xdr:col>3</xdr:col>
                <xdr:colOff>342900</xdr:colOff>
                <xdr:row>21</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8574-71A9-4C61-BECE-A162E554B5AE}">
  <sheetPr codeName="Sheet5">
    <tabColor theme="4" tint="0.39997558519241921"/>
  </sheetPr>
  <dimension ref="A1:C5"/>
  <sheetViews>
    <sheetView showGridLines="0" workbookViewId="0"/>
  </sheetViews>
  <sheetFormatPr defaultRowHeight="13.5" x14ac:dyDescent="0.15"/>
  <cols>
    <col min="1" max="1" width="25.625" customWidth="1"/>
    <col min="2" max="2" width="27.5" bestFit="1" customWidth="1"/>
    <col min="3" max="3" width="100.625" customWidth="1"/>
  </cols>
  <sheetData>
    <row r="1" spans="1:3" x14ac:dyDescent="0.15">
      <c r="A1" s="70" t="s">
        <v>92</v>
      </c>
      <c r="B1" s="70" t="s">
        <v>89</v>
      </c>
      <c r="C1" s="70" t="s">
        <v>99</v>
      </c>
    </row>
    <row r="2" spans="1:3" ht="27" x14ac:dyDescent="0.15">
      <c r="A2" s="2" t="s">
        <v>243</v>
      </c>
      <c r="B2" s="2" t="b">
        <v>1</v>
      </c>
      <c r="C2" s="26" t="s">
        <v>245</v>
      </c>
    </row>
    <row r="3" spans="1:3" ht="54" x14ac:dyDescent="0.15">
      <c r="A3" s="2" t="s">
        <v>102</v>
      </c>
      <c r="B3" s="2" t="b">
        <v>0</v>
      </c>
      <c r="C3" s="26" t="s">
        <v>108</v>
      </c>
    </row>
    <row r="4" spans="1:3" ht="27" x14ac:dyDescent="0.15">
      <c r="A4" s="2" t="s">
        <v>104</v>
      </c>
      <c r="B4" s="2" t="s">
        <v>103</v>
      </c>
      <c r="C4" s="26" t="s">
        <v>106</v>
      </c>
    </row>
    <row r="5" spans="1:3" ht="27" x14ac:dyDescent="0.15">
      <c r="A5" s="2" t="s">
        <v>105</v>
      </c>
      <c r="B5" s="2" t="s">
        <v>93</v>
      </c>
      <c r="C5" s="26" t="s">
        <v>107</v>
      </c>
    </row>
  </sheetData>
  <phoneticPr fontId="2"/>
  <dataValidations count="1">
    <dataValidation type="list" allowBlank="1" showInputMessage="1" showErrorMessage="1" sqref="B2:B3" xr:uid="{EDE13758-D975-4644-ACAC-1A6496F82738}">
      <formula1>"TRUE,FALSE"</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9907B-1E19-47AD-99C3-21A1CBD4D8C5}">
  <sheetPr codeName="Sheet4">
    <tabColor theme="4" tint="0.39997558519241921"/>
  </sheetPr>
  <dimension ref="A1:I19"/>
  <sheetViews>
    <sheetView showGridLines="0" zoomScaleNormal="100" workbookViewId="0"/>
  </sheetViews>
  <sheetFormatPr defaultRowHeight="13.5" x14ac:dyDescent="0.15"/>
  <cols>
    <col min="1" max="1" width="20.625" customWidth="1"/>
    <col min="2" max="3" width="10.625" customWidth="1"/>
    <col min="5" max="6" width="20.625" customWidth="1"/>
    <col min="8" max="9" width="20.625" customWidth="1"/>
  </cols>
  <sheetData>
    <row r="1" spans="1:9" x14ac:dyDescent="0.15">
      <c r="A1" s="8" t="s">
        <v>111</v>
      </c>
      <c r="E1" s="8" t="s">
        <v>110</v>
      </c>
      <c r="H1" s="8" t="s">
        <v>81</v>
      </c>
    </row>
    <row r="2" spans="1:9" x14ac:dyDescent="0.15">
      <c r="A2" s="70" t="s">
        <v>52</v>
      </c>
      <c r="B2" s="85" t="s">
        <v>149</v>
      </c>
      <c r="C2" s="85"/>
      <c r="E2" s="70" t="s">
        <v>52</v>
      </c>
      <c r="F2" s="2" t="s">
        <v>150</v>
      </c>
      <c r="H2" s="70" t="s">
        <v>52</v>
      </c>
      <c r="I2" s="2" t="s">
        <v>166</v>
      </c>
    </row>
    <row r="3" spans="1:9" x14ac:dyDescent="0.15">
      <c r="A3" s="8"/>
      <c r="E3" s="70" t="s">
        <v>177</v>
      </c>
      <c r="F3" s="2">
        <v>15</v>
      </c>
      <c r="H3" s="70" t="s">
        <v>177</v>
      </c>
      <c r="I3" s="2">
        <v>5</v>
      </c>
    </row>
    <row r="4" spans="1:9" x14ac:dyDescent="0.15">
      <c r="A4" s="8"/>
    </row>
    <row r="6" spans="1:9" x14ac:dyDescent="0.15">
      <c r="A6" s="70" t="s">
        <v>90</v>
      </c>
      <c r="B6" s="70" t="s">
        <v>91</v>
      </c>
      <c r="C6" s="70" t="s">
        <v>94</v>
      </c>
      <c r="E6" s="70" t="s">
        <v>90</v>
      </c>
      <c r="F6" s="70" t="s">
        <v>91</v>
      </c>
      <c r="H6" s="70" t="s">
        <v>90</v>
      </c>
      <c r="I6" s="70" t="s">
        <v>91</v>
      </c>
    </row>
    <row r="7" spans="1:9" x14ac:dyDescent="0.15">
      <c r="A7" s="70" t="s">
        <v>67</v>
      </c>
      <c r="B7" s="2"/>
      <c r="C7" s="2"/>
      <c r="E7" s="70" t="s">
        <v>176</v>
      </c>
      <c r="F7" s="2" t="s">
        <v>72</v>
      </c>
      <c r="H7" s="70" t="s">
        <v>176</v>
      </c>
      <c r="I7" s="2" t="s">
        <v>83</v>
      </c>
    </row>
    <row r="8" spans="1:9" x14ac:dyDescent="0.15">
      <c r="A8" s="70" t="s">
        <v>48</v>
      </c>
      <c r="B8" s="2" t="s">
        <v>84</v>
      </c>
      <c r="C8" s="2">
        <v>1</v>
      </c>
      <c r="E8" s="70" t="s">
        <v>48</v>
      </c>
      <c r="F8" s="2"/>
      <c r="H8" s="70" t="s">
        <v>66</v>
      </c>
      <c r="I8" s="2" t="s">
        <v>84</v>
      </c>
    </row>
    <row r="9" spans="1:9" x14ac:dyDescent="0.15">
      <c r="A9" s="70" t="s">
        <v>68</v>
      </c>
      <c r="B9" s="2" t="s">
        <v>95</v>
      </c>
      <c r="C9" s="2">
        <v>3</v>
      </c>
      <c r="E9" s="70" t="s">
        <v>68</v>
      </c>
      <c r="F9" s="2"/>
      <c r="H9" s="70" t="s">
        <v>109</v>
      </c>
      <c r="I9" s="2" t="s">
        <v>79</v>
      </c>
    </row>
    <row r="10" spans="1:9" x14ac:dyDescent="0.15">
      <c r="A10" s="70" t="s">
        <v>70</v>
      </c>
      <c r="B10" s="2"/>
      <c r="C10" s="2"/>
      <c r="E10" s="70" t="s">
        <v>70</v>
      </c>
      <c r="F10" s="2"/>
      <c r="H10" s="70" t="s">
        <v>50</v>
      </c>
      <c r="I10" s="2" t="s">
        <v>85</v>
      </c>
    </row>
    <row r="11" spans="1:9" x14ac:dyDescent="0.15">
      <c r="A11" s="70" t="s">
        <v>74</v>
      </c>
      <c r="B11" s="2"/>
      <c r="C11" s="2"/>
      <c r="E11" s="70" t="s">
        <v>74</v>
      </c>
      <c r="F11" s="2"/>
      <c r="H11" s="70" t="s">
        <v>22</v>
      </c>
      <c r="I11" s="2" t="s">
        <v>86</v>
      </c>
    </row>
    <row r="12" spans="1:9" x14ac:dyDescent="0.15">
      <c r="A12" s="70" t="s">
        <v>75</v>
      </c>
      <c r="B12" s="2"/>
      <c r="C12" s="2"/>
      <c r="E12" s="70" t="s">
        <v>75</v>
      </c>
      <c r="F12" s="2"/>
      <c r="H12" s="70" t="s">
        <v>71</v>
      </c>
      <c r="I12" s="2" t="s">
        <v>87</v>
      </c>
    </row>
    <row r="13" spans="1:9" x14ac:dyDescent="0.15">
      <c r="A13" s="70" t="s">
        <v>69</v>
      </c>
      <c r="B13" s="2"/>
      <c r="C13" s="2"/>
      <c r="E13" s="70" t="s">
        <v>69</v>
      </c>
      <c r="F13" s="2" t="s">
        <v>73</v>
      </c>
      <c r="H13" s="70" t="s">
        <v>82</v>
      </c>
      <c r="I13" s="2" t="s">
        <v>88</v>
      </c>
    </row>
    <row r="14" spans="1:9" x14ac:dyDescent="0.15">
      <c r="A14" s="70" t="s">
        <v>76</v>
      </c>
      <c r="B14" s="2"/>
      <c r="C14" s="2"/>
      <c r="E14" s="70" t="s">
        <v>76</v>
      </c>
      <c r="F14" s="2" t="s">
        <v>77</v>
      </c>
    </row>
    <row r="15" spans="1:9" x14ac:dyDescent="0.15">
      <c r="A15" s="70" t="s">
        <v>96</v>
      </c>
      <c r="B15" s="2"/>
      <c r="C15" s="2"/>
      <c r="E15" s="70" t="s">
        <v>96</v>
      </c>
      <c r="F15" s="2" t="s">
        <v>78</v>
      </c>
    </row>
    <row r="16" spans="1:9" x14ac:dyDescent="0.15">
      <c r="A16" s="70" t="s">
        <v>50</v>
      </c>
      <c r="B16" s="2"/>
      <c r="C16" s="2"/>
      <c r="E16" s="70" t="s">
        <v>50</v>
      </c>
      <c r="F16" s="2" t="s">
        <v>79</v>
      </c>
    </row>
    <row r="17" spans="1:6" x14ac:dyDescent="0.15">
      <c r="A17" s="70" t="s">
        <v>71</v>
      </c>
      <c r="B17" s="2"/>
      <c r="C17" s="2"/>
      <c r="E17" s="70" t="s">
        <v>71</v>
      </c>
      <c r="F17" s="2" t="s">
        <v>80</v>
      </c>
    </row>
    <row r="19" spans="1:6" x14ac:dyDescent="0.15">
      <c r="A19" s="72" t="s">
        <v>178</v>
      </c>
    </row>
  </sheetData>
  <mergeCells count="1">
    <mergeCell ref="B2:C2"/>
  </mergeCells>
  <phoneticPr fontId="2"/>
  <dataValidations count="4">
    <dataValidation type="whole" showInputMessage="1" showErrorMessage="1" sqref="F3 I3" xr:uid="{721020E8-1AD1-47CF-9634-9E6D3CACD411}">
      <formula1>1</formula1>
      <formula2>100</formula2>
    </dataValidation>
    <dataValidation type="custom" allowBlank="1" showDropDown="1" showInputMessage="1" showErrorMessage="1" sqref="F8:F17 B7:B17 I8:I13" xr:uid="{53A1A66D-3A46-4948-B9FF-21427AC49240}">
      <formula1>AND("A"&lt;=B7, B7&lt;="ZZ")</formula1>
    </dataValidation>
    <dataValidation type="whole" allowBlank="1" showDropDown="1" showInputMessage="1" showErrorMessage="1" sqref="C7:C17" xr:uid="{6940C294-EBEC-452B-A4D3-01EA3197BA3D}">
      <formula1>1</formula1>
      <formula2>100</formula2>
    </dataValidation>
    <dataValidation type="custom" showDropDown="1" showInputMessage="1" showErrorMessage="1" sqref="F7 I7" xr:uid="{74EC8CD5-F6BB-447F-A6CE-D9A2E38EAEB9}">
      <formula1>AND("A"&lt;=F7, F7&lt;="ZZ")</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ABE1-065C-4FC8-87B7-BFDF5F12EB1B}">
  <sheetPr codeName="Sheet2">
    <tabColor theme="4" tint="0.39997558519241921"/>
  </sheetPr>
  <dimension ref="A1:B10"/>
  <sheetViews>
    <sheetView showGridLines="0" workbookViewId="0"/>
  </sheetViews>
  <sheetFormatPr defaultRowHeight="13.5" x14ac:dyDescent="0.15"/>
  <cols>
    <col min="1" max="1" width="9.375" bestFit="1" customWidth="1"/>
    <col min="2" max="2" width="30.625" bestFit="1" customWidth="1"/>
  </cols>
  <sheetData>
    <row r="1" spans="1:2" x14ac:dyDescent="0.15">
      <c r="A1" s="70" t="s">
        <v>98</v>
      </c>
      <c r="B1" s="70" t="s">
        <v>66</v>
      </c>
    </row>
    <row r="2" spans="1:2" x14ac:dyDescent="0.15">
      <c r="A2" s="75" t="s">
        <v>4</v>
      </c>
      <c r="B2" s="54" t="s">
        <v>202</v>
      </c>
    </row>
    <row r="3" spans="1:2" x14ac:dyDescent="0.15">
      <c r="A3" s="75" t="s">
        <v>27</v>
      </c>
      <c r="B3" s="54" t="s">
        <v>203</v>
      </c>
    </row>
    <row r="4" spans="1:2" x14ac:dyDescent="0.15">
      <c r="A4" s="75" t="s">
        <v>28</v>
      </c>
      <c r="B4" s="54" t="s">
        <v>204</v>
      </c>
    </row>
    <row r="5" spans="1:2" x14ac:dyDescent="0.15">
      <c r="A5" s="75" t="s">
        <v>29</v>
      </c>
      <c r="B5" s="54" t="s">
        <v>205</v>
      </c>
    </row>
    <row r="6" spans="1:2" x14ac:dyDescent="0.15">
      <c r="A6" s="75" t="s">
        <v>30</v>
      </c>
      <c r="B6" s="54" t="s">
        <v>206</v>
      </c>
    </row>
    <row r="7" spans="1:2" x14ac:dyDescent="0.15">
      <c r="A7" s="75" t="s">
        <v>31</v>
      </c>
      <c r="B7" s="54" t="s">
        <v>207</v>
      </c>
    </row>
    <row r="8" spans="1:2" x14ac:dyDescent="0.15">
      <c r="A8" s="75" t="s">
        <v>32</v>
      </c>
      <c r="B8" s="54" t="s">
        <v>208</v>
      </c>
    </row>
    <row r="9" spans="1:2" x14ac:dyDescent="0.15">
      <c r="A9" s="75" t="s">
        <v>33</v>
      </c>
      <c r="B9" s="54" t="s">
        <v>209</v>
      </c>
    </row>
    <row r="10" spans="1:2" x14ac:dyDescent="0.15">
      <c r="A10" s="75" t="s">
        <v>34</v>
      </c>
      <c r="B10" s="54" t="s">
        <v>210</v>
      </c>
    </row>
  </sheetData>
  <phoneticPr fontId="2"/>
  <dataValidations count="1">
    <dataValidation type="custom" showInputMessage="1" showErrorMessage="1" sqref="A2:A10" xr:uid="{52A1F84C-0468-483D-B377-53A852FA2381}">
      <formula1>AND("a"&lt;=A2,A2&lt;="I")</formula1>
    </dataValidation>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D54AB-790A-4774-BAA1-4C1CC33A6A2E}">
  <sheetPr codeName="Sheet7">
    <tabColor theme="0" tint="-0.499984740745262"/>
  </sheetPr>
  <dimension ref="A1"/>
  <sheetViews>
    <sheetView workbookViewId="0"/>
  </sheetViews>
  <sheetFormatPr defaultRowHeight="13.5" x14ac:dyDescent="0.15"/>
  <sheetData/>
  <phoneticPr fontId="2"/>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80B25-CEF0-448A-9F27-839E5261AB4A}">
  <sheetPr codeName="Sheet8">
    <tabColor theme="4" tint="0.39997558519241921"/>
  </sheetPr>
  <dimension ref="B2:O71"/>
  <sheetViews>
    <sheetView showGridLines="0" workbookViewId="0"/>
  </sheetViews>
  <sheetFormatPr defaultRowHeight="13.5" x14ac:dyDescent="0.15"/>
  <cols>
    <col min="1" max="1" width="4.625" customWidth="1"/>
    <col min="17" max="17" width="4.625" customWidth="1"/>
  </cols>
  <sheetData>
    <row r="2" spans="2:15" x14ac:dyDescent="0.15">
      <c r="B2" s="58" t="s">
        <v>112</v>
      </c>
    </row>
    <row r="3" spans="2:15" x14ac:dyDescent="0.15">
      <c r="B3" s="58" t="s">
        <v>113</v>
      </c>
    </row>
    <row r="4" spans="2:15" x14ac:dyDescent="0.15">
      <c r="B4" s="58" t="s">
        <v>114</v>
      </c>
    </row>
    <row r="7" spans="2:15" ht="17.25" x14ac:dyDescent="0.15">
      <c r="B7" s="59" t="s">
        <v>115</v>
      </c>
    </row>
    <row r="8" spans="2:15" x14ac:dyDescent="0.15">
      <c r="B8" s="58"/>
    </row>
    <row r="9" spans="2:15" x14ac:dyDescent="0.15">
      <c r="B9" s="58" t="s">
        <v>116</v>
      </c>
    </row>
    <row r="10" spans="2:15" x14ac:dyDescent="0.15">
      <c r="B10" s="58"/>
    </row>
    <row r="11" spans="2:15" x14ac:dyDescent="0.15">
      <c r="B11" s="68" t="s">
        <v>148</v>
      </c>
      <c r="C11" s="66"/>
      <c r="D11" s="64" t="s">
        <v>99</v>
      </c>
      <c r="E11" s="69"/>
      <c r="F11" s="69"/>
      <c r="G11" s="69"/>
      <c r="H11" s="69"/>
      <c r="I11" s="69"/>
      <c r="J11" s="69"/>
      <c r="K11" s="69"/>
      <c r="L11" s="69"/>
      <c r="M11" s="69"/>
      <c r="N11" s="69"/>
      <c r="O11" s="67"/>
    </row>
    <row r="12" spans="2:15" x14ac:dyDescent="0.15">
      <c r="B12" s="60" t="s">
        <v>111</v>
      </c>
      <c r="C12" s="61"/>
      <c r="D12" s="62" t="s">
        <v>118</v>
      </c>
      <c r="E12" s="63"/>
      <c r="F12" s="63"/>
      <c r="G12" s="63"/>
      <c r="H12" s="63"/>
      <c r="I12" s="63"/>
      <c r="J12" s="63"/>
      <c r="K12" s="63"/>
      <c r="L12" s="63"/>
      <c r="M12" s="63"/>
      <c r="N12" s="63"/>
      <c r="O12" s="61"/>
    </row>
    <row r="13" spans="2:15" x14ac:dyDescent="0.15">
      <c r="B13" s="60" t="s">
        <v>110</v>
      </c>
      <c r="C13" s="61"/>
      <c r="D13" s="62" t="s">
        <v>119</v>
      </c>
      <c r="E13" s="63"/>
      <c r="F13" s="63"/>
      <c r="G13" s="63"/>
      <c r="H13" s="63"/>
      <c r="I13" s="63"/>
      <c r="J13" s="63"/>
      <c r="K13" s="63"/>
      <c r="L13" s="63"/>
      <c r="M13" s="63"/>
      <c r="N13" s="63"/>
      <c r="O13" s="61"/>
    </row>
    <row r="14" spans="2:15" x14ac:dyDescent="0.15">
      <c r="B14" s="60" t="s">
        <v>121</v>
      </c>
      <c r="C14" s="61"/>
      <c r="D14" s="62" t="s">
        <v>120</v>
      </c>
      <c r="E14" s="63"/>
      <c r="F14" s="63"/>
      <c r="G14" s="63"/>
      <c r="H14" s="63"/>
      <c r="I14" s="63"/>
      <c r="J14" s="63"/>
      <c r="K14" s="63"/>
      <c r="L14" s="63"/>
      <c r="M14" s="63"/>
      <c r="N14" s="63"/>
      <c r="O14" s="61"/>
    </row>
    <row r="15" spans="2:15" x14ac:dyDescent="0.15">
      <c r="B15" s="58"/>
    </row>
    <row r="16" spans="2:15" x14ac:dyDescent="0.15">
      <c r="B16" s="58" t="s">
        <v>117</v>
      </c>
    </row>
    <row r="17" spans="2:2" x14ac:dyDescent="0.15">
      <c r="B17" s="58"/>
    </row>
    <row r="18" spans="2:2" x14ac:dyDescent="0.15">
      <c r="B18" s="58" t="s">
        <v>122</v>
      </c>
    </row>
    <row r="19" spans="2:2" x14ac:dyDescent="0.15">
      <c r="B19" s="58" t="s">
        <v>123</v>
      </c>
    </row>
    <row r="20" spans="2:2" x14ac:dyDescent="0.15">
      <c r="B20" s="58" t="s">
        <v>124</v>
      </c>
    </row>
    <row r="22" spans="2:2" x14ac:dyDescent="0.15">
      <c r="B22" s="58" t="s">
        <v>246</v>
      </c>
    </row>
    <row r="35" spans="2:15" x14ac:dyDescent="0.15">
      <c r="B35" t="s">
        <v>125</v>
      </c>
    </row>
    <row r="36" spans="2:15" x14ac:dyDescent="0.15">
      <c r="B36" t="s">
        <v>126</v>
      </c>
    </row>
    <row r="39" spans="2:15" ht="17.25" x14ac:dyDescent="0.15">
      <c r="B39" s="59" t="s">
        <v>127</v>
      </c>
    </row>
    <row r="41" spans="2:15" x14ac:dyDescent="0.15">
      <c r="B41" t="s">
        <v>128</v>
      </c>
    </row>
    <row r="43" spans="2:15" x14ac:dyDescent="0.15">
      <c r="B43" s="8" t="s">
        <v>129</v>
      </c>
    </row>
    <row r="44" spans="2:15" x14ac:dyDescent="0.15">
      <c r="B44" s="64" t="s">
        <v>90</v>
      </c>
      <c r="C44" s="65"/>
      <c r="D44" s="66"/>
      <c r="E44" s="64" t="s">
        <v>99</v>
      </c>
      <c r="F44" s="65"/>
      <c r="G44" s="65"/>
      <c r="H44" s="65"/>
      <c r="I44" s="65"/>
      <c r="J44" s="65"/>
      <c r="K44" s="65"/>
      <c r="L44" s="65"/>
      <c r="M44" s="65"/>
      <c r="N44" s="65"/>
      <c r="O44" s="66"/>
    </row>
    <row r="45" spans="2:15" x14ac:dyDescent="0.15">
      <c r="B45" s="62" t="s">
        <v>67</v>
      </c>
      <c r="C45" s="63"/>
      <c r="D45" s="61"/>
      <c r="E45" s="62" t="s">
        <v>141</v>
      </c>
      <c r="F45" s="63"/>
      <c r="G45" s="63"/>
      <c r="H45" s="63"/>
      <c r="I45" s="63"/>
      <c r="J45" s="63"/>
      <c r="K45" s="63"/>
      <c r="L45" s="63"/>
      <c r="M45" s="63"/>
      <c r="N45" s="63"/>
      <c r="O45" s="61"/>
    </row>
    <row r="46" spans="2:15" x14ac:dyDescent="0.15">
      <c r="B46" s="62" t="s">
        <v>48</v>
      </c>
      <c r="C46" s="63"/>
      <c r="D46" s="61"/>
      <c r="E46" s="62" t="s">
        <v>130</v>
      </c>
      <c r="F46" s="63"/>
      <c r="G46" s="63"/>
      <c r="H46" s="63"/>
      <c r="I46" s="63"/>
      <c r="J46" s="63"/>
      <c r="K46" s="63"/>
      <c r="L46" s="63"/>
      <c r="M46" s="63"/>
      <c r="N46" s="63"/>
      <c r="O46" s="61"/>
    </row>
    <row r="47" spans="2:15" x14ac:dyDescent="0.15">
      <c r="B47" s="62" t="s">
        <v>68</v>
      </c>
      <c r="C47" s="63"/>
      <c r="D47" s="61"/>
      <c r="E47" s="62" t="s">
        <v>131</v>
      </c>
      <c r="F47" s="63"/>
      <c r="G47" s="63"/>
      <c r="H47" s="63"/>
      <c r="I47" s="63"/>
      <c r="J47" s="63"/>
      <c r="K47" s="63"/>
      <c r="L47" s="63"/>
      <c r="M47" s="63"/>
      <c r="N47" s="63"/>
      <c r="O47" s="61"/>
    </row>
    <row r="48" spans="2:15" x14ac:dyDescent="0.15">
      <c r="B48" s="62" t="s">
        <v>70</v>
      </c>
      <c r="C48" s="63"/>
      <c r="D48" s="61"/>
      <c r="E48" s="62" t="s">
        <v>132</v>
      </c>
      <c r="F48" s="63"/>
      <c r="G48" s="63"/>
      <c r="H48" s="63"/>
      <c r="I48" s="63"/>
      <c r="J48" s="63"/>
      <c r="K48" s="63"/>
      <c r="L48" s="63"/>
      <c r="M48" s="63"/>
      <c r="N48" s="63"/>
      <c r="O48" s="61"/>
    </row>
    <row r="49" spans="2:15" x14ac:dyDescent="0.15">
      <c r="B49" s="62" t="s">
        <v>74</v>
      </c>
      <c r="C49" s="63"/>
      <c r="D49" s="61"/>
      <c r="E49" s="62" t="s">
        <v>133</v>
      </c>
      <c r="F49" s="63"/>
      <c r="G49" s="63"/>
      <c r="H49" s="63"/>
      <c r="I49" s="63"/>
      <c r="J49" s="63"/>
      <c r="K49" s="63"/>
      <c r="L49" s="63"/>
      <c r="M49" s="63"/>
      <c r="N49" s="63"/>
      <c r="O49" s="61"/>
    </row>
    <row r="50" spans="2:15" x14ac:dyDescent="0.15">
      <c r="B50" s="62" t="s">
        <v>75</v>
      </c>
      <c r="C50" s="63"/>
      <c r="D50" s="61"/>
      <c r="E50" s="62" t="s">
        <v>134</v>
      </c>
      <c r="F50" s="63"/>
      <c r="G50" s="63"/>
      <c r="H50" s="63"/>
      <c r="I50" s="63"/>
      <c r="J50" s="63"/>
      <c r="K50" s="63"/>
      <c r="L50" s="63"/>
      <c r="M50" s="63"/>
      <c r="N50" s="63"/>
      <c r="O50" s="61"/>
    </row>
    <row r="51" spans="2:15" x14ac:dyDescent="0.15">
      <c r="B51" s="62" t="s">
        <v>69</v>
      </c>
      <c r="C51" s="63"/>
      <c r="D51" s="61"/>
      <c r="E51" s="62" t="s">
        <v>142</v>
      </c>
      <c r="F51" s="63"/>
      <c r="G51" s="63"/>
      <c r="H51" s="63"/>
      <c r="I51" s="63"/>
      <c r="J51" s="63"/>
      <c r="K51" s="63"/>
      <c r="L51" s="63"/>
      <c r="M51" s="63"/>
      <c r="N51" s="63"/>
      <c r="O51" s="61"/>
    </row>
    <row r="52" spans="2:15" x14ac:dyDescent="0.15">
      <c r="B52" s="62" t="s">
        <v>76</v>
      </c>
      <c r="C52" s="63"/>
      <c r="D52" s="61"/>
      <c r="E52" s="62" t="s">
        <v>135</v>
      </c>
      <c r="F52" s="63"/>
      <c r="G52" s="63"/>
      <c r="H52" s="63"/>
      <c r="I52" s="63"/>
      <c r="J52" s="63"/>
      <c r="K52" s="63"/>
      <c r="L52" s="63"/>
      <c r="M52" s="63"/>
      <c r="N52" s="63"/>
      <c r="O52" s="61"/>
    </row>
    <row r="53" spans="2:15" x14ac:dyDescent="0.15">
      <c r="B53" s="62" t="s">
        <v>96</v>
      </c>
      <c r="C53" s="63"/>
      <c r="D53" s="61"/>
      <c r="E53" s="62" t="s">
        <v>136</v>
      </c>
      <c r="F53" s="63"/>
      <c r="G53" s="63"/>
      <c r="H53" s="63"/>
      <c r="I53" s="63"/>
      <c r="J53" s="63"/>
      <c r="K53" s="63"/>
      <c r="L53" s="63"/>
      <c r="M53" s="63"/>
      <c r="N53" s="63"/>
      <c r="O53" s="61"/>
    </row>
    <row r="54" spans="2:15" x14ac:dyDescent="0.15">
      <c r="B54" s="62" t="s">
        <v>50</v>
      </c>
      <c r="C54" s="63"/>
      <c r="D54" s="61"/>
      <c r="E54" s="62" t="s">
        <v>130</v>
      </c>
      <c r="F54" s="63"/>
      <c r="G54" s="63"/>
      <c r="H54" s="63"/>
      <c r="I54" s="63"/>
      <c r="J54" s="63"/>
      <c r="K54" s="63"/>
      <c r="L54" s="63"/>
      <c r="M54" s="63"/>
      <c r="N54" s="63"/>
      <c r="O54" s="61"/>
    </row>
    <row r="55" spans="2:15" x14ac:dyDescent="0.15">
      <c r="B55" s="62" t="s">
        <v>71</v>
      </c>
      <c r="C55" s="63"/>
      <c r="D55" s="61"/>
      <c r="E55" s="62" t="s">
        <v>130</v>
      </c>
      <c r="F55" s="63"/>
      <c r="G55" s="63"/>
      <c r="H55" s="63"/>
      <c r="I55" s="63"/>
      <c r="J55" s="63"/>
      <c r="K55" s="63"/>
      <c r="L55" s="63"/>
      <c r="M55" s="63"/>
      <c r="N55" s="63"/>
      <c r="O55" s="61"/>
    </row>
    <row r="57" spans="2:15" x14ac:dyDescent="0.15">
      <c r="B57" t="s">
        <v>145</v>
      </c>
    </row>
    <row r="60" spans="2:15" x14ac:dyDescent="0.15">
      <c r="B60" s="8" t="s">
        <v>137</v>
      </c>
    </row>
    <row r="61" spans="2:15" x14ac:dyDescent="0.15">
      <c r="B61" s="64" t="s">
        <v>90</v>
      </c>
      <c r="C61" s="65"/>
      <c r="D61" s="66"/>
      <c r="E61" s="64" t="s">
        <v>99</v>
      </c>
      <c r="F61" s="65"/>
      <c r="G61" s="65"/>
      <c r="H61" s="65"/>
      <c r="I61" s="65"/>
      <c r="J61" s="65"/>
      <c r="K61" s="65"/>
      <c r="L61" s="65"/>
      <c r="M61" s="65"/>
      <c r="N61" s="65"/>
      <c r="O61" s="66"/>
    </row>
    <row r="62" spans="2:15" x14ac:dyDescent="0.15">
      <c r="B62" s="62" t="s">
        <v>67</v>
      </c>
      <c r="C62" s="63"/>
      <c r="D62" s="61"/>
      <c r="E62" s="62" t="s">
        <v>141</v>
      </c>
      <c r="F62" s="63"/>
      <c r="G62" s="63"/>
      <c r="H62" s="63"/>
      <c r="I62" s="63"/>
      <c r="J62" s="63"/>
      <c r="K62" s="63"/>
      <c r="L62" s="63"/>
      <c r="M62" s="63"/>
      <c r="N62" s="63"/>
      <c r="O62" s="61"/>
    </row>
    <row r="63" spans="2:15" x14ac:dyDescent="0.15">
      <c r="B63" s="62" t="s">
        <v>66</v>
      </c>
      <c r="C63" s="63"/>
      <c r="D63" s="61"/>
      <c r="E63" s="62" t="s">
        <v>143</v>
      </c>
      <c r="F63" s="63"/>
      <c r="G63" s="63"/>
      <c r="H63" s="63"/>
      <c r="I63" s="63"/>
      <c r="J63" s="63"/>
      <c r="K63" s="63"/>
      <c r="L63" s="63"/>
      <c r="M63" s="63"/>
      <c r="N63" s="63"/>
      <c r="O63" s="61"/>
    </row>
    <row r="64" spans="2:15" x14ac:dyDescent="0.15">
      <c r="B64" s="62" t="s">
        <v>109</v>
      </c>
      <c r="C64" s="63"/>
      <c r="D64" s="61"/>
      <c r="E64" s="62" t="s">
        <v>138</v>
      </c>
      <c r="F64" s="63"/>
      <c r="G64" s="63"/>
      <c r="H64" s="63"/>
      <c r="I64" s="63"/>
      <c r="J64" s="63"/>
      <c r="K64" s="63"/>
      <c r="L64" s="63"/>
      <c r="M64" s="63"/>
      <c r="N64" s="63"/>
      <c r="O64" s="61"/>
    </row>
    <row r="65" spans="2:15" x14ac:dyDescent="0.15">
      <c r="B65" s="62" t="s">
        <v>50</v>
      </c>
      <c r="C65" s="63"/>
      <c r="D65" s="61"/>
      <c r="E65" s="62" t="s">
        <v>139</v>
      </c>
      <c r="F65" s="63"/>
      <c r="G65" s="63"/>
      <c r="H65" s="63"/>
      <c r="I65" s="63"/>
      <c r="J65" s="63"/>
      <c r="K65" s="63"/>
      <c r="L65" s="63"/>
      <c r="M65" s="63"/>
      <c r="N65" s="63"/>
      <c r="O65" s="61"/>
    </row>
    <row r="66" spans="2:15" x14ac:dyDescent="0.15">
      <c r="B66" s="62" t="s">
        <v>22</v>
      </c>
      <c r="C66" s="63"/>
      <c r="D66" s="61"/>
      <c r="E66" s="62" t="s">
        <v>140</v>
      </c>
      <c r="F66" s="63"/>
      <c r="G66" s="63"/>
      <c r="H66" s="63"/>
      <c r="I66" s="63"/>
      <c r="J66" s="63"/>
      <c r="K66" s="63"/>
      <c r="L66" s="63"/>
      <c r="M66" s="63"/>
      <c r="N66" s="63"/>
      <c r="O66" s="61"/>
    </row>
    <row r="67" spans="2:15" x14ac:dyDescent="0.15">
      <c r="B67" s="62" t="s">
        <v>71</v>
      </c>
      <c r="C67" s="63"/>
      <c r="D67" s="61"/>
      <c r="E67" s="62" t="s">
        <v>130</v>
      </c>
      <c r="F67" s="63"/>
      <c r="G67" s="63"/>
      <c r="H67" s="63"/>
      <c r="I67" s="63"/>
      <c r="J67" s="63"/>
      <c r="K67" s="63"/>
      <c r="L67" s="63"/>
      <c r="M67" s="63"/>
      <c r="N67" s="63"/>
      <c r="O67" s="61"/>
    </row>
    <row r="68" spans="2:15" x14ac:dyDescent="0.15">
      <c r="B68" s="62" t="s">
        <v>82</v>
      </c>
      <c r="C68" s="63"/>
      <c r="D68" s="61"/>
      <c r="E68" s="62" t="s">
        <v>144</v>
      </c>
      <c r="F68" s="63"/>
      <c r="G68" s="63"/>
      <c r="H68" s="63"/>
      <c r="I68" s="63"/>
      <c r="J68" s="63"/>
      <c r="K68" s="63"/>
      <c r="L68" s="63"/>
      <c r="M68" s="63"/>
      <c r="N68" s="63"/>
      <c r="O68" s="61"/>
    </row>
    <row r="70" spans="2:15" x14ac:dyDescent="0.15">
      <c r="B70" t="s">
        <v>147</v>
      </c>
    </row>
    <row r="71" spans="2:15" x14ac:dyDescent="0.15">
      <c r="B71" t="s">
        <v>146</v>
      </c>
    </row>
  </sheetData>
  <phoneticPr fontId="2"/>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Template">
    <tabColor indexed="44"/>
    <pageSetUpPr fitToPage="1"/>
  </sheetPr>
  <dimension ref="A1:U16"/>
  <sheetViews>
    <sheetView showGridLines="0" view="pageBreakPreview" zoomScale="85" zoomScaleNormal="75" workbookViewId="0">
      <pane ySplit="14" topLeftCell="A15" activePane="bottomLeft" state="frozen"/>
      <selection pane="bottomLeft"/>
    </sheetView>
  </sheetViews>
  <sheetFormatPr defaultRowHeight="13.5" x14ac:dyDescent="0.15"/>
  <cols>
    <col min="2" max="11" width="13.25" customWidth="1"/>
    <col min="12" max="20" width="3.375" customWidth="1"/>
    <col min="21" max="21" width="73.625" customWidth="1"/>
  </cols>
  <sheetData>
    <row r="1" spans="1:21" x14ac:dyDescent="0.15">
      <c r="A1" s="8" t="s">
        <v>14</v>
      </c>
      <c r="L1" s="34"/>
      <c r="U1" s="28" t="s">
        <v>23</v>
      </c>
    </row>
    <row r="2" spans="1:21" x14ac:dyDescent="0.15">
      <c r="A2" t="s">
        <v>57</v>
      </c>
      <c r="E2" s="19" t="s">
        <v>6</v>
      </c>
      <c r="F2" s="20"/>
      <c r="G2" s="20"/>
      <c r="H2" s="20"/>
      <c r="I2" s="21"/>
      <c r="L2" s="34"/>
    </row>
    <row r="3" spans="1:21" x14ac:dyDescent="0.15">
      <c r="A3" s="86" t="s">
        <v>13</v>
      </c>
      <c r="B3" s="86"/>
      <c r="C3" s="10" t="s">
        <v>15</v>
      </c>
      <c r="E3" s="9" t="s">
        <v>9</v>
      </c>
      <c r="F3" s="9" t="s">
        <v>7</v>
      </c>
      <c r="G3" s="5"/>
      <c r="H3" s="9" t="s">
        <v>8</v>
      </c>
      <c r="I3" s="10" t="s">
        <v>96</v>
      </c>
    </row>
    <row r="4" spans="1:21" x14ac:dyDescent="0.15">
      <c r="A4" s="85"/>
      <c r="B4" s="85"/>
      <c r="C4" s="2"/>
      <c r="E4" s="11"/>
      <c r="F4" s="12"/>
      <c r="G4" s="3" t="s">
        <v>25</v>
      </c>
      <c r="H4" s="12"/>
      <c r="I4" s="2"/>
    </row>
    <row r="6" spans="1:21" x14ac:dyDescent="0.15">
      <c r="A6" s="8" t="s">
        <v>11</v>
      </c>
    </row>
    <row r="7" spans="1:21" x14ac:dyDescent="0.15">
      <c r="B7" s="4" t="s">
        <v>26</v>
      </c>
      <c r="C7" s="4" t="s">
        <v>27</v>
      </c>
      <c r="D7" s="5" t="s">
        <v>28</v>
      </c>
      <c r="E7" s="5" t="s">
        <v>29</v>
      </c>
      <c r="F7" s="5" t="s">
        <v>30</v>
      </c>
      <c r="G7" s="5" t="s">
        <v>31</v>
      </c>
      <c r="H7" s="5" t="s">
        <v>32</v>
      </c>
      <c r="I7" s="5" t="s">
        <v>33</v>
      </c>
      <c r="J7" s="5" t="s">
        <v>34</v>
      </c>
    </row>
    <row r="8" spans="1:21" ht="27" x14ac:dyDescent="0.15">
      <c r="A8" s="10" t="s">
        <v>24</v>
      </c>
      <c r="B8" s="6" t="s">
        <v>202</v>
      </c>
      <c r="C8" s="6" t="s">
        <v>203</v>
      </c>
      <c r="D8" s="6" t="s">
        <v>204</v>
      </c>
      <c r="E8" s="7" t="s">
        <v>205</v>
      </c>
      <c r="F8" s="6" t="s">
        <v>206</v>
      </c>
      <c r="G8" s="6" t="s">
        <v>207</v>
      </c>
      <c r="H8" s="6" t="s">
        <v>208</v>
      </c>
      <c r="I8" s="6" t="s">
        <v>209</v>
      </c>
      <c r="J8" s="7" t="s">
        <v>210</v>
      </c>
      <c r="K8" s="18" t="s">
        <v>12</v>
      </c>
      <c r="L8" s="33"/>
      <c r="M8" s="33"/>
      <c r="N8" s="33"/>
      <c r="O8" s="33"/>
      <c r="P8" s="33"/>
      <c r="Q8" s="33"/>
      <c r="R8" s="33"/>
      <c r="S8" s="33"/>
      <c r="T8" s="33"/>
    </row>
    <row r="9" spans="1:21" x14ac:dyDescent="0.15">
      <c r="A9" s="10" t="s">
        <v>47</v>
      </c>
      <c r="B9" s="23" t="str">
        <f>IF(SUMIF($K15:$K16,$A9,L15:L16)=0,"",SUMIF($K15:$K16,$A9,L15:L16))</f>
        <v/>
      </c>
      <c r="C9" s="23" t="str">
        <f t="shared" ref="C9:J9" si="0">IF(SUMIF($K15:$K16,$A9,M15:M16)=0,"",SUMIF($K15:$K16,$A9,M15:M16))</f>
        <v/>
      </c>
      <c r="D9" s="23" t="str">
        <f t="shared" si="0"/>
        <v/>
      </c>
      <c r="E9" s="23" t="str">
        <f t="shared" si="0"/>
        <v/>
      </c>
      <c r="F9" s="23" t="str">
        <f t="shared" si="0"/>
        <v/>
      </c>
      <c r="G9" s="23" t="str">
        <f t="shared" si="0"/>
        <v/>
      </c>
      <c r="H9" s="23" t="str">
        <f t="shared" si="0"/>
        <v/>
      </c>
      <c r="I9" s="23" t="str">
        <f t="shared" si="0"/>
        <v/>
      </c>
      <c r="J9" s="23" t="str">
        <f t="shared" si="0"/>
        <v/>
      </c>
      <c r="K9" s="39">
        <f>SUM(B9:J9)</f>
        <v>0</v>
      </c>
      <c r="L9" s="8"/>
      <c r="M9" s="8"/>
      <c r="N9" s="8"/>
      <c r="O9" s="8"/>
      <c r="P9" s="8"/>
      <c r="Q9" s="8"/>
      <c r="R9" s="8"/>
      <c r="S9" s="8"/>
      <c r="T9" s="8"/>
    </row>
    <row r="10" spans="1:21" x14ac:dyDescent="0.15">
      <c r="A10" s="10" t="s">
        <v>46</v>
      </c>
      <c r="B10" s="23" t="str">
        <f>IF(SUMIF($K15:$K16,$A10,L15:L16)=0,"",SUMIF($K15:$K16,$A10,L15:L16))</f>
        <v/>
      </c>
      <c r="C10" s="23" t="str">
        <f t="shared" ref="C10:J10" si="1">IF(SUMIF($K15:$K16,$A10,M15:M16)=0,"",SUMIF($K15:$K16,$A10,M15:M16))</f>
        <v/>
      </c>
      <c r="D10" s="23" t="str">
        <f t="shared" si="1"/>
        <v/>
      </c>
      <c r="E10" s="23" t="str">
        <f t="shared" si="1"/>
        <v/>
      </c>
      <c r="F10" s="23" t="str">
        <f t="shared" si="1"/>
        <v/>
      </c>
      <c r="G10" s="23" t="str">
        <f t="shared" si="1"/>
        <v/>
      </c>
      <c r="H10" s="23" t="str">
        <f t="shared" si="1"/>
        <v/>
      </c>
      <c r="I10" s="23" t="str">
        <f t="shared" si="1"/>
        <v/>
      </c>
      <c r="J10" s="23" t="str">
        <f t="shared" si="1"/>
        <v/>
      </c>
      <c r="K10" s="39">
        <f>SUM(B10:J10)</f>
        <v>0</v>
      </c>
      <c r="L10" s="8"/>
      <c r="M10" s="8"/>
      <c r="N10" s="8"/>
      <c r="O10" s="8"/>
      <c r="P10" s="8"/>
      <c r="Q10" s="8"/>
      <c r="R10" s="8"/>
      <c r="S10" s="8"/>
      <c r="T10" s="8"/>
    </row>
    <row r="11" spans="1:21" x14ac:dyDescent="0.15">
      <c r="A11" s="38" t="s">
        <v>12</v>
      </c>
      <c r="B11" s="40">
        <f>SUM(B9:B10)</f>
        <v>0</v>
      </c>
      <c r="C11" s="40">
        <f t="shared" ref="C11:K11" si="2">SUM(C9:C10)</f>
        <v>0</v>
      </c>
      <c r="D11" s="40">
        <f t="shared" si="2"/>
        <v>0</v>
      </c>
      <c r="E11" s="40">
        <f t="shared" si="2"/>
        <v>0</v>
      </c>
      <c r="F11" s="40">
        <f t="shared" si="2"/>
        <v>0</v>
      </c>
      <c r="G11" s="40">
        <f t="shared" si="2"/>
        <v>0</v>
      </c>
      <c r="H11" s="40">
        <f t="shared" si="2"/>
        <v>0</v>
      </c>
      <c r="I11" s="40">
        <f t="shared" si="2"/>
        <v>0</v>
      </c>
      <c r="J11" s="40">
        <f t="shared" si="2"/>
        <v>0</v>
      </c>
      <c r="K11" s="40">
        <f t="shared" si="2"/>
        <v>0</v>
      </c>
    </row>
    <row r="12" spans="1:21" x14ac:dyDescent="0.15">
      <c r="A12" s="8"/>
      <c r="B12" s="41"/>
      <c r="C12" s="41"/>
      <c r="D12" s="41"/>
      <c r="E12" s="41"/>
      <c r="F12" s="41"/>
      <c r="G12" s="41"/>
      <c r="H12" s="41"/>
      <c r="I12" s="41"/>
      <c r="J12" s="41"/>
      <c r="K12" s="41"/>
    </row>
    <row r="13" spans="1:21" x14ac:dyDescent="0.15">
      <c r="A13" s="17" t="s">
        <v>10</v>
      </c>
      <c r="B13" s="1"/>
      <c r="C13" s="1"/>
      <c r="D13" s="1"/>
      <c r="F13" s="1"/>
      <c r="L13" s="34" t="s">
        <v>45</v>
      </c>
      <c r="M13" s="34"/>
      <c r="N13" s="34"/>
      <c r="O13" s="34"/>
      <c r="P13" s="34"/>
      <c r="Q13" s="34"/>
      <c r="R13" s="34"/>
      <c r="S13" s="34"/>
      <c r="T13" s="34"/>
    </row>
    <row r="14" spans="1:21" x14ac:dyDescent="0.15">
      <c r="A14" s="13" t="s">
        <v>35</v>
      </c>
      <c r="B14" s="13" t="s">
        <v>1</v>
      </c>
      <c r="C14" s="13" t="s">
        <v>2</v>
      </c>
      <c r="D14" s="13" t="s">
        <v>3</v>
      </c>
      <c r="E14" s="16" t="s">
        <v>0</v>
      </c>
      <c r="F14" s="36"/>
      <c r="G14" s="14"/>
      <c r="H14" s="14"/>
      <c r="I14" s="14"/>
      <c r="J14" s="15"/>
      <c r="K14" s="37" t="s">
        <v>24</v>
      </c>
      <c r="L14" s="27" t="s">
        <v>36</v>
      </c>
      <c r="M14" s="27" t="s">
        <v>37</v>
      </c>
      <c r="N14" s="27" t="s">
        <v>38</v>
      </c>
      <c r="O14" s="27" t="s">
        <v>39</v>
      </c>
      <c r="P14" s="27" t="s">
        <v>40</v>
      </c>
      <c r="Q14" s="27" t="s">
        <v>41</v>
      </c>
      <c r="R14" s="27" t="s">
        <v>42</v>
      </c>
      <c r="S14" s="27" t="s">
        <v>43</v>
      </c>
      <c r="T14" s="27" t="s">
        <v>44</v>
      </c>
    </row>
    <row r="15" spans="1:21" x14ac:dyDescent="0.15">
      <c r="A15" s="2"/>
      <c r="B15" s="2"/>
      <c r="C15" s="2"/>
      <c r="D15" s="2"/>
      <c r="E15" s="85"/>
      <c r="F15" s="85"/>
      <c r="G15" s="85"/>
      <c r="H15" s="85"/>
      <c r="I15" s="85"/>
      <c r="J15" s="85"/>
      <c r="K15" s="2"/>
      <c r="L15" s="35">
        <f t="shared" ref="L15:T16" si="3">IF($D15=L$14,1,0)</f>
        <v>0</v>
      </c>
      <c r="M15" s="35">
        <f t="shared" si="3"/>
        <v>0</v>
      </c>
      <c r="N15" s="35">
        <f t="shared" si="3"/>
        <v>0</v>
      </c>
      <c r="O15" s="35">
        <f t="shared" si="3"/>
        <v>0</v>
      </c>
      <c r="P15" s="35">
        <f t="shared" si="3"/>
        <v>0</v>
      </c>
      <c r="Q15" s="35">
        <f t="shared" si="3"/>
        <v>0</v>
      </c>
      <c r="R15" s="35">
        <f t="shared" si="3"/>
        <v>0</v>
      </c>
      <c r="S15" s="35">
        <f t="shared" si="3"/>
        <v>0</v>
      </c>
      <c r="T15" s="35">
        <f t="shared" si="3"/>
        <v>0</v>
      </c>
      <c r="U15" s="22" t="str">
        <f>IF(E15&lt;&gt;"",E15,"")</f>
        <v/>
      </c>
    </row>
    <row r="16" spans="1:21" x14ac:dyDescent="0.15">
      <c r="A16" s="2"/>
      <c r="B16" s="2"/>
      <c r="C16" s="2"/>
      <c r="D16" s="2"/>
      <c r="E16" s="85"/>
      <c r="F16" s="85"/>
      <c r="G16" s="85"/>
      <c r="H16" s="85"/>
      <c r="I16" s="85"/>
      <c r="J16" s="85"/>
      <c r="K16" s="2"/>
      <c r="L16" s="35">
        <f t="shared" si="3"/>
        <v>0</v>
      </c>
      <c r="M16" s="35">
        <f t="shared" si="3"/>
        <v>0</v>
      </c>
      <c r="N16" s="35">
        <f t="shared" si="3"/>
        <v>0</v>
      </c>
      <c r="O16" s="35">
        <f t="shared" si="3"/>
        <v>0</v>
      </c>
      <c r="P16" s="35">
        <f t="shared" si="3"/>
        <v>0</v>
      </c>
      <c r="Q16" s="35">
        <f t="shared" si="3"/>
        <v>0</v>
      </c>
      <c r="R16" s="35">
        <f t="shared" si="3"/>
        <v>0</v>
      </c>
      <c r="S16" s="35">
        <f t="shared" si="3"/>
        <v>0</v>
      </c>
      <c r="T16" s="35">
        <f t="shared" si="3"/>
        <v>0</v>
      </c>
      <c r="U16" s="22" t="str">
        <f>IF(E16&lt;&gt;"",E16,"")</f>
        <v/>
      </c>
    </row>
  </sheetData>
  <mergeCells count="4">
    <mergeCell ref="A3:B3"/>
    <mergeCell ref="A4:B4"/>
    <mergeCell ref="E15:J15"/>
    <mergeCell ref="E16:J16"/>
  </mergeCells>
  <phoneticPr fontId="2"/>
  <conditionalFormatting sqref="A15:T16">
    <cfRule type="expression" dxfId="0" priority="1" stopIfTrue="1">
      <formula>$K15="済"</formula>
    </cfRule>
  </conditionalFormatting>
  <dataValidations disablePrompts="1" count="1">
    <dataValidation type="list" allowBlank="1" showInputMessage="1" showErrorMessage="1" sqref="K15:K16" xr:uid="{00000000-0002-0000-0200-000000000000}">
      <formula1>"未,済"</formula1>
    </dataValidation>
  </dataValidations>
  <pageMargins left="0.75" right="0.75" top="1" bottom="1" header="0.51200000000000001" footer="0.51200000000000001"/>
  <pageSetup paperSize="9" scale="93" orientation="landscape" verticalDpi="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ErrorSheetTemplate">
    <tabColor theme="3" tint="0.59999389629810485"/>
  </sheetPr>
  <dimension ref="A1:B2"/>
  <sheetViews>
    <sheetView workbookViewId="0"/>
  </sheetViews>
  <sheetFormatPr defaultRowHeight="13.5" x14ac:dyDescent="0.15"/>
  <cols>
    <col min="1" max="1" width="78.875" style="1" customWidth="1"/>
    <col min="2" max="2" width="31.625" customWidth="1"/>
  </cols>
  <sheetData>
    <row r="1" spans="1:2" x14ac:dyDescent="0.15">
      <c r="A1" s="17" t="s">
        <v>64</v>
      </c>
    </row>
    <row r="2" spans="1:2" x14ac:dyDescent="0.15">
      <c r="A2" s="1" t="s">
        <v>63</v>
      </c>
      <c r="B2" t="s">
        <v>1</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19</vt:i4>
      </vt:variant>
    </vt:vector>
  </HeadingPairs>
  <TitlesOfParts>
    <vt:vector size="29" baseType="lpstr">
      <vt:lpstr>改版履歴</vt:lpstr>
      <vt:lpstr>利用ガイド</vt:lpstr>
      <vt:lpstr>レビュー指摘事項抽出</vt:lpstr>
      <vt:lpstr>基本設定</vt:lpstr>
      <vt:lpstr>項目マッピング設定</vt:lpstr>
      <vt:lpstr>指摘分類マッピング設定</vt:lpstr>
      <vt:lpstr>これより右はツールが使用するシート</vt:lpstr>
      <vt:lpstr>項目マッピング設定ガイド</vt:lpstr>
      <vt:lpstr>レビュー結果シートテンプレート</vt:lpstr>
      <vt:lpstr>エラーシートテンプレート</vt:lpstr>
      <vt:lpstr>CONDITIONAL_CATEGORY</vt:lpstr>
      <vt:lpstr>CONDITIONAL_COUNT</vt:lpstr>
      <vt:lpstr>レビュー結果シートテンプレート!Print_Area</vt:lpstr>
      <vt:lpstr>レビュー指摘事項抽出!Print_Area</vt:lpstr>
      <vt:lpstr>REVIEW_LIST_FILEPATH</vt:lpstr>
      <vt:lpstr>REVIEW_LIST_PHASE</vt:lpstr>
      <vt:lpstr>REVIEW_LIST_PHASE_CELL</vt:lpstr>
      <vt:lpstr>REVIEW_LIST_PHASE_SHEET</vt:lpstr>
      <vt:lpstr>REVIEW_LIST_RESULT</vt:lpstr>
      <vt:lpstr>REVIEW_LIST_RESULT_CELL</vt:lpstr>
      <vt:lpstr>REVIEW_LIST_RESULT_SHEET</vt:lpstr>
      <vt:lpstr>REVIEW_LIST_REVIEWEE</vt:lpstr>
      <vt:lpstr>REVIEW_LIST_REVIEWEE_CELL</vt:lpstr>
      <vt:lpstr>REVIEW_LIST_REVIEWEE_SHEET</vt:lpstr>
      <vt:lpstr>REVIEW_LIST_REVIEWER</vt:lpstr>
      <vt:lpstr>REVIEW_LIST_REVIEWER_CELL</vt:lpstr>
      <vt:lpstr>REVIEW_LIST_REVIEWER_SHEET</vt:lpstr>
      <vt:lpstr>REVIEW_LIST_SHEET</vt:lpstr>
      <vt:lpstr>REVIEW_TIMES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2023-08-01T09:27:52Z</dcterms:created>
  <dcterms:modified xsi:type="dcterms:W3CDTF">2026-03-06T08:43:03Z</dcterms:modified>
</cp:coreProperties>
</file>