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168BF24B-77EE-4CDA-B464-2D5B38C6D55A}" xr6:coauthVersionLast="47" xr6:coauthVersionMax="47" xr10:uidLastSave="{00000000-0000-0000-0000-000000000000}"/>
  <bookViews>
    <workbookView xWindow="3030" yWindow="3030" windowWidth="26865" windowHeight="15345" activeTab="5"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レビュー指摘事項抽出!$A$1:$T$118</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<sst xmlns="http://schemas.openxmlformats.org/spreadsheetml/2006/main" count="340" uniqueCount="255">
  <si>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</si>
  <si>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</si>
  <si>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</si>
  <si>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</si>
  <si>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</si>
  <si>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</si>
  <si>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</si>
  <si>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</si>
  <si>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</si>
  <si>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</si>
  <si>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</si>
  <si>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</si>
  <si>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</si>
  <si>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</si>
  <si>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</si>
  <si>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</si>
  <si>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</si>
  <si>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</si>
  <si>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</si>
  <si>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</si>
  <si>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</si>
  <si>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</si>
  <si>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</si>
  <si>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</si>
  <si>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</si>
  <si>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</si>
  <si>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</si>
  <si>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</si>
  <si>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</si>
  <si>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</si>
  <si>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</si>
  <si>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</si>
  <si>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</si>
  <si>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</si>
  <si>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</si>
  <si>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</si>
  <si>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</si>
  <si>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</si>
  <si>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</si>
  <si>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</si>
  <si>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</si>
  <si>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</si>
  <si>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</si>
  <si>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</si>
  <si>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</si>
  <si>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</si>
  <si>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</si>
  <si>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</si>
  <si>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</si>
  <si>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</si>
  <si>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</si>
  <si>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</si>
  <si>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</si>
  <si>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</si>
  <si>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</si>
  <si>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</si>
  <si>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</si>
  <si>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</si>
  <si>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</si>
  <si>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</si>
  <si>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</si>
  <si>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</si>
  <si>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</si>
  <si>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</si>
  <si>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</si>
  <si>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</si>
  <si>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</si>
  <si>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</si>
  <si>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</si>
  <si>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</si>
  <si>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</si>
  <si>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</si>
  <si>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</si>
  <si>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</si>
  <si>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</si>
  <si>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</si>
  <si>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</si>
  <si>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</si>
  <si>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</si>
  <si>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</si>
  <si>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</si>
  <si>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</si>
  <si>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</si>
  <si>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</si>
  <si>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</si>
  <si>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</si>
  <si>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</si>
  <si>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</si>
  <si>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</si>
  <si>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</si>
  <si>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</si>
  <si>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</si>
  <si>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</si>
  <si>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</si>
  <si>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</si>
  <si>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</si>
  <si>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</si>
  <si>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</si>
  <si>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</si>
  <si>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</si>
  <si>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</si>
  <si>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</si>
  <si>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</si>
  <si>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</si>
  <si>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</si>
  <si>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</si>
  <si>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</si>
  <si>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</si>
  <si>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</si>
  <si>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</si>
  <si>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</si>
  <si>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</si>
  <si>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</si>
  <si>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</si>
  <si>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</si>
  <si>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</si>
  <si>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</si>
  <si>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</si>
  <si>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</si>
  <si>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</si>
  <si>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</si>
  <si>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</si>
  <si>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</si>
  <si>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</si>
  <si>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</si>
  <si>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</si>
  <si>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</si>
  <si>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</si>
  <si>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</si>
  <si>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</si>
  <si>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</si>
  <si>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</si>
  <si>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</si>
  <si>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</si>
  <si>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</si>
  <si>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</si>
  <si>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</si>
  <si>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</si>
  <si>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</si>
  <si>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</si>
  <si>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</si>
  <si>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</si>
  <si>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</si>
  <si>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</si>
  <si>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</si>
  <si>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</si>
  <si>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</si>
  <si>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</si>
  <si>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</si>
  <si>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</si>
  <si>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</si>
  <si>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</si>
  <si>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</si>
  <si>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</si>
  <si>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</si>
  <si>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</si>
  <si>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</si>
  <si>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</si>
  <si>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</si>
  <si>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</si>
  <si>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</si>
  <si>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</si>
  <si>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</si>
  <si>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</si>
  <si>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</si>
  <si>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</si>
  <si>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</si>
  <si>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このとき入力するアルファベット1文字を今後は「指摘分類エイリアス」と呼びます。</t>
    <rPh sb="4" eb="6">
      <t>ニュウリョク</t>
    </rPh>
    <rPh sb="16" eb="18">
      <t>モジ</t>
    </rPh>
    <rPh sb="19" eb="21">
      <t>コンゴ</t>
    </rPh>
    <rPh sb="23" eb="25">
      <t>シテキ</t>
    </rPh>
    <rPh sb="25" eb="27">
      <t>ブンルイ</t>
    </rPh>
    <rPh sb="34" eb="35">
      <t>ヨ</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</si>
  <si>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</si>
  <si>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指摘分類エイリアスと実際の指摘分類との対応付けは次の通りです。</t>
    <rPh sb="0" eb="2">
      <t>シテキ</t>
    </rPh>
    <rPh sb="2" eb="4">
      <t>ブンルイ</t>
    </rPh>
    <rPh sb="10" eb="12">
      <t>ジッサイ</t>
    </rPh>
    <rPh sb="13" eb="15">
      <t>シテキ</t>
    </rPh>
    <rPh sb="15" eb="17">
      <t>ブンルイ</t>
    </rPh>
    <rPh sb="19" eb="21">
      <t>タイオウ</t>
    </rPh>
    <rPh sb="21" eb="22">
      <t>ヅ</t>
    </rPh>
    <rPh sb="24" eb="25">
      <t>ツギ</t>
    </rPh>
    <rPh sb="26" eb="27">
      <t>トオ</t>
    </rPh>
    <phoneticPr fontId="2"/>
  </si>
  <si>
    <t>といった工夫をして頂くようお願いします。</t>
    <rPh sb="4" eb="6">
      <t>クフウ</t>
    </rPh>
    <rPh sb="9" eb="10">
      <t>イタダ</t>
    </rPh>
    <rPh sb="14" eb="15">
      <t>ネガ</t>
    </rPh>
    <phoneticPr fontId="2"/>
  </si>
  <si>
    <t>メモを作成した際に自動挿入される氏名とコロンの後ろに a から i までのアルファベットのうち、いずれか1文字を記入し、続く行へ指摘事項を記入してください。</t>
    <rPh sb="3" eb="5">
      <t>サクセイ</t>
    </rPh>
    <rPh sb="7" eb="8">
      <t>サイ</t>
    </rPh>
    <rPh sb="9" eb="11">
      <t>ジドウ</t>
    </rPh>
    <rPh sb="11" eb="13">
      <t>ソウニュウ</t>
    </rPh>
    <rPh sb="16" eb="18">
      <t>シメイ</t>
    </rPh>
    <rPh sb="23" eb="24">
      <t>ウシ</t>
    </rPh>
    <rPh sb="53" eb="55">
      <t>モジ</t>
    </rPh>
    <rPh sb="56" eb="58">
      <t>キニュウ</t>
    </rPh>
    <rPh sb="60" eb="61">
      <t>ツヅ</t>
    </rPh>
    <rPh sb="62" eb="63">
      <t>ギョウ</t>
    </rPh>
    <rPh sb="64" eb="66">
      <t>シテキ</t>
    </rPh>
    <rPh sb="66" eb="68">
      <t>ジコウ</t>
    </rPh>
    <rPh sb="69" eb="71">
      <t>キニュウ</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</si>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</sst>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5" fillId="2" borderId="0" xfId="0" applyFont="1" applyFill="1" applyAlignment="1">
      <alignment vertical="center" wrapText="1"/>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55</xdr:row>
      <xdr:rowOff>104775</xdr:rowOff>
    </xdr:from>
    <xdr:to>
      <xdr:col>5</xdr:col>
      <xdr:colOff>809879</xdr:colOff>
      <xdr:row>61</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9</xdr:col>
          <xdr:colOff>161925</xdr:colOff>
          <xdr:row>76</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493"/>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85</xdr:row>
      <xdr:rowOff>47625</xdr:rowOff>
    </xdr:from>
    <xdr:to>
      <xdr:col>5</xdr:col>
      <xdr:colOff>695546</xdr:colOff>
      <xdr:row>90</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98</xdr:row>
      <xdr:rowOff>9525</xdr:rowOff>
    </xdr:from>
    <xdr:to>
      <xdr:col>5</xdr:col>
      <xdr:colOff>762226</xdr:colOff>
      <xdr:row>103</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07"/>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30</xdr:row>
      <xdr:rowOff>142875</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1146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a:t>
          </a:r>
          <a:r>
            <a:rPr kumimoji="1" lang="en-US" altLang="ja-JP" sz="1100">
              <a:latin typeface="+mn-ea"/>
              <a:ea typeface="+mn-ea"/>
            </a:rPr>
            <a:t>a</a:t>
          </a:r>
          <a:r>
            <a:rPr kumimoji="1" lang="ja-JP" altLang="en-US" sz="1100">
              <a:latin typeface="+mn-ea"/>
              <a:ea typeface="+mn-ea"/>
            </a:rPr>
            <a:t>」から「</a:t>
          </a:r>
          <a:r>
            <a:rPr kumimoji="1" lang="en-US" altLang="ja-JP" sz="1100">
              <a:latin typeface="+mn-ea"/>
              <a:ea typeface="+mn-ea"/>
            </a:rPr>
            <a:t>i</a:t>
          </a:r>
          <a:r>
            <a:rPr kumimoji="1" lang="ja-JP" altLang="en-US" sz="1100">
              <a:latin typeface="+mn-ea"/>
              <a:ea typeface="+mn-ea"/>
            </a:rPr>
            <a:t>」までの</a:t>
          </a:r>
          <a:r>
            <a:rPr kumimoji="1" lang="en-US" altLang="ja-JP" sz="1100">
              <a:latin typeface="+mn-ea"/>
              <a:ea typeface="+mn-ea"/>
            </a:rPr>
            <a:t>9</a:t>
          </a:r>
          <a:r>
            <a:rPr kumimoji="1" lang="ja-JP" altLang="en-US" sz="1100">
              <a:latin typeface="+mn-ea"/>
              <a:ea typeface="+mn-ea"/>
            </a:rPr>
            <a:t>種類が使えます。</a:t>
          </a:r>
          <a:endParaRPr kumimoji="1" lang="en-US" altLang="ja-JP" sz="1100">
            <a:latin typeface="+mn-ea"/>
            <a:ea typeface="+mn-ea"/>
          </a:endParaRPr>
        </a:p>
        <a:p>
          <a:r>
            <a:rPr kumimoji="1" lang="ja-JP" altLang="en-US" sz="1100">
              <a:latin typeface="+mn-ea"/>
              <a:ea typeface="+mn-ea"/>
            </a:rPr>
            <a:t>実際の指摘分類が</a:t>
          </a:r>
          <a:r>
            <a:rPr kumimoji="1" lang="en-US" altLang="ja-JP" sz="1100">
              <a:latin typeface="+mn-ea"/>
              <a:ea typeface="+mn-ea"/>
            </a:rPr>
            <a:t>9</a:t>
          </a:r>
          <a:r>
            <a:rPr kumimoji="1" lang="ja-JP" altLang="en-US" sz="1100">
              <a:latin typeface="+mn-ea"/>
              <a:ea typeface="+mn-ea"/>
            </a:rPr>
            <a:t>種類よりも多い場合、よく使う</a:t>
          </a:r>
          <a:r>
            <a:rPr kumimoji="1" lang="en-US" altLang="ja-JP" sz="1100">
              <a:latin typeface="+mn-ea"/>
              <a:ea typeface="+mn-ea"/>
            </a:rPr>
            <a:t>9</a:t>
          </a:r>
          <a:r>
            <a:rPr kumimoji="1" lang="ja-JP" altLang="en-US" sz="1100">
              <a:latin typeface="+mn-ea"/>
              <a:ea typeface="+mn-ea"/>
            </a:rPr>
            <a:t>種類を厳選し、対応付けてください。</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もし対応付けた</a:t>
          </a:r>
          <a:r>
            <a:rPr kumimoji="1" lang="en-US" altLang="ja-JP" sz="1100">
              <a:latin typeface="+mn-ea"/>
              <a:ea typeface="+mn-ea"/>
            </a:rPr>
            <a:t>9</a:t>
          </a:r>
          <a:r>
            <a:rPr kumimoji="1" lang="ja-JP" altLang="en-US" sz="1100">
              <a:latin typeface="+mn-ea"/>
              <a:ea typeface="+mn-ea"/>
            </a:rPr>
            <a:t>種類以外の指摘分類を使用したい場合は、レビューが完了し、本ツールによる転記を済ませた後に手動で指摘分類を設定してください。</a:t>
          </a:r>
          <a:endParaRPr kumimoji="1" lang="en-US" altLang="ja-JP" sz="1100">
            <a:latin typeface="+mn-ea"/>
            <a:ea typeface="+mn-ea"/>
          </a:endParaRPr>
        </a:p>
        <a:p>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4"/>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236</v>
      </c>
      <c r="D3" s="26" t="s">
        <v>253</v>
      </c>
    </row>
    <row r="4" spans="1:4" x14ac:dyDescent="0.15">
      <c r="A4" s="2">
        <v>2</v>
      </c>
      <c r="B4" s="29">
        <v>45152</v>
      </c>
      <c r="C4" s="3" t="s">
        <v>236</v>
      </c>
      <c r="D4" s="26" t="s">
        <v>254</v>
      </c>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5" t="s">
        <v>100</v>
      </c>
    </row>
    <row r="4" spans="2:15" ht="18.75" x14ac:dyDescent="0.15">
      <c r="B4" s="56" t="s">
        <v>184</v>
      </c>
    </row>
    <row r="6" spans="2:15" x14ac:dyDescent="0.15">
      <c r="B6" t="s">
        <v>186</v>
      </c>
    </row>
    <row r="7" spans="2:15" x14ac:dyDescent="0.15">
      <c r="B7" t="s">
        <v>182</v>
      </c>
    </row>
    <row r="9" spans="2:15" x14ac:dyDescent="0.15">
      <c r="B9" t="s">
        <v>179</v>
      </c>
    </row>
    <row r="11" spans="2:15" x14ac:dyDescent="0.15">
      <c r="B11" s="73" t="s">
        <v>180</v>
      </c>
      <c r="C11" s="69"/>
      <c r="D11" s="69"/>
      <c r="E11" s="69"/>
      <c r="F11" s="69"/>
      <c r="G11" s="69"/>
      <c r="H11" s="73" t="s">
        <v>99</v>
      </c>
      <c r="I11" s="69"/>
      <c r="J11" s="69"/>
      <c r="K11" s="69"/>
      <c r="L11" s="69"/>
      <c r="M11" s="69"/>
      <c r="N11" s="69"/>
      <c r="O11" s="67"/>
    </row>
    <row r="12" spans="2:15" x14ac:dyDescent="0.15">
      <c r="B12" s="62" t="s">
        <v>183</v>
      </c>
      <c r="C12" s="63"/>
      <c r="D12" s="63"/>
      <c r="E12" s="63"/>
      <c r="F12" s="63"/>
      <c r="G12" s="63"/>
      <c r="H12" s="62" t="s">
        <v>187</v>
      </c>
      <c r="I12" s="63"/>
      <c r="J12" s="63"/>
      <c r="K12" s="63"/>
      <c r="L12" s="63"/>
      <c r="M12" s="63"/>
      <c r="N12" s="63"/>
      <c r="O12" s="61"/>
    </row>
    <row r="13" spans="2:15" x14ac:dyDescent="0.15">
      <c r="B13" s="62" t="s">
        <v>181</v>
      </c>
      <c r="C13" s="63"/>
      <c r="D13" s="63"/>
      <c r="E13" s="63"/>
      <c r="F13" s="63"/>
      <c r="G13" s="63"/>
      <c r="H13" s="62" t="s">
        <v>189</v>
      </c>
      <c r="I13" s="63"/>
      <c r="J13" s="63"/>
      <c r="K13" s="63"/>
      <c r="L13" s="63"/>
      <c r="M13" s="63"/>
      <c r="N13" s="63"/>
      <c r="O13" s="61"/>
    </row>
    <row r="14" spans="2:15" x14ac:dyDescent="0.15">
      <c r="B14" s="62" t="s">
        <v>191</v>
      </c>
      <c r="C14" s="63"/>
      <c r="D14" s="63"/>
      <c r="E14" s="63"/>
      <c r="F14" s="63"/>
      <c r="G14" s="63"/>
      <c r="H14" s="62" t="s">
        <v>190</v>
      </c>
      <c r="I14" s="63"/>
      <c r="J14" s="63"/>
      <c r="K14" s="63"/>
      <c r="L14" s="63"/>
      <c r="M14" s="63"/>
      <c r="N14" s="63"/>
      <c r="O14" s="61"/>
    </row>
    <row r="15" spans="2:15" x14ac:dyDescent="0.15">
      <c r="B15" s="62" t="s">
        <v>192</v>
      </c>
      <c r="C15" s="63"/>
      <c r="D15" s="63"/>
      <c r="E15" s="63"/>
      <c r="F15" s="63"/>
      <c r="G15" s="63"/>
      <c r="H15" s="62" t="s">
        <v>188</v>
      </c>
      <c r="I15" s="63"/>
      <c r="J15" s="63"/>
      <c r="K15" s="63"/>
      <c r="L15" s="63"/>
      <c r="M15" s="63"/>
      <c r="N15" s="63"/>
      <c r="O15" s="61"/>
    </row>
    <row r="17" spans="2:2" ht="18.75" x14ac:dyDescent="0.15">
      <c r="B17" s="56" t="s">
        <v>185</v>
      </c>
    </row>
    <row r="19" spans="2:2" x14ac:dyDescent="0.15">
      <c r="B19" t="s">
        <v>238</v>
      </c>
    </row>
    <row r="20" spans="2:2" x14ac:dyDescent="0.15">
      <c r="B20" t="s">
        <v>214</v>
      </c>
    </row>
    <row r="21" spans="2:2" x14ac:dyDescent="0.15">
      <c r="B21" t="s">
        <v>193</v>
      </c>
    </row>
    <row r="22" spans="2:2" x14ac:dyDescent="0.15">
      <c r="B22" t="s">
        <v>194</v>
      </c>
    </row>
    <row r="23" spans="2:2" x14ac:dyDescent="0.15">
      <c r="B23" t="s">
        <v>195</v>
      </c>
    </row>
    <row r="25" spans="2:2" x14ac:dyDescent="0.15">
      <c r="B25" s="76" t="s">
        <v>251</v>
      </c>
    </row>
    <row r="26" spans="2:2" x14ac:dyDescent="0.15">
      <c r="B26" s="76" t="s">
        <v>252</v>
      </c>
    </row>
    <row r="32" spans="2:2" x14ac:dyDescent="0.15">
      <c r="B32" s="76" t="s">
        <v>247</v>
      </c>
    </row>
    <row r="34" spans="2:3" x14ac:dyDescent="0.15">
      <c r="B34" s="77" t="s">
        <v>248</v>
      </c>
    </row>
    <row r="35" spans="2:3" x14ac:dyDescent="0.15">
      <c r="B35" s="77"/>
    </row>
    <row r="36" spans="2:3" x14ac:dyDescent="0.15">
      <c r="B36" s="77" t="s">
        <v>249</v>
      </c>
      <c r="C36" s="71" t="s">
        <v>250</v>
      </c>
    </row>
    <row r="38" spans="2:3" x14ac:dyDescent="0.15">
      <c r="B38" t="s">
        <v>196</v>
      </c>
    </row>
    <row r="39" spans="2:3" x14ac:dyDescent="0.15">
      <c r="B39" t="s">
        <v>220</v>
      </c>
    </row>
    <row r="40" spans="2:3" x14ac:dyDescent="0.15">
      <c r="B40" t="s">
        <v>221</v>
      </c>
    </row>
    <row r="42" spans="2:3" x14ac:dyDescent="0.15">
      <c r="B42" t="s">
        <v>211</v>
      </c>
    </row>
    <row r="43" spans="2:3" x14ac:dyDescent="0.15">
      <c r="B43" t="s">
        <v>222</v>
      </c>
    </row>
    <row r="44" spans="2:3" x14ac:dyDescent="0.15">
      <c r="B44" t="s">
        <v>212</v>
      </c>
    </row>
    <row r="45" spans="2:3" x14ac:dyDescent="0.15">
      <c r="B45" t="s">
        <v>213</v>
      </c>
    </row>
    <row r="47" spans="2:3" x14ac:dyDescent="0.15">
      <c r="B47" t="s">
        <v>223</v>
      </c>
    </row>
    <row r="48" spans="2:3" x14ac:dyDescent="0.15">
      <c r="B48" t="s">
        <v>224</v>
      </c>
    </row>
    <row r="50" spans="2:6" x14ac:dyDescent="0.15">
      <c r="B50" t="s">
        <v>215</v>
      </c>
    </row>
    <row r="51" spans="2:6" x14ac:dyDescent="0.15">
      <c r="B51" t="s">
        <v>216</v>
      </c>
    </row>
    <row r="53" spans="2:6" ht="18.75" x14ac:dyDescent="0.15">
      <c r="B53" s="56" t="s">
        <v>197</v>
      </c>
    </row>
    <row r="55" spans="2:6" x14ac:dyDescent="0.15">
      <c r="B55" t="s">
        <v>198</v>
      </c>
    </row>
    <row r="57" spans="2:6" x14ac:dyDescent="0.15">
      <c r="B57" t="s">
        <v>199</v>
      </c>
    </row>
    <row r="58" spans="2:6" x14ac:dyDescent="0.15">
      <c r="B58" t="s">
        <v>101</v>
      </c>
    </row>
    <row r="60" spans="2:6" x14ac:dyDescent="0.15">
      <c r="C60" s="71" t="s">
        <v>153</v>
      </c>
      <c r="F60" t="s">
        <v>201</v>
      </c>
    </row>
    <row r="61" spans="2:6" x14ac:dyDescent="0.15">
      <c r="C61" s="71" t="s">
        <v>152</v>
      </c>
      <c r="F61" t="s">
        <v>200</v>
      </c>
    </row>
    <row r="62" spans="2:6" x14ac:dyDescent="0.15">
      <c r="C62" s="71" t="s">
        <v>151</v>
      </c>
      <c r="F62" t="s">
        <v>244</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2"/>
  <sheetViews>
    <sheetView showGridLines="0"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7" t="s">
        <v>21</v>
      </c>
      <c r="B1" s="24"/>
      <c r="C1" s="25"/>
      <c r="D1" s="25"/>
      <c r="E1" s="25"/>
      <c r="F1" s="25"/>
      <c r="G1" s="25"/>
      <c r="H1" s="25"/>
      <c r="I1" s="25"/>
      <c r="J1" s="25"/>
      <c r="K1" s="25"/>
      <c r="L1" s="25"/>
      <c r="M1" s="25"/>
      <c r="N1" s="25"/>
      <c r="O1" s="25"/>
      <c r="P1" s="25"/>
      <c r="Q1" s="25"/>
      <c r="R1" s="25"/>
      <c r="S1" s="25"/>
      <c r="T1" s="48"/>
    </row>
    <row r="2" spans="1:20" x14ac:dyDescent="0.15">
      <c r="A2" s="8"/>
      <c r="B2" s="8"/>
    </row>
    <row r="3" spans="1:20" x14ac:dyDescent="0.15">
      <c r="A3" s="8"/>
      <c r="B3" s="8"/>
    </row>
    <row r="4" spans="1:20" x14ac:dyDescent="0.15">
      <c r="A4" s="8"/>
      <c r="B4" s="8"/>
      <c r="F4" s="42" t="s">
        <v>67</v>
      </c>
      <c r="G4" s="43">
        <v>1</v>
      </c>
    </row>
    <row r="5" spans="1:20" x14ac:dyDescent="0.15">
      <c r="A5" s="8"/>
      <c r="B5" s="8"/>
    </row>
    <row r="6" spans="1:20" x14ac:dyDescent="0.15">
      <c r="A6" s="8"/>
      <c r="B6" s="8"/>
    </row>
    <row r="7" spans="1:20" x14ac:dyDescent="0.15">
      <c r="A7" s="8"/>
      <c r="B7" s="8"/>
    </row>
    <row r="8" spans="1:20" x14ac:dyDescent="0.15">
      <c r="A8" s="8"/>
      <c r="B8" s="8"/>
      <c r="E8" s="42" t="s">
        <v>58</v>
      </c>
      <c r="G8" s="78" t="s">
        <v>217</v>
      </c>
      <c r="H8" s="79"/>
      <c r="I8" s="79"/>
      <c r="J8" s="79"/>
      <c r="K8" s="79"/>
      <c r="L8" s="79"/>
      <c r="M8" s="79"/>
      <c r="N8" s="79"/>
      <c r="O8" s="79"/>
      <c r="P8" s="80"/>
    </row>
    <row r="9" spans="1:20" ht="2.1" customHeight="1" x14ac:dyDescent="0.15">
      <c r="A9" s="8"/>
      <c r="B9" s="8"/>
    </row>
    <row r="10" spans="1:20" x14ac:dyDescent="0.15">
      <c r="A10" s="8"/>
      <c r="B10" s="8"/>
      <c r="E10" s="42" t="s">
        <v>61</v>
      </c>
      <c r="F10" s="42"/>
      <c r="G10" s="81" t="s">
        <v>65</v>
      </c>
      <c r="H10" s="82"/>
      <c r="I10" s="82"/>
      <c r="J10" s="83"/>
      <c r="N10" s="42"/>
      <c r="O10" s="42"/>
    </row>
    <row r="11" spans="1:20" x14ac:dyDescent="0.15">
      <c r="A11" s="8"/>
      <c r="B11" s="8"/>
      <c r="E11" s="42"/>
      <c r="F11" s="42"/>
      <c r="N11" s="42"/>
      <c r="O11" s="42"/>
    </row>
    <row r="12" spans="1:20" x14ac:dyDescent="0.15">
      <c r="A12" s="8"/>
      <c r="B12" s="8"/>
      <c r="E12" s="42" t="s">
        <v>59</v>
      </c>
      <c r="F12" s="42"/>
      <c r="J12" s="84" t="s">
        <v>62</v>
      </c>
      <c r="K12" s="84"/>
      <c r="L12" s="84"/>
      <c r="N12" s="42" t="s">
        <v>55</v>
      </c>
      <c r="O12" s="42"/>
    </row>
    <row r="13" spans="1:20" x14ac:dyDescent="0.15">
      <c r="A13" s="8"/>
      <c r="B13" s="8"/>
      <c r="G13" s="49" t="s">
        <v>53</v>
      </c>
      <c r="H13" s="49"/>
      <c r="I13" s="50"/>
      <c r="J13" s="49" t="s">
        <v>52</v>
      </c>
      <c r="K13" s="49"/>
      <c r="L13" s="49" t="s">
        <v>54</v>
      </c>
    </row>
    <row r="14" spans="1:20" x14ac:dyDescent="0.15">
      <c r="A14" s="8"/>
      <c r="B14" s="8"/>
      <c r="F14" s="51" t="s">
        <v>48</v>
      </c>
      <c r="G14" s="43" t="s">
        <v>97</v>
      </c>
      <c r="H14" s="42"/>
      <c r="I14" s="44"/>
      <c r="J14" s="43"/>
      <c r="K14" s="42"/>
      <c r="L14" s="43"/>
    </row>
    <row r="15" spans="1:20" ht="2.1" customHeight="1" x14ac:dyDescent="0.15">
      <c r="A15" s="8"/>
      <c r="B15" s="8"/>
      <c r="F15" s="51"/>
      <c r="G15" s="42"/>
      <c r="H15" s="42"/>
      <c r="I15" s="44"/>
      <c r="J15" s="43"/>
      <c r="K15" s="42"/>
    </row>
    <row r="16" spans="1:20" x14ac:dyDescent="0.15">
      <c r="A16" s="8"/>
      <c r="B16" s="8"/>
      <c r="F16" s="51" t="s">
        <v>50</v>
      </c>
      <c r="G16" s="43" t="s">
        <v>173</v>
      </c>
      <c r="H16" s="42"/>
      <c r="I16" s="44"/>
      <c r="J16" s="43"/>
      <c r="K16" s="42"/>
      <c r="L16" s="43"/>
      <c r="O16" s="42" t="s">
        <v>49</v>
      </c>
      <c r="P16" s="46" t="s">
        <v>5</v>
      </c>
    </row>
    <row r="17" spans="1:17" ht="2.1" customHeight="1" x14ac:dyDescent="0.15">
      <c r="A17" s="8"/>
      <c r="B17" s="8"/>
      <c r="F17" s="52"/>
      <c r="I17" s="45"/>
      <c r="L17" s="42"/>
      <c r="O17" s="42"/>
    </row>
    <row r="18" spans="1:17" x14ac:dyDescent="0.15">
      <c r="A18" s="8"/>
      <c r="B18" s="8"/>
      <c r="F18" s="51" t="s">
        <v>56</v>
      </c>
      <c r="G18" s="43" t="s">
        <v>174</v>
      </c>
      <c r="H18" s="42"/>
      <c r="I18" s="44"/>
      <c r="J18" s="43"/>
      <c r="K18" s="42"/>
      <c r="L18" s="43"/>
      <c r="O18" s="42" t="s">
        <v>11</v>
      </c>
      <c r="P18" s="43">
        <v>3</v>
      </c>
      <c r="Q18" s="42" t="s">
        <v>51</v>
      </c>
    </row>
    <row r="19" spans="1:17" ht="2.1" customHeight="1" x14ac:dyDescent="0.15">
      <c r="A19" s="8"/>
      <c r="B19" s="8"/>
      <c r="F19" s="52"/>
      <c r="I19" s="45"/>
      <c r="L19" s="42"/>
      <c r="O19" s="42"/>
    </row>
    <row r="20" spans="1:17" x14ac:dyDescent="0.15">
      <c r="A20" s="8"/>
      <c r="B20" s="8"/>
      <c r="F20" s="53" t="s">
        <v>60</v>
      </c>
      <c r="G20" s="42"/>
      <c r="H20" s="42"/>
      <c r="I20" s="44"/>
      <c r="J20" s="42"/>
      <c r="K20" s="42"/>
      <c r="L20" s="42"/>
      <c r="O20" s="42"/>
      <c r="P20" s="42"/>
      <c r="Q20" s="42"/>
    </row>
    <row r="21" spans="1:17" x14ac:dyDescent="0.15">
      <c r="A21" s="8"/>
      <c r="B21" s="8"/>
      <c r="E21" s="42" t="s">
        <v>175</v>
      </c>
      <c r="F21" s="51"/>
      <c r="G21" s="42"/>
      <c r="H21" s="42"/>
      <c r="I21" s="42"/>
      <c r="J21" s="42"/>
      <c r="K21" s="42"/>
      <c r="L21" s="42"/>
      <c r="O21" s="42"/>
      <c r="P21" s="42"/>
      <c r="Q21" s="42"/>
    </row>
    <row r="22" spans="1:17" x14ac:dyDescent="0.15">
      <c r="A22" s="8"/>
      <c r="B22" s="8"/>
      <c r="F22" s="51"/>
      <c r="G22" s="42"/>
      <c r="H22" s="42"/>
      <c r="I22" s="42"/>
      <c r="J22" s="42"/>
      <c r="K22" s="42"/>
      <c r="L22" s="42"/>
      <c r="O22" s="42"/>
      <c r="P22" s="42"/>
      <c r="Q22" s="42"/>
    </row>
    <row r="23" spans="1:17" x14ac:dyDescent="0.15">
      <c r="A23" s="8"/>
      <c r="B23" s="8"/>
      <c r="P23" s="42"/>
      <c r="Q23" s="42"/>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4" t="s">
        <v>225</v>
      </c>
    </row>
    <row r="32" spans="1:17" ht="17.25" x14ac:dyDescent="0.15">
      <c r="C32" s="57" t="s">
        <v>226</v>
      </c>
    </row>
    <row r="34" spans="3:12" x14ac:dyDescent="0.15">
      <c r="C34" t="s">
        <v>154</v>
      </c>
    </row>
    <row r="35" spans="3:12" x14ac:dyDescent="0.15">
      <c r="C35" t="s">
        <v>242</v>
      </c>
    </row>
    <row r="37" spans="3:12" x14ac:dyDescent="0.15">
      <c r="D37" t="s">
        <v>156</v>
      </c>
      <c r="G37" s="72" t="s">
        <v>159</v>
      </c>
      <c r="L37" t="s">
        <v>162</v>
      </c>
    </row>
    <row r="38" spans="3:12" x14ac:dyDescent="0.15">
      <c r="D38" t="s">
        <v>157</v>
      </c>
      <c r="G38" s="72" t="s">
        <v>160</v>
      </c>
    </row>
    <row r="39" spans="3:12" x14ac:dyDescent="0.15">
      <c r="D39" t="s">
        <v>158</v>
      </c>
      <c r="G39" s="72" t="s">
        <v>161</v>
      </c>
    </row>
    <row r="40" spans="3:12" x14ac:dyDescent="0.15">
      <c r="D40" t="s">
        <v>155</v>
      </c>
      <c r="G40" s="72" t="s">
        <v>163</v>
      </c>
    </row>
    <row r="43" spans="3:12" x14ac:dyDescent="0.15">
      <c r="D43" t="s">
        <v>164</v>
      </c>
      <c r="G43" t="s">
        <v>165</v>
      </c>
    </row>
    <row r="48" spans="3:12" x14ac:dyDescent="0.15">
      <c r="C48" t="s">
        <v>237</v>
      </c>
    </row>
    <row r="51" spans="3:4" ht="17.25" x14ac:dyDescent="0.15">
      <c r="C51" s="57" t="s">
        <v>227</v>
      </c>
    </row>
    <row r="53" spans="3:4" x14ac:dyDescent="0.15">
      <c r="C53" t="s">
        <v>239</v>
      </c>
    </row>
    <row r="54" spans="3:4" x14ac:dyDescent="0.15">
      <c r="C54" t="s">
        <v>171</v>
      </c>
    </row>
    <row r="55" spans="3:4" x14ac:dyDescent="0.15">
      <c r="C55" t="s">
        <v>167</v>
      </c>
    </row>
    <row r="57" spans="3:4" x14ac:dyDescent="0.15">
      <c r="D57" t="s">
        <v>164</v>
      </c>
    </row>
    <row r="63" spans="3:4" x14ac:dyDescent="0.15">
      <c r="C63" t="s">
        <v>168</v>
      </c>
    </row>
    <row r="64" spans="3:4" x14ac:dyDescent="0.15">
      <c r="C64" t="s">
        <v>169</v>
      </c>
    </row>
    <row r="79" spans="3:3" x14ac:dyDescent="0.15">
      <c r="C79" t="s">
        <v>240</v>
      </c>
    </row>
    <row r="80" spans="3:3" x14ac:dyDescent="0.15">
      <c r="C80" t="s">
        <v>170</v>
      </c>
    </row>
    <row r="82" spans="3:4" ht="17.25" x14ac:dyDescent="0.15">
      <c r="C82" s="57" t="s">
        <v>22</v>
      </c>
    </row>
    <row r="84" spans="3:4" x14ac:dyDescent="0.15">
      <c r="C84" t="s">
        <v>218</v>
      </c>
    </row>
    <row r="86" spans="3:4" x14ac:dyDescent="0.15">
      <c r="D86" t="s">
        <v>164</v>
      </c>
    </row>
    <row r="94" spans="3:4" ht="17.25" x14ac:dyDescent="0.15">
      <c r="C94" s="57" t="s">
        <v>228</v>
      </c>
    </row>
    <row r="96" spans="3:4" x14ac:dyDescent="0.15">
      <c r="C96" t="s">
        <v>241</v>
      </c>
    </row>
    <row r="97" spans="3:15" x14ac:dyDescent="0.15">
      <c r="C97" t="s">
        <v>219</v>
      </c>
    </row>
    <row r="99" spans="3:15" x14ac:dyDescent="0.15">
      <c r="D99" t="s">
        <v>164</v>
      </c>
    </row>
    <row r="107" spans="3:15" ht="17.25" x14ac:dyDescent="0.15">
      <c r="C107" s="57" t="s">
        <v>229</v>
      </c>
    </row>
    <row r="109" spans="3:15" x14ac:dyDescent="0.15">
      <c r="C109" t="s">
        <v>230</v>
      </c>
    </row>
    <row r="111" spans="3:15" x14ac:dyDescent="0.15">
      <c r="C111" t="s">
        <v>231</v>
      </c>
      <c r="D111" t="s">
        <v>233</v>
      </c>
      <c r="L111" s="52" t="s">
        <v>172</v>
      </c>
      <c r="O111" t="s">
        <v>235</v>
      </c>
    </row>
    <row r="112" spans="3:15" x14ac:dyDescent="0.15">
      <c r="D112" t="s">
        <v>232</v>
      </c>
      <c r="L112" t="s">
        <v>172</v>
      </c>
      <c r="O112" t="s">
        <v>234</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8"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70" t="s">
        <v>92</v>
      </c>
      <c r="B1" s="70" t="s">
        <v>89</v>
      </c>
      <c r="C1" s="70" t="s">
        <v>99</v>
      </c>
    </row>
    <row r="2" spans="1:3" ht="27" x14ac:dyDescent="0.15">
      <c r="A2" s="2" t="s">
        <v>243</v>
      </c>
      <c r="B2" s="2" t="b">
        <v>1</v>
      </c>
      <c r="C2" s="26" t="s">
        <v>245</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70" t="s">
        <v>52</v>
      </c>
      <c r="B2" s="85" t="s">
        <v>149</v>
      </c>
      <c r="C2" s="85"/>
      <c r="E2" s="70" t="s">
        <v>52</v>
      </c>
      <c r="F2" s="2" t="s">
        <v>150</v>
      </c>
      <c r="H2" s="70" t="s">
        <v>52</v>
      </c>
      <c r="I2" s="2" t="s">
        <v>166</v>
      </c>
    </row>
    <row r="3" spans="1:9" x14ac:dyDescent="0.15">
      <c r="A3" s="8"/>
      <c r="E3" s="70" t="s">
        <v>177</v>
      </c>
      <c r="F3" s="2">
        <v>15</v>
      </c>
      <c r="H3" s="70" t="s">
        <v>177</v>
      </c>
      <c r="I3" s="2">
        <v>5</v>
      </c>
    </row>
    <row r="4" spans="1:9" x14ac:dyDescent="0.15">
      <c r="A4" s="8"/>
    </row>
    <row r="6" spans="1:9" x14ac:dyDescent="0.15">
      <c r="A6" s="70" t="s">
        <v>90</v>
      </c>
      <c r="B6" s="70" t="s">
        <v>91</v>
      </c>
      <c r="C6" s="70" t="s">
        <v>94</v>
      </c>
      <c r="E6" s="70" t="s">
        <v>90</v>
      </c>
      <c r="F6" s="70" t="s">
        <v>91</v>
      </c>
      <c r="H6" s="70" t="s">
        <v>90</v>
      </c>
      <c r="I6" s="70" t="s">
        <v>91</v>
      </c>
    </row>
    <row r="7" spans="1:9" x14ac:dyDescent="0.15">
      <c r="A7" s="70" t="s">
        <v>67</v>
      </c>
      <c r="B7" s="2"/>
      <c r="C7" s="2"/>
      <c r="E7" s="70" t="s">
        <v>176</v>
      </c>
      <c r="F7" s="2" t="s">
        <v>72</v>
      </c>
      <c r="H7" s="70" t="s">
        <v>176</v>
      </c>
      <c r="I7" s="2" t="s">
        <v>83</v>
      </c>
    </row>
    <row r="8" spans="1:9" x14ac:dyDescent="0.15">
      <c r="A8" s="70" t="s">
        <v>48</v>
      </c>
      <c r="B8" s="2" t="s">
        <v>84</v>
      </c>
      <c r="C8" s="2">
        <v>1</v>
      </c>
      <c r="E8" s="70" t="s">
        <v>48</v>
      </c>
      <c r="F8" s="2"/>
      <c r="H8" s="70" t="s">
        <v>66</v>
      </c>
      <c r="I8" s="2" t="s">
        <v>84</v>
      </c>
    </row>
    <row r="9" spans="1:9" x14ac:dyDescent="0.15">
      <c r="A9" s="70" t="s">
        <v>68</v>
      </c>
      <c r="B9" s="2" t="s">
        <v>95</v>
      </c>
      <c r="C9" s="2">
        <v>3</v>
      </c>
      <c r="E9" s="70" t="s">
        <v>68</v>
      </c>
      <c r="F9" s="2"/>
      <c r="H9" s="70" t="s">
        <v>109</v>
      </c>
      <c r="I9" s="2" t="s">
        <v>79</v>
      </c>
    </row>
    <row r="10" spans="1:9" x14ac:dyDescent="0.15">
      <c r="A10" s="70" t="s">
        <v>70</v>
      </c>
      <c r="B10" s="2"/>
      <c r="C10" s="2"/>
      <c r="E10" s="70" t="s">
        <v>70</v>
      </c>
      <c r="F10" s="2"/>
      <c r="H10" s="70" t="s">
        <v>50</v>
      </c>
      <c r="I10" s="2" t="s">
        <v>85</v>
      </c>
    </row>
    <row r="11" spans="1:9" x14ac:dyDescent="0.15">
      <c r="A11" s="70" t="s">
        <v>74</v>
      </c>
      <c r="B11" s="2"/>
      <c r="C11" s="2"/>
      <c r="E11" s="70" t="s">
        <v>74</v>
      </c>
      <c r="F11" s="2"/>
      <c r="H11" s="70" t="s">
        <v>22</v>
      </c>
      <c r="I11" s="2" t="s">
        <v>86</v>
      </c>
    </row>
    <row r="12" spans="1:9" x14ac:dyDescent="0.15">
      <c r="A12" s="70" t="s">
        <v>75</v>
      </c>
      <c r="B12" s="2"/>
      <c r="C12" s="2"/>
      <c r="E12" s="70" t="s">
        <v>75</v>
      </c>
      <c r="F12" s="2"/>
      <c r="H12" s="70" t="s">
        <v>71</v>
      </c>
      <c r="I12" s="2" t="s">
        <v>87</v>
      </c>
    </row>
    <row r="13" spans="1:9" x14ac:dyDescent="0.15">
      <c r="A13" s="70" t="s">
        <v>69</v>
      </c>
      <c r="B13" s="2"/>
      <c r="C13" s="2"/>
      <c r="E13" s="70" t="s">
        <v>69</v>
      </c>
      <c r="F13" s="2" t="s">
        <v>73</v>
      </c>
      <c r="H13" s="70" t="s">
        <v>82</v>
      </c>
      <c r="I13" s="2" t="s">
        <v>88</v>
      </c>
    </row>
    <row r="14" spans="1:9" x14ac:dyDescent="0.15">
      <c r="A14" s="70" t="s">
        <v>76</v>
      </c>
      <c r="B14" s="2"/>
      <c r="C14" s="2"/>
      <c r="E14" s="70" t="s">
        <v>76</v>
      </c>
      <c r="F14" s="2" t="s">
        <v>77</v>
      </c>
    </row>
    <row r="15" spans="1:9" x14ac:dyDescent="0.15">
      <c r="A15" s="70" t="s">
        <v>96</v>
      </c>
      <c r="B15" s="2"/>
      <c r="C15" s="2"/>
      <c r="E15" s="70" t="s">
        <v>96</v>
      </c>
      <c r="F15" s="2" t="s">
        <v>78</v>
      </c>
    </row>
    <row r="16" spans="1:9" x14ac:dyDescent="0.15">
      <c r="A16" s="70" t="s">
        <v>50</v>
      </c>
      <c r="B16" s="2"/>
      <c r="C16" s="2"/>
      <c r="E16" s="70" t="s">
        <v>50</v>
      </c>
      <c r="F16" s="2" t="s">
        <v>79</v>
      </c>
    </row>
    <row r="17" spans="1:6" x14ac:dyDescent="0.15">
      <c r="A17" s="70" t="s">
        <v>71</v>
      </c>
      <c r="B17" s="2"/>
      <c r="C17" s="2"/>
      <c r="E17" s="70" t="s">
        <v>71</v>
      </c>
      <c r="F17" s="2" t="s">
        <v>80</v>
      </c>
    </row>
    <row r="19" spans="1:6" x14ac:dyDescent="0.15">
      <c r="A19" s="72" t="s">
        <v>178</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tabSelected="1" workbookViewId="0">
      <selection activeCell="A10" sqref="A2:A10"/>
    </sheetView>
  </sheetViews>
  <sheetFormatPr defaultRowHeight="13.5" x14ac:dyDescent="0.15"/>
  <cols>
    <col min="1" max="1" width="9.375" bestFit="1" customWidth="1"/>
    <col min="2" max="2" width="30.625" bestFit="1" customWidth="1"/>
  </cols>
  <sheetData>
    <row r="1" spans="1:2" x14ac:dyDescent="0.15">
      <c r="A1" s="70" t="s">
        <v>98</v>
      </c>
      <c r="B1" s="70" t="s">
        <v>66</v>
      </c>
    </row>
    <row r="2" spans="1:2" x14ac:dyDescent="0.15">
      <c r="A2" s="75" t="s">
        <v>4</v>
      </c>
      <c r="B2" s="54" t="s">
        <v>202</v>
      </c>
    </row>
    <row r="3" spans="1:2" x14ac:dyDescent="0.15">
      <c r="A3" s="75" t="s">
        <v>27</v>
      </c>
      <c r="B3" s="54" t="s">
        <v>203</v>
      </c>
    </row>
    <row r="4" spans="1:2" x14ac:dyDescent="0.15">
      <c r="A4" s="75" t="s">
        <v>28</v>
      </c>
      <c r="B4" s="54" t="s">
        <v>204</v>
      </c>
    </row>
    <row r="5" spans="1:2" x14ac:dyDescent="0.15">
      <c r="A5" s="75" t="s">
        <v>29</v>
      </c>
      <c r="B5" s="54" t="s">
        <v>205</v>
      </c>
    </row>
    <row r="6" spans="1:2" x14ac:dyDescent="0.15">
      <c r="A6" s="75" t="s">
        <v>30</v>
      </c>
      <c r="B6" s="54" t="s">
        <v>206</v>
      </c>
    </row>
    <row r="7" spans="1:2" x14ac:dyDescent="0.15">
      <c r="A7" s="75" t="s">
        <v>31</v>
      </c>
      <c r="B7" s="54" t="s">
        <v>207</v>
      </c>
    </row>
    <row r="8" spans="1:2" x14ac:dyDescent="0.15">
      <c r="A8" s="75" t="s">
        <v>32</v>
      </c>
      <c r="B8" s="54" t="s">
        <v>208</v>
      </c>
    </row>
    <row r="9" spans="1:2" x14ac:dyDescent="0.15">
      <c r="A9" s="75" t="s">
        <v>33</v>
      </c>
      <c r="B9" s="54" t="s">
        <v>209</v>
      </c>
    </row>
    <row r="10" spans="1:2" x14ac:dyDescent="0.15">
      <c r="A10" s="75" t="s">
        <v>34</v>
      </c>
      <c r="B10" s="54" t="s">
        <v>210</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8" t="s">
        <v>112</v>
      </c>
    </row>
    <row r="3" spans="2:15" x14ac:dyDescent="0.15">
      <c r="B3" s="58" t="s">
        <v>113</v>
      </c>
    </row>
    <row r="4" spans="2:15" x14ac:dyDescent="0.15">
      <c r="B4" s="58" t="s">
        <v>114</v>
      </c>
    </row>
    <row r="7" spans="2:15" ht="17.25" x14ac:dyDescent="0.15">
      <c r="B7" s="59" t="s">
        <v>115</v>
      </c>
    </row>
    <row r="8" spans="2:15" x14ac:dyDescent="0.15">
      <c r="B8" s="58"/>
    </row>
    <row r="9" spans="2:15" x14ac:dyDescent="0.15">
      <c r="B9" s="58" t="s">
        <v>116</v>
      </c>
    </row>
    <row r="10" spans="2:15" x14ac:dyDescent="0.15">
      <c r="B10" s="58"/>
    </row>
    <row r="11" spans="2:15" x14ac:dyDescent="0.15">
      <c r="B11" s="68" t="s">
        <v>148</v>
      </c>
      <c r="C11" s="66"/>
      <c r="D11" s="64" t="s">
        <v>99</v>
      </c>
      <c r="E11" s="69"/>
      <c r="F11" s="69"/>
      <c r="G11" s="69"/>
      <c r="H11" s="69"/>
      <c r="I11" s="69"/>
      <c r="J11" s="69"/>
      <c r="K11" s="69"/>
      <c r="L11" s="69"/>
      <c r="M11" s="69"/>
      <c r="N11" s="69"/>
      <c r="O11" s="67"/>
    </row>
    <row r="12" spans="2:15" x14ac:dyDescent="0.15">
      <c r="B12" s="60" t="s">
        <v>111</v>
      </c>
      <c r="C12" s="61"/>
      <c r="D12" s="62" t="s">
        <v>118</v>
      </c>
      <c r="E12" s="63"/>
      <c r="F12" s="63"/>
      <c r="G12" s="63"/>
      <c r="H12" s="63"/>
      <c r="I12" s="63"/>
      <c r="J12" s="63"/>
      <c r="K12" s="63"/>
      <c r="L12" s="63"/>
      <c r="M12" s="63"/>
      <c r="N12" s="63"/>
      <c r="O12" s="61"/>
    </row>
    <row r="13" spans="2:15" x14ac:dyDescent="0.15">
      <c r="B13" s="60" t="s">
        <v>110</v>
      </c>
      <c r="C13" s="61"/>
      <c r="D13" s="62" t="s">
        <v>119</v>
      </c>
      <c r="E13" s="63"/>
      <c r="F13" s="63"/>
      <c r="G13" s="63"/>
      <c r="H13" s="63"/>
      <c r="I13" s="63"/>
      <c r="J13" s="63"/>
      <c r="K13" s="63"/>
      <c r="L13" s="63"/>
      <c r="M13" s="63"/>
      <c r="N13" s="63"/>
      <c r="O13" s="61"/>
    </row>
    <row r="14" spans="2:15" x14ac:dyDescent="0.15">
      <c r="B14" s="60" t="s">
        <v>121</v>
      </c>
      <c r="C14" s="61"/>
      <c r="D14" s="62" t="s">
        <v>120</v>
      </c>
      <c r="E14" s="63"/>
      <c r="F14" s="63"/>
      <c r="G14" s="63"/>
      <c r="H14" s="63"/>
      <c r="I14" s="63"/>
      <c r="J14" s="63"/>
      <c r="K14" s="63"/>
      <c r="L14" s="63"/>
      <c r="M14" s="63"/>
      <c r="N14" s="63"/>
      <c r="O14" s="61"/>
    </row>
    <row r="15" spans="2:15" x14ac:dyDescent="0.15">
      <c r="B15" s="58"/>
    </row>
    <row r="16" spans="2:15" x14ac:dyDescent="0.15">
      <c r="B16" s="58" t="s">
        <v>117</v>
      </c>
    </row>
    <row r="17" spans="2:2" x14ac:dyDescent="0.15">
      <c r="B17" s="58"/>
    </row>
    <row r="18" spans="2:2" x14ac:dyDescent="0.15">
      <c r="B18" s="58" t="s">
        <v>122</v>
      </c>
    </row>
    <row r="19" spans="2:2" x14ac:dyDescent="0.15">
      <c r="B19" s="58" t="s">
        <v>123</v>
      </c>
    </row>
    <row r="20" spans="2:2" x14ac:dyDescent="0.15">
      <c r="B20" s="58" t="s">
        <v>124</v>
      </c>
    </row>
    <row r="22" spans="2:2" x14ac:dyDescent="0.15">
      <c r="B22" s="58" t="s">
        <v>246</v>
      </c>
    </row>
    <row r="35" spans="2:15" x14ac:dyDescent="0.15">
      <c r="B35" t="s">
        <v>125</v>
      </c>
    </row>
    <row r="36" spans="2:15" x14ac:dyDescent="0.15">
      <c r="B36" t="s">
        <v>126</v>
      </c>
    </row>
    <row r="39" spans="2:15" ht="17.25" x14ac:dyDescent="0.15">
      <c r="B39" s="59" t="s">
        <v>127</v>
      </c>
    </row>
    <row r="41" spans="2:15" x14ac:dyDescent="0.15">
      <c r="B41" t="s">
        <v>128</v>
      </c>
    </row>
    <row r="43" spans="2:15" x14ac:dyDescent="0.15">
      <c r="B43" s="8" t="s">
        <v>129</v>
      </c>
    </row>
    <row r="44" spans="2:15" x14ac:dyDescent="0.15">
      <c r="B44" s="64" t="s">
        <v>90</v>
      </c>
      <c r="C44" s="65"/>
      <c r="D44" s="66"/>
      <c r="E44" s="64" t="s">
        <v>99</v>
      </c>
      <c r="F44" s="65"/>
      <c r="G44" s="65"/>
      <c r="H44" s="65"/>
      <c r="I44" s="65"/>
      <c r="J44" s="65"/>
      <c r="K44" s="65"/>
      <c r="L44" s="65"/>
      <c r="M44" s="65"/>
      <c r="N44" s="65"/>
      <c r="O44" s="66"/>
    </row>
    <row r="45" spans="2:15" x14ac:dyDescent="0.15">
      <c r="B45" s="62" t="s">
        <v>67</v>
      </c>
      <c r="C45" s="63"/>
      <c r="D45" s="61"/>
      <c r="E45" s="62" t="s">
        <v>141</v>
      </c>
      <c r="F45" s="63"/>
      <c r="G45" s="63"/>
      <c r="H45" s="63"/>
      <c r="I45" s="63"/>
      <c r="J45" s="63"/>
      <c r="K45" s="63"/>
      <c r="L45" s="63"/>
      <c r="M45" s="63"/>
      <c r="N45" s="63"/>
      <c r="O45" s="61"/>
    </row>
    <row r="46" spans="2:15" x14ac:dyDescent="0.15">
      <c r="B46" s="62" t="s">
        <v>48</v>
      </c>
      <c r="C46" s="63"/>
      <c r="D46" s="61"/>
      <c r="E46" s="62" t="s">
        <v>130</v>
      </c>
      <c r="F46" s="63"/>
      <c r="G46" s="63"/>
      <c r="H46" s="63"/>
      <c r="I46" s="63"/>
      <c r="J46" s="63"/>
      <c r="K46" s="63"/>
      <c r="L46" s="63"/>
      <c r="M46" s="63"/>
      <c r="N46" s="63"/>
      <c r="O46" s="61"/>
    </row>
    <row r="47" spans="2:15" x14ac:dyDescent="0.15">
      <c r="B47" s="62" t="s">
        <v>68</v>
      </c>
      <c r="C47" s="63"/>
      <c r="D47" s="61"/>
      <c r="E47" s="62" t="s">
        <v>131</v>
      </c>
      <c r="F47" s="63"/>
      <c r="G47" s="63"/>
      <c r="H47" s="63"/>
      <c r="I47" s="63"/>
      <c r="J47" s="63"/>
      <c r="K47" s="63"/>
      <c r="L47" s="63"/>
      <c r="M47" s="63"/>
      <c r="N47" s="63"/>
      <c r="O47" s="61"/>
    </row>
    <row r="48" spans="2:15" x14ac:dyDescent="0.15">
      <c r="B48" s="62" t="s">
        <v>70</v>
      </c>
      <c r="C48" s="63"/>
      <c r="D48" s="61"/>
      <c r="E48" s="62" t="s">
        <v>132</v>
      </c>
      <c r="F48" s="63"/>
      <c r="G48" s="63"/>
      <c r="H48" s="63"/>
      <c r="I48" s="63"/>
      <c r="J48" s="63"/>
      <c r="K48" s="63"/>
      <c r="L48" s="63"/>
      <c r="M48" s="63"/>
      <c r="N48" s="63"/>
      <c r="O48" s="61"/>
    </row>
    <row r="49" spans="2:15" x14ac:dyDescent="0.15">
      <c r="B49" s="62" t="s">
        <v>74</v>
      </c>
      <c r="C49" s="63"/>
      <c r="D49" s="61"/>
      <c r="E49" s="62" t="s">
        <v>133</v>
      </c>
      <c r="F49" s="63"/>
      <c r="G49" s="63"/>
      <c r="H49" s="63"/>
      <c r="I49" s="63"/>
      <c r="J49" s="63"/>
      <c r="K49" s="63"/>
      <c r="L49" s="63"/>
      <c r="M49" s="63"/>
      <c r="N49" s="63"/>
      <c r="O49" s="61"/>
    </row>
    <row r="50" spans="2:15" x14ac:dyDescent="0.15">
      <c r="B50" s="62" t="s">
        <v>75</v>
      </c>
      <c r="C50" s="63"/>
      <c r="D50" s="61"/>
      <c r="E50" s="62" t="s">
        <v>134</v>
      </c>
      <c r="F50" s="63"/>
      <c r="G50" s="63"/>
      <c r="H50" s="63"/>
      <c r="I50" s="63"/>
      <c r="J50" s="63"/>
      <c r="K50" s="63"/>
      <c r="L50" s="63"/>
      <c r="M50" s="63"/>
      <c r="N50" s="63"/>
      <c r="O50" s="61"/>
    </row>
    <row r="51" spans="2:15" x14ac:dyDescent="0.15">
      <c r="B51" s="62" t="s">
        <v>69</v>
      </c>
      <c r="C51" s="63"/>
      <c r="D51" s="61"/>
      <c r="E51" s="62" t="s">
        <v>142</v>
      </c>
      <c r="F51" s="63"/>
      <c r="G51" s="63"/>
      <c r="H51" s="63"/>
      <c r="I51" s="63"/>
      <c r="J51" s="63"/>
      <c r="K51" s="63"/>
      <c r="L51" s="63"/>
      <c r="M51" s="63"/>
      <c r="N51" s="63"/>
      <c r="O51" s="61"/>
    </row>
    <row r="52" spans="2:15" x14ac:dyDescent="0.15">
      <c r="B52" s="62" t="s">
        <v>76</v>
      </c>
      <c r="C52" s="63"/>
      <c r="D52" s="61"/>
      <c r="E52" s="62" t="s">
        <v>135</v>
      </c>
      <c r="F52" s="63"/>
      <c r="G52" s="63"/>
      <c r="H52" s="63"/>
      <c r="I52" s="63"/>
      <c r="J52" s="63"/>
      <c r="K52" s="63"/>
      <c r="L52" s="63"/>
      <c r="M52" s="63"/>
      <c r="N52" s="63"/>
      <c r="O52" s="61"/>
    </row>
    <row r="53" spans="2:15" x14ac:dyDescent="0.15">
      <c r="B53" s="62" t="s">
        <v>96</v>
      </c>
      <c r="C53" s="63"/>
      <c r="D53" s="61"/>
      <c r="E53" s="62" t="s">
        <v>136</v>
      </c>
      <c r="F53" s="63"/>
      <c r="G53" s="63"/>
      <c r="H53" s="63"/>
      <c r="I53" s="63"/>
      <c r="J53" s="63"/>
      <c r="K53" s="63"/>
      <c r="L53" s="63"/>
      <c r="M53" s="63"/>
      <c r="N53" s="63"/>
      <c r="O53" s="61"/>
    </row>
    <row r="54" spans="2:15" x14ac:dyDescent="0.15">
      <c r="B54" s="62" t="s">
        <v>50</v>
      </c>
      <c r="C54" s="63"/>
      <c r="D54" s="61"/>
      <c r="E54" s="62" t="s">
        <v>130</v>
      </c>
      <c r="F54" s="63"/>
      <c r="G54" s="63"/>
      <c r="H54" s="63"/>
      <c r="I54" s="63"/>
      <c r="J54" s="63"/>
      <c r="K54" s="63"/>
      <c r="L54" s="63"/>
      <c r="M54" s="63"/>
      <c r="N54" s="63"/>
      <c r="O54" s="61"/>
    </row>
    <row r="55" spans="2:15" x14ac:dyDescent="0.15">
      <c r="B55" s="62" t="s">
        <v>71</v>
      </c>
      <c r="C55" s="63"/>
      <c r="D55" s="61"/>
      <c r="E55" s="62" t="s">
        <v>130</v>
      </c>
      <c r="F55" s="63"/>
      <c r="G55" s="63"/>
      <c r="H55" s="63"/>
      <c r="I55" s="63"/>
      <c r="J55" s="63"/>
      <c r="K55" s="63"/>
      <c r="L55" s="63"/>
      <c r="M55" s="63"/>
      <c r="N55" s="63"/>
      <c r="O55" s="61"/>
    </row>
    <row r="57" spans="2:15" x14ac:dyDescent="0.15">
      <c r="B57" t="s">
        <v>145</v>
      </c>
    </row>
    <row r="60" spans="2:15" x14ac:dyDescent="0.15">
      <c r="B60" s="8" t="s">
        <v>137</v>
      </c>
    </row>
    <row r="61" spans="2:15" x14ac:dyDescent="0.15">
      <c r="B61" s="64" t="s">
        <v>90</v>
      </c>
      <c r="C61" s="65"/>
      <c r="D61" s="66"/>
      <c r="E61" s="64" t="s">
        <v>99</v>
      </c>
      <c r="F61" s="65"/>
      <c r="G61" s="65"/>
      <c r="H61" s="65"/>
      <c r="I61" s="65"/>
      <c r="J61" s="65"/>
      <c r="K61" s="65"/>
      <c r="L61" s="65"/>
      <c r="M61" s="65"/>
      <c r="N61" s="65"/>
      <c r="O61" s="66"/>
    </row>
    <row r="62" spans="2:15" x14ac:dyDescent="0.15">
      <c r="B62" s="62" t="s">
        <v>67</v>
      </c>
      <c r="C62" s="63"/>
      <c r="D62" s="61"/>
      <c r="E62" s="62" t="s">
        <v>141</v>
      </c>
      <c r="F62" s="63"/>
      <c r="G62" s="63"/>
      <c r="H62" s="63"/>
      <c r="I62" s="63"/>
      <c r="J62" s="63"/>
      <c r="K62" s="63"/>
      <c r="L62" s="63"/>
      <c r="M62" s="63"/>
      <c r="N62" s="63"/>
      <c r="O62" s="61"/>
    </row>
    <row r="63" spans="2:15" x14ac:dyDescent="0.15">
      <c r="B63" s="62" t="s">
        <v>66</v>
      </c>
      <c r="C63" s="63"/>
      <c r="D63" s="61"/>
      <c r="E63" s="62" t="s">
        <v>143</v>
      </c>
      <c r="F63" s="63"/>
      <c r="G63" s="63"/>
      <c r="H63" s="63"/>
      <c r="I63" s="63"/>
      <c r="J63" s="63"/>
      <c r="K63" s="63"/>
      <c r="L63" s="63"/>
      <c r="M63" s="63"/>
      <c r="N63" s="63"/>
      <c r="O63" s="61"/>
    </row>
    <row r="64" spans="2:15" x14ac:dyDescent="0.15">
      <c r="B64" s="62" t="s">
        <v>109</v>
      </c>
      <c r="C64" s="63"/>
      <c r="D64" s="61"/>
      <c r="E64" s="62" t="s">
        <v>138</v>
      </c>
      <c r="F64" s="63"/>
      <c r="G64" s="63"/>
      <c r="H64" s="63"/>
      <c r="I64" s="63"/>
      <c r="J64" s="63"/>
      <c r="K64" s="63"/>
      <c r="L64" s="63"/>
      <c r="M64" s="63"/>
      <c r="N64" s="63"/>
      <c r="O64" s="61"/>
    </row>
    <row r="65" spans="2:15" x14ac:dyDescent="0.15">
      <c r="B65" s="62" t="s">
        <v>50</v>
      </c>
      <c r="C65" s="63"/>
      <c r="D65" s="61"/>
      <c r="E65" s="62" t="s">
        <v>139</v>
      </c>
      <c r="F65" s="63"/>
      <c r="G65" s="63"/>
      <c r="H65" s="63"/>
      <c r="I65" s="63"/>
      <c r="J65" s="63"/>
      <c r="K65" s="63"/>
      <c r="L65" s="63"/>
      <c r="M65" s="63"/>
      <c r="N65" s="63"/>
      <c r="O65" s="61"/>
    </row>
    <row r="66" spans="2:15" x14ac:dyDescent="0.15">
      <c r="B66" s="62" t="s">
        <v>22</v>
      </c>
      <c r="C66" s="63"/>
      <c r="D66" s="61"/>
      <c r="E66" s="62" t="s">
        <v>140</v>
      </c>
      <c r="F66" s="63"/>
      <c r="G66" s="63"/>
      <c r="H66" s="63"/>
      <c r="I66" s="63"/>
      <c r="J66" s="63"/>
      <c r="K66" s="63"/>
      <c r="L66" s="63"/>
      <c r="M66" s="63"/>
      <c r="N66" s="63"/>
      <c r="O66" s="61"/>
    </row>
    <row r="67" spans="2:15" x14ac:dyDescent="0.15">
      <c r="B67" s="62" t="s">
        <v>71</v>
      </c>
      <c r="C67" s="63"/>
      <c r="D67" s="61"/>
      <c r="E67" s="62" t="s">
        <v>130</v>
      </c>
      <c r="F67" s="63"/>
      <c r="G67" s="63"/>
      <c r="H67" s="63"/>
      <c r="I67" s="63"/>
      <c r="J67" s="63"/>
      <c r="K67" s="63"/>
      <c r="L67" s="63"/>
      <c r="M67" s="63"/>
      <c r="N67" s="63"/>
      <c r="O67" s="61"/>
    </row>
    <row r="68" spans="2:15" x14ac:dyDescent="0.15">
      <c r="B68" s="62" t="s">
        <v>82</v>
      </c>
      <c r="C68" s="63"/>
      <c r="D68" s="61"/>
      <c r="E68" s="62" t="s">
        <v>144</v>
      </c>
      <c r="F68" s="63"/>
      <c r="G68" s="63"/>
      <c r="H68" s="63"/>
      <c r="I68" s="63"/>
      <c r="J68" s="63"/>
      <c r="K68" s="63"/>
      <c r="L68" s="63"/>
      <c r="M68" s="63"/>
      <c r="N68" s="63"/>
      <c r="O68" s="61"/>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85" zoomScaleNormal="75" workbookViewId="0">
      <pane ySplit="14" topLeftCell="A15" activePane="bottomLeft" state="frozen"/>
      <selection pane="bottomLeft"/>
    </sheetView>
  </sheetViews>
  <sheetFormatPr defaultRowHeight="13.5" x14ac:dyDescent="0.15"/>
  <cols>
    <col min="2" max="11" width="13.25" customWidth="1"/>
    <col min="12" max="20" width="3.375" customWidth="1"/>
    <col min="21" max="21" width="73.625" customWidth="1"/>
  </cols>
  <sheetData>
    <row r="1" spans="1:21" x14ac:dyDescent="0.15">
      <c r="A1" s="8" t="s">
        <v>14</v>
      </c>
      <c r="L1" s="34"/>
      <c r="U1" s="28" t="s">
        <v>23</v>
      </c>
    </row>
    <row r="2" spans="1:21" x14ac:dyDescent="0.15">
      <c r="A2" t="s">
        <v>57</v>
      </c>
      <c r="E2" s="19" t="s">
        <v>6</v>
      </c>
      <c r="F2" s="20"/>
      <c r="G2" s="20"/>
      <c r="H2" s="20"/>
      <c r="I2" s="21"/>
      <c r="L2" s="34"/>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202</v>
      </c>
      <c r="C8" s="6" t="s">
        <v>203</v>
      </c>
      <c r="D8" s="6" t="s">
        <v>204</v>
      </c>
      <c r="E8" s="7" t="s">
        <v>205</v>
      </c>
      <c r="F8" s="6" t="s">
        <v>206</v>
      </c>
      <c r="G8" s="6" t="s">
        <v>207</v>
      </c>
      <c r="H8" s="6" t="s">
        <v>208</v>
      </c>
      <c r="I8" s="6" t="s">
        <v>209</v>
      </c>
      <c r="J8" s="7" t="s">
        <v>210</v>
      </c>
      <c r="K8" s="18" t="s">
        <v>12</v>
      </c>
      <c r="L8" s="33"/>
      <c r="M8" s="33"/>
      <c r="N8" s="33"/>
      <c r="O8" s="33"/>
      <c r="P8" s="33"/>
      <c r="Q8" s="33"/>
      <c r="R8" s="33"/>
      <c r="S8" s="33"/>
      <c r="T8" s="33"/>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9">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9">
        <f>SUM(B10:J10)</f>
        <v>0</v>
      </c>
      <c r="L10" s="8"/>
      <c r="M10" s="8"/>
      <c r="N10" s="8"/>
      <c r="O10" s="8"/>
      <c r="P10" s="8"/>
      <c r="Q10" s="8"/>
      <c r="R10" s="8"/>
      <c r="S10" s="8"/>
      <c r="T10" s="8"/>
    </row>
    <row r="11" spans="1:21" x14ac:dyDescent="0.15">
      <c r="A11" s="38" t="s">
        <v>12</v>
      </c>
      <c r="B11" s="40">
        <f>SUM(B9:B10)</f>
        <v>0</v>
      </c>
      <c r="C11" s="40">
        <f t="shared" ref="C11:K11" si="2">SUM(C9:C10)</f>
        <v>0</v>
      </c>
      <c r="D11" s="40">
        <f t="shared" si="2"/>
        <v>0</v>
      </c>
      <c r="E11" s="40">
        <f t="shared" si="2"/>
        <v>0</v>
      </c>
      <c r="F11" s="40">
        <f t="shared" si="2"/>
        <v>0</v>
      </c>
      <c r="G11" s="40">
        <f t="shared" si="2"/>
        <v>0</v>
      </c>
      <c r="H11" s="40">
        <f t="shared" si="2"/>
        <v>0</v>
      </c>
      <c r="I11" s="40">
        <f t="shared" si="2"/>
        <v>0</v>
      </c>
      <c r="J11" s="40">
        <f t="shared" si="2"/>
        <v>0</v>
      </c>
      <c r="K11" s="40">
        <f t="shared" si="2"/>
        <v>0</v>
      </c>
    </row>
    <row r="12" spans="1:21" x14ac:dyDescent="0.15">
      <c r="A12" s="8"/>
      <c r="B12" s="41"/>
      <c r="C12" s="41"/>
      <c r="D12" s="41"/>
      <c r="E12" s="41"/>
      <c r="F12" s="41"/>
      <c r="G12" s="41"/>
      <c r="H12" s="41"/>
      <c r="I12" s="41"/>
      <c r="J12" s="41"/>
      <c r="K12" s="41"/>
    </row>
    <row r="13" spans="1:21" x14ac:dyDescent="0.15">
      <c r="A13" s="17" t="s">
        <v>10</v>
      </c>
      <c r="B13" s="1"/>
      <c r="C13" s="1"/>
      <c r="D13" s="1"/>
      <c r="F13" s="1"/>
      <c r="L13" s="34" t="s">
        <v>45</v>
      </c>
      <c r="M13" s="34"/>
      <c r="N13" s="34"/>
      <c r="O13" s="34"/>
      <c r="P13" s="34"/>
      <c r="Q13" s="34"/>
      <c r="R13" s="34"/>
      <c r="S13" s="34"/>
      <c r="T13" s="34"/>
    </row>
    <row r="14" spans="1:21" x14ac:dyDescent="0.15">
      <c r="A14" s="13" t="s">
        <v>35</v>
      </c>
      <c r="B14" s="13" t="s">
        <v>1</v>
      </c>
      <c r="C14" s="13" t="s">
        <v>2</v>
      </c>
      <c r="D14" s="13" t="s">
        <v>3</v>
      </c>
      <c r="E14" s="16" t="s">
        <v>0</v>
      </c>
      <c r="F14" s="36"/>
      <c r="G14" s="14"/>
      <c r="H14" s="14"/>
      <c r="I14" s="14"/>
      <c r="J14" s="15"/>
      <c r="K14" s="37"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5">
        <f t="shared" ref="L15:T16" si="3">IF($D15=L$14,1,0)</f>
        <v>0</v>
      </c>
      <c r="M15" s="35">
        <f t="shared" si="3"/>
        <v>0</v>
      </c>
      <c r="N15" s="35">
        <f t="shared" si="3"/>
        <v>0</v>
      </c>
      <c r="O15" s="35">
        <f t="shared" si="3"/>
        <v>0</v>
      </c>
      <c r="P15" s="35">
        <f t="shared" si="3"/>
        <v>0</v>
      </c>
      <c r="Q15" s="35">
        <f t="shared" si="3"/>
        <v>0</v>
      </c>
      <c r="R15" s="35">
        <f t="shared" si="3"/>
        <v>0</v>
      </c>
      <c r="S15" s="35">
        <f t="shared" si="3"/>
        <v>0</v>
      </c>
      <c r="T15" s="35">
        <f t="shared" si="3"/>
        <v>0</v>
      </c>
      <c r="U15" s="22" t="str">
        <f>IF(E15&lt;&gt;"",E15,"")</f>
        <v/>
      </c>
    </row>
    <row r="16" spans="1:21" x14ac:dyDescent="0.15">
      <c r="A16" s="2"/>
      <c r="B16" s="2"/>
      <c r="C16" s="2"/>
      <c r="D16" s="2"/>
      <c r="E16" s="85"/>
      <c r="F16" s="85"/>
      <c r="G16" s="85"/>
      <c r="H16" s="85"/>
      <c r="I16" s="85"/>
      <c r="J16" s="85"/>
      <c r="K16" s="2"/>
      <c r="L16" s="35">
        <f t="shared" si="3"/>
        <v>0</v>
      </c>
      <c r="M16" s="35">
        <f t="shared" si="3"/>
        <v>0</v>
      </c>
      <c r="N16" s="35">
        <f t="shared" si="3"/>
        <v>0</v>
      </c>
      <c r="O16" s="35">
        <f t="shared" si="3"/>
        <v>0</v>
      </c>
      <c r="P16" s="35">
        <f t="shared" si="3"/>
        <v>0</v>
      </c>
      <c r="Q16" s="35">
        <f t="shared" si="3"/>
        <v>0</v>
      </c>
      <c r="R16" s="35">
        <f t="shared" si="3"/>
        <v>0</v>
      </c>
      <c r="S16" s="35">
        <f t="shared" si="3"/>
        <v>0</v>
      </c>
      <c r="T16" s="35">
        <f t="shared" si="3"/>
        <v>0</v>
      </c>
      <c r="U16" s="22" t="str">
        <f>IF(E16&lt;&gt;"",E16,"")</f>
        <v/>
      </c>
    </row>
  </sheetData>
  <mergeCells count="4">
    <mergeCell ref="A3:B3"/>
    <mergeCell ref="A4:B4"/>
    <mergeCell ref="E15:J15"/>
    <mergeCell ref="E16:J16"/>
  </mergeCells>
  <phoneticPr fontId="2"/>
  <conditionalFormatting sqref="A15:T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2026-03-07T02:18:16Z</dcterms:modified>
</cp:coreProperties>
</file>