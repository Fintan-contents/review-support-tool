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900" yWindow="3900" windowWidth="38700" windowHeight="15345" tabRatio="822" firstSheet="0" activeTab="0" autoFilterDateGrouping="1"/>
  </bookViews>
  <sheets>
    <sheet name="レビュー結果1回目" sheetId="1" state="visible" r:id="rId1"/>
    <sheet name="表紙" sheetId="2" state="visible" r:id="rId2"/>
    <sheet name="変更履歴" sheetId="3" state="visible" r:id="rId3"/>
    <sheet name="目次" sheetId="4" state="visible" r:id="rId4"/>
    <sheet name="1.  画面取引定義" sheetId="5" state="visible" r:id="rId5"/>
    <sheet name="2. WA1020101(プロジェクト登録画面)" sheetId="6" state="visible" r:id="rId6"/>
    <sheet name="3. WA1020102(プロジェクト登録確認画面)" sheetId="7" state="visible" r:id="rId7"/>
    <sheet name="4. WA1020103(プロジェクト登録完了画面)" sheetId="8" state="visible" r:id="rId8"/>
    <sheet name="データ" sheetId="9" state="hidden" r:id="rId9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'レビュー結果1回目'!$A$1:$K$18</definedName>
    <definedName name="_xlnm.Print_Area" localSheetId="1">'表紙'!$A$1:$S$39</definedName>
    <definedName name="_xlnm.Print_Area" localSheetId="2">'変更履歴'!$A$1:$AI$34</definedName>
    <definedName name="_xlnm.Print_Area" localSheetId="3">'目次'!$A$1:$AI$33</definedName>
    <definedName name="_Toc46209822" localSheetId="4">'1.  画面取引定義'!$B$5</definedName>
    <definedName name="_xlnm.Print_Titles" localSheetId="4">'1.  画面取引定義'!$1:$4</definedName>
    <definedName name="_xlnm.Print_Area" localSheetId="4">'1.  画面取引定義'!$A$1:$AI$21</definedName>
    <definedName name="_xlnm.Print_Titles" localSheetId="5">'2. WA1020101(プロジェクト登録画面)'!$1:$4</definedName>
    <definedName name="_xlnm.Print_Area" localSheetId="5">'2. WA1020101(プロジェクト登録画面)'!$A$1:$AI$180</definedName>
    <definedName name="_xlnm.Print_Titles" localSheetId="6">'3. WA1020102(プロジェクト登録確認画面)'!$1:$4</definedName>
    <definedName name="_xlnm.Print_Area" localSheetId="6">'3. WA1020102(プロジェクト登録確認画面)'!$A$1:$AI$136</definedName>
    <definedName name="_xlnm.Print_Titles" localSheetId="7">'4. WA1020103(プロジェクト登録完了画面)'!$1:$4</definedName>
    <definedName name="_xlnm.Print_Area" localSheetId="7">'4. WA1020103(プロジェクト登録完了画面)'!$A$1:$AI$68</definedName>
    <definedName name="_xlnm.Print_Area" localSheetId="8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0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8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作成者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U18"/>
  <sheetViews>
    <sheetView showGridLines="0" tabSelected="1" view="pageBreakPreview" zoomScale="85" zoomScaleNormal="75" workbookViewId="0">
      <pane ySplit="14" topLeftCell="A15" activePane="bottomLeft" state="frozen"/>
      <selection pane="bottomLeft" activeCell="A1" sqref="A1"/>
    </sheetView>
  </sheetViews>
  <sheetFormatPr baseColWidth="8" defaultRowHeight="13.5"/>
  <cols>
    <col width="9.33203125" customWidth="1" style="262" min="1" max="1"/>
    <col width="17.6640625" customWidth="1" style="262" min="2" max="11"/>
    <col width="4.5" customWidth="1" style="262" min="12" max="20"/>
    <col width="98.1640625" customWidth="1" style="262" min="21" max="21"/>
    <col width="9.33203125" customWidth="1" style="262" min="22" max="16384"/>
  </cols>
  <sheetData>
    <row r="1">
      <c r="A1" s="261" t="inlineStr">
        <is>
          <t>＜レビュー結果＞</t>
        </is>
      </c>
      <c r="L1" s="263" t="n"/>
      <c r="U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L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システム機能設計書_サンプル_S07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  <c r="H7" s="270" t="inlineStr">
        <is>
          <t>g</t>
        </is>
      </c>
      <c r="I7" s="270" t="inlineStr">
        <is>
          <t>h</t>
        </is>
      </c>
      <c r="J7" s="270" t="inlineStr">
        <is>
          <t>i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7" t="inlineStr">
        <is>
          <t>91_疑問点、確認</t>
        </is>
      </c>
      <c r="I8" s="277" t="inlineStr">
        <is>
          <t>92_改善要望</t>
        </is>
      </c>
      <c r="J8" s="278" t="inlineStr">
        <is>
          <t>93_仕様変更</t>
        </is>
      </c>
      <c r="K8" s="279" t="inlineStr">
        <is>
          <t>計</t>
        </is>
      </c>
      <c r="L8" s="280" t="n"/>
      <c r="M8" s="280" t="n"/>
      <c r="N8" s="280" t="n"/>
      <c r="O8" s="280" t="n"/>
      <c r="P8" s="280" t="n"/>
      <c r="Q8" s="280" t="n"/>
      <c r="R8" s="280" t="n"/>
      <c r="S8" s="280" t="n"/>
      <c r="T8" s="280" t="n"/>
    </row>
    <row r="9">
      <c r="A9" s="269" t="inlineStr">
        <is>
          <t>済</t>
        </is>
      </c>
      <c r="B9" s="299">
        <f>IF(SUMIF($K15:$K18,$A9,L15:L18)=0,"",SUMIF($K15:$K18,$A9,L15:L18))</f>
        <v/>
      </c>
      <c r="C9" s="299">
        <f>IF(SUMIF($K15:$K18,$A9,M15:M18)=0,"",SUMIF($K15:$K18,$A9,M15:M18))</f>
        <v/>
      </c>
      <c r="D9" s="299">
        <f>IF(SUMIF($K15:$K18,$A9,N15:N18)=0,"",SUMIF($K15:$K18,$A9,N15:N18))</f>
        <v/>
      </c>
      <c r="E9" s="299">
        <f>IF(SUMIF($K15:$K18,$A9,O15:O18)=0,"",SUMIF($K15:$K18,$A9,O15:O18))</f>
        <v/>
      </c>
      <c r="F9" s="299">
        <f>IF(SUMIF($K15:$K18,$A9,P15:P18)=0,"",SUMIF($K15:$K18,$A9,P15:P18))</f>
        <v/>
      </c>
      <c r="G9" s="299">
        <f>IF(SUMIF($K15:$K18,$A9,Q15:Q18)=0,"",SUMIF($K15:$K18,$A9,Q15:Q18))</f>
        <v/>
      </c>
      <c r="H9" s="299">
        <f>IF(SUMIF($K15:$K18,$A9,R15:R18)=0,"",SUMIF($K15:$K18,$A9,R15:R18))</f>
        <v/>
      </c>
      <c r="I9" s="299">
        <f>IF(SUMIF($K15:$K18,$A9,S15:S18)=0,"",SUMIF($K15:$K18,$A9,S15:S18))</f>
        <v/>
      </c>
      <c r="J9" s="299">
        <f>IF(SUMIF($K15:$K18,$A9,T15:T18)=0,"",SUMIF($K15:$K18,$A9,T15:T18))</f>
        <v/>
      </c>
      <c r="K9" s="300">
        <f>SUM(B9:J9)</f>
        <v/>
      </c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</row>
    <row r="10">
      <c r="A10" s="269" t="inlineStr">
        <is>
          <t>未</t>
        </is>
      </c>
      <c r="B10" s="299">
        <f>IF(SUMIF($K15:$K18,$A10,L15:L18)=0,"",SUMIF($K15:$K18,$A10,L15:L18))</f>
        <v/>
      </c>
      <c r="C10" s="299">
        <f>IF(SUMIF($K15:$K18,$A10,M15:M18)=0,"",SUMIF($K15:$K18,$A10,M15:M18))</f>
        <v/>
      </c>
      <c r="D10" s="299">
        <f>IF(SUMIF($K15:$K18,$A10,N15:N18)=0,"",SUMIF($K15:$K18,$A10,N15:N18))</f>
        <v/>
      </c>
      <c r="E10" s="299">
        <f>IF(SUMIF($K15:$K18,$A10,O15:O18)=0,"",SUMIF($K15:$K18,$A10,O15:O18))</f>
        <v/>
      </c>
      <c r="F10" s="299">
        <f>IF(SUMIF($K15:$K18,$A10,P15:P18)=0,"",SUMIF($K15:$K18,$A10,P15:P18))</f>
        <v/>
      </c>
      <c r="G10" s="299">
        <f>IF(SUMIF($K15:$K18,$A10,Q15:Q18)=0,"",SUMIF($K15:$K18,$A10,Q15:Q18))</f>
        <v/>
      </c>
      <c r="H10" s="299">
        <f>IF(SUMIF($K15:$K18,$A10,R15:R18)=0,"",SUMIF($K15:$K18,$A10,R15:R18))</f>
        <v/>
      </c>
      <c r="I10" s="299">
        <f>IF(SUMIF($K15:$K18,$A10,S15:S18)=0,"",SUMIF($K15:$K18,$A10,S15:S18))</f>
        <v/>
      </c>
      <c r="J10" s="299">
        <f>IF(SUMIF($K15:$K18,$A10,T15:T18)=0,"",SUMIF($K15:$K18,$A10,T15:T18))</f>
        <v/>
      </c>
      <c r="K10" s="300">
        <f>SUM(B10:J10)</f>
        <v/>
      </c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</row>
    <row r="11">
      <c r="A11" s="283" t="inlineStr">
        <is>
          <t>計</t>
        </is>
      </c>
      <c r="B11" s="301">
        <f>SUM(B9:B10)</f>
        <v/>
      </c>
      <c r="C11" s="301">
        <f>SUM(C9:C10)</f>
        <v/>
      </c>
      <c r="D11" s="301">
        <f>SUM(D9:D10)</f>
        <v/>
      </c>
      <c r="E11" s="301">
        <f>SUM(E9:E10)</f>
        <v/>
      </c>
      <c r="F11" s="301">
        <f>SUM(F9:F10)</f>
        <v/>
      </c>
      <c r="G11" s="301">
        <f>SUM(G9:G10)</f>
        <v/>
      </c>
      <c r="H11" s="301">
        <f>SUM(H9:H10)</f>
        <v/>
      </c>
      <c r="I11" s="301">
        <f>SUM(I9:I10)</f>
        <v/>
      </c>
      <c r="J11" s="301">
        <f>SUM(J9:J10)</f>
        <v/>
      </c>
      <c r="K11" s="301">
        <f>SUM(K9:K10)</f>
        <v/>
      </c>
    </row>
    <row r="12">
      <c r="A12" s="261" t="n"/>
      <c r="B12" s="302" t="n"/>
      <c r="C12" s="302" t="n"/>
      <c r="D12" s="302" t="n"/>
      <c r="E12" s="302" t="n"/>
      <c r="F12" s="302" t="n"/>
      <c r="G12" s="302" t="n"/>
      <c r="H12" s="302" t="n"/>
      <c r="I12" s="302" t="n"/>
      <c r="J12" s="302" t="n"/>
      <c r="K12" s="302" t="n"/>
    </row>
    <row r="13">
      <c r="A13" s="286" t="inlineStr">
        <is>
          <t>指摘詳細</t>
        </is>
      </c>
      <c r="B13" s="287" t="n"/>
      <c r="C13" s="287" t="n"/>
      <c r="D13" s="287" t="n"/>
      <c r="F13" s="287" t="n"/>
      <c r="L13" s="263" t="inlineStr">
        <is>
          <t>集計用ワーク</t>
        </is>
      </c>
      <c r="M13" s="263" t="n"/>
      <c r="N13" s="263" t="n"/>
      <c r="O13" s="263" t="n"/>
      <c r="P13" s="263" t="n"/>
      <c r="Q13" s="263" t="n"/>
      <c r="R13" s="263" t="n"/>
      <c r="S13" s="263" t="n"/>
      <c r="T13" s="263" t="n"/>
    </row>
    <row r="14">
      <c r="A14" s="288" t="inlineStr">
        <is>
          <t>シート</t>
        </is>
      </c>
      <c r="B14" s="288" t="inlineStr">
        <is>
          <t>場所</t>
        </is>
      </c>
      <c r="C14" s="288" t="inlineStr">
        <is>
          <t>指摘者</t>
        </is>
      </c>
      <c r="D14" s="288" t="inlineStr">
        <is>
          <t>指摘種別</t>
        </is>
      </c>
      <c r="E14" s="289" t="inlineStr">
        <is>
          <t>指摘内容</t>
        </is>
      </c>
      <c r="F14" s="290" t="n"/>
      <c r="G14" s="291" t="n"/>
      <c r="H14" s="291" t="n"/>
      <c r="I14" s="291" t="n"/>
      <c r="J14" s="292" t="n"/>
      <c r="K14" s="293" t="inlineStr">
        <is>
          <t>対応状況</t>
        </is>
      </c>
      <c r="L14" s="294" t="inlineStr">
        <is>
          <t>a</t>
        </is>
      </c>
      <c r="M14" s="294" t="inlineStr">
        <is>
          <t>b</t>
        </is>
      </c>
      <c r="N14" s="294" t="inlineStr">
        <is>
          <t>c</t>
        </is>
      </c>
      <c r="O14" s="294" t="inlineStr">
        <is>
          <t>d</t>
        </is>
      </c>
      <c r="P14" s="294" t="inlineStr">
        <is>
          <t>e</t>
        </is>
      </c>
      <c r="Q14" s="294" t="inlineStr">
        <is>
          <t>f</t>
        </is>
      </c>
      <c r="R14" s="294" t="inlineStr">
        <is>
          <t>g</t>
        </is>
      </c>
      <c r="S14" s="294" t="inlineStr">
        <is>
          <t>h</t>
        </is>
      </c>
      <c r="T14" s="294" t="inlineStr">
        <is>
          <t>i</t>
        </is>
      </c>
    </row>
    <row r="15" ht="40.5" customHeight="1">
      <c r="A15" s="272" t="inlineStr">
        <is>
          <t>2. WA1020101(プロジェクト登録画面)</t>
        </is>
      </c>
      <c r="B15" s="297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298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L15" s="295">
        <f>IF($D15=L$14,1,0)</f>
        <v/>
      </c>
      <c r="M15" s="295">
        <f>IF($D15=M$14,1,0)</f>
        <v/>
      </c>
      <c r="N15" s="295">
        <f>IF($D15=N$14,1,0)</f>
        <v/>
      </c>
      <c r="O15" s="295">
        <f>IF($D15=O$14,1,0)</f>
        <v/>
      </c>
      <c r="P15" s="295">
        <f>IF($D15=P$14,1,0)</f>
        <v/>
      </c>
      <c r="Q15" s="295">
        <f>IF($D15=Q$14,1,0)</f>
        <v/>
      </c>
      <c r="R15" s="295">
        <f>IF($D15=R$14,1,0)</f>
        <v/>
      </c>
      <c r="S15" s="295">
        <f>IF($D15=S$14,1,0)</f>
        <v/>
      </c>
      <c r="T15" s="295">
        <f>IF($D15=T$14,1,0)</f>
        <v/>
      </c>
      <c r="U15" s="296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297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298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L16" s="295">
        <f>IF($D16=L$14,1,0)</f>
        <v/>
      </c>
      <c r="M16" s="295">
        <f>IF($D16=M$14,1,0)</f>
        <v/>
      </c>
      <c r="N16" s="295">
        <f>IF($D16=N$14,1,0)</f>
        <v/>
      </c>
      <c r="O16" s="295">
        <f>IF($D16=O$14,1,0)</f>
        <v/>
      </c>
      <c r="P16" s="295">
        <f>IF($D16=P$14,1,0)</f>
        <v/>
      </c>
      <c r="Q16" s="295">
        <f>IF($D16=Q$14,1,0)</f>
        <v/>
      </c>
      <c r="R16" s="295">
        <f>IF($D16=R$14,1,0)</f>
        <v/>
      </c>
      <c r="S16" s="295">
        <f>IF($D16=S$14,1,0)</f>
        <v/>
      </c>
      <c r="T16" s="295">
        <f>IF($D16=T$14,1,0)</f>
        <v/>
      </c>
      <c r="U16" s="296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297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298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L17" s="295">
        <f>IF($D17=L$14,1,0)</f>
        <v/>
      </c>
      <c r="M17" s="295">
        <f>IF($D17=M$14,1,0)</f>
        <v/>
      </c>
      <c r="N17" s="295">
        <f>IF($D17=N$14,1,0)</f>
        <v/>
      </c>
      <c r="O17" s="295">
        <f>IF($D17=O$14,1,0)</f>
        <v/>
      </c>
      <c r="P17" s="295">
        <f>IF($D17=P$14,1,0)</f>
        <v/>
      </c>
      <c r="Q17" s="295">
        <f>IF($D17=Q$14,1,0)</f>
        <v/>
      </c>
      <c r="R17" s="295">
        <f>IF($D17=R$14,1,0)</f>
        <v/>
      </c>
      <c r="S17" s="295">
        <f>IF($D17=S$14,1,0)</f>
        <v/>
      </c>
      <c r="T17" s="295">
        <f>IF($D17=T$14,1,0)</f>
        <v/>
      </c>
      <c r="U17" s="296">
        <f>IF(E17&lt;&gt;"",E17,"")</f>
        <v/>
      </c>
    </row>
    <row r="18">
      <c r="A18" s="272" t="n"/>
      <c r="B18" s="272" t="n"/>
      <c r="C18" s="272" t="n"/>
      <c r="D18" s="272" t="n"/>
      <c r="E18" s="272" t="n"/>
      <c r="F18" s="162" t="n"/>
      <c r="G18" s="162" t="n"/>
      <c r="H18" s="162" t="n"/>
      <c r="I18" s="162" t="n"/>
      <c r="J18" s="163" t="n"/>
      <c r="K18" s="272" t="n"/>
      <c r="L18" s="295">
        <f>IF($D18=L$14,1,0)</f>
        <v/>
      </c>
      <c r="M18" s="295">
        <f>IF($D18=M$14,1,0)</f>
        <v/>
      </c>
      <c r="N18" s="295">
        <f>IF($D18=N$14,1,0)</f>
        <v/>
      </c>
      <c r="O18" s="295">
        <f>IF($D18=O$14,1,0)</f>
        <v/>
      </c>
      <c r="P18" s="295">
        <f>IF($D18=P$14,1,0)</f>
        <v/>
      </c>
      <c r="Q18" s="295">
        <f>IF($D18=Q$14,1,0)</f>
        <v/>
      </c>
      <c r="R18" s="295">
        <f>IF($D18=R$14,1,0)</f>
        <v/>
      </c>
      <c r="S18" s="295">
        <f>IF($D18=S$14,1,0)</f>
        <v/>
      </c>
      <c r="T18" s="295">
        <f>IF($D18=T$14,1,0)</f>
        <v/>
      </c>
      <c r="U18" s="296">
        <f>IF(E18&lt;&gt;"",E18,"")</f>
        <v/>
      </c>
    </row>
  </sheetData>
  <mergeCells count="6">
    <mergeCell ref="A4:B4"/>
    <mergeCell ref="E16:J16"/>
    <mergeCell ref="E17:J17"/>
    <mergeCell ref="E18:J18"/>
    <mergeCell ref="A3:B3"/>
    <mergeCell ref="E15:J15"/>
  </mergeCells>
  <conditionalFormatting sqref="A15:T18">
    <cfRule type="expression" priority="1" dxfId="0" stopIfTrue="1">
      <formula>$K15="済"</formula>
    </cfRule>
  </conditionalFormatting>
  <dataValidations count="1">
    <dataValidation sqref="K15:K18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</hyperlinks>
  <pageMargins left="0.75" right="0.75" top="1" bottom="1" header="0.512" footer="0.512"/>
  <pageSetup orientation="landscape" paperSize="9" scale="86" verticalDpi="200"/>
</worksheet>
</file>

<file path=xl/worksheets/sheet2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3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4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4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4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5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5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5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5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5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5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4">
      <c r="E104" t="inlineStr">
        <is>
          <t>(2) DBアクセス（登録、更新処理）</t>
        </is>
      </c>
    </row>
    <row r="106">
      <c r="F106" t="inlineStr">
        <is>
          <t>表示内容をデータベースに登録する。登録仕様については下記の通り。</t>
        </is>
      </c>
    </row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7">
      <c r="E127" s="220" t="inlineStr">
        <is>
          <t>(3) 表示処理</t>
        </is>
      </c>
    </row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2">
      <c r="D132" t="inlineStr">
        <is>
          <t>3.6.2. 戻るイベント</t>
        </is>
      </c>
    </row>
    <row r="134">
      <c r="E134" s="220" t="inlineStr">
        <is>
          <t>(1) 表示処理</t>
        </is>
      </c>
    </row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  <c r="AJ1" s="307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  <c r="AJ2" s="307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  <c r="AJ3" s="307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5">
      <c r="E65" t="inlineStr">
        <is>
          <t>プロジェクト登録画面へ遷移する。</t>
        </is>
      </c>
    </row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9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2026-03-10T04:58:26Z</dcterms:modified>
  <cp:lastModifiedBy>熊野　吾郎</cp:lastModifiedBy>
</cp:coreProperties>
</file>