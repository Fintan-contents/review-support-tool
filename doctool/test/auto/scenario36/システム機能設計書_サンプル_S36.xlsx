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822" firstSheet="0" activeTab="4" autoFilterDateGrouping="1"/>
  </bookViews>
  <sheets>
    <sheet name="表紙" sheetId="1" state="visible" r:id="rId1"/>
    <sheet name="変更履歴" sheetId="2" state="visible" r:id="rId2"/>
    <sheet name="目次" sheetId="3" state="visible" r:id="rId3"/>
    <sheet name="1.  画面取引定義" sheetId="4" state="visible" r:id="rId4"/>
    <sheet name="2. WA1020101(プロジェクト登録画面)" sheetId="5" state="visible" r:id="rId5"/>
    <sheet name="3. WA1020102(プロジェクト登録確認画面)" sheetId="6" state="visible" r:id="rId6"/>
    <sheet name="4. WA1020103(プロジェクト登録完了画面)" sheetId="7" state="visible" r:id="rId7"/>
    <sheet name="データ" sheetId="8" state="hidden" r:id="rId8"/>
  </sheets>
  <definedNames>
    <definedName name="引継項目格納先">データ!$B$2:$B$2</definedName>
    <definedName name="画面項目種類">データ!$A$2:$A$14</definedName>
    <definedName name="種別一覧">データ!$C$2:$C$7</definedName>
    <definedName name="_xlnm.Print_Area" localSheetId="0">'表紙'!$A$1:$S$39</definedName>
    <definedName name="_xlnm.Print_Area" localSheetId="1">'変更履歴'!$A$1:$AI$34</definedName>
    <definedName name="_xlnm.Print_Area" localSheetId="2">'目次'!$A$1:$AI$33</definedName>
    <definedName name="_Toc46209822" localSheetId="3">'1.  画面取引定義'!$B$5</definedName>
    <definedName name="_xlnm.Print_Titles" localSheetId="3">'1.  画面取引定義'!$1:$4</definedName>
    <definedName name="_xlnm.Print_Area" localSheetId="3">'1.  画面取引定義'!$A$1:$AI$21</definedName>
    <definedName name="_xlnm.Print_Titles" localSheetId="4">'2. WA1020101(プロジェクト登録画面)'!$1:$4</definedName>
    <definedName name="_xlnm.Print_Area" localSheetId="4">'2. WA1020101(プロジェクト登録画面)'!$A$1:$AI$180</definedName>
    <definedName name="_xlnm.Print_Titles" localSheetId="5">'3. WA1020102(プロジェクト登録確認画面)'!$1:$4</definedName>
    <definedName name="_xlnm.Print_Area" localSheetId="5">'3. WA1020102(プロジェクト登録確認画面)'!$A$1:$AI$136</definedName>
    <definedName name="_xlnm.Print_Titles" localSheetId="6">'4. WA1020103(プロジェクト登録完了画面)'!$1:$4</definedName>
    <definedName name="_xlnm.Print_Area" localSheetId="6">'4. WA1020103(プロジェクト登録完了画面)'!$A$1:$AI$68</definedName>
    <definedName name="_xlnm.Print_Area" localSheetId="7">'データ'!$A$1:$E$15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第&quot;0.00&quot;版&quot;"/>
    <numFmt numFmtId="165" formatCode="yyyy/mm/dd"/>
  </numFmts>
  <fonts count="25">
    <font>
      <name val="ＭＳ 明朝"/>
      <charset val="128"/>
      <family val="1"/>
      <sz val="9"/>
    </font>
    <font>
      <name val="ＭＳ 明朝"/>
      <charset val="128"/>
      <family val="1"/>
      <sz val="9"/>
    </font>
    <font>
      <name val="ＭＳ Ｐゴシック"/>
      <charset val="128"/>
      <family val="3"/>
      <sz val="18"/>
    </font>
    <font>
      <name val="ＭＳ 明朝"/>
      <charset val="128"/>
      <family val="1"/>
      <sz val="11"/>
    </font>
    <font>
      <name val="ＭＳ 明朝"/>
      <charset val="128"/>
      <family val="1"/>
      <sz val="18"/>
    </font>
    <font>
      <name val="ＭＳ 明朝"/>
      <charset val="128"/>
      <family val="1"/>
      <b val="1"/>
      <sz val="20"/>
    </font>
    <font>
      <name val="ＭＳ 明朝"/>
      <charset val="128"/>
      <family val="1"/>
      <sz val="14"/>
      <u val="single"/>
    </font>
    <font>
      <name val="ＭＳ 明朝"/>
      <charset val="128"/>
      <family val="1"/>
      <sz val="16"/>
    </font>
    <font>
      <name val="ＭＳ 明朝"/>
      <charset val="128"/>
      <family val="1"/>
      <sz val="14"/>
    </font>
    <font>
      <name val="ＭＳ 明朝"/>
      <charset val="128"/>
      <family val="1"/>
      <sz val="12"/>
    </font>
    <font>
      <name val="ＭＳ 明朝"/>
      <charset val="128"/>
      <family val="1"/>
      <sz val="10"/>
    </font>
    <font>
      <name val="ＭＳ 明朝"/>
      <charset val="128"/>
      <family val="1"/>
      <sz val="6"/>
    </font>
    <font>
      <name val="ＭＳ 明朝"/>
      <charset val="128"/>
      <family val="1"/>
      <sz val="13"/>
    </font>
    <font>
      <name val="ＭＳ 明朝"/>
      <charset val="128"/>
      <family val="1"/>
      <sz val="9"/>
    </font>
    <font>
      <name val="ＭＳ Ｐゴシック"/>
      <charset val="128"/>
      <family val="3"/>
      <sz val="6"/>
    </font>
    <font>
      <name val="ＭＳ Ｐゴシック"/>
      <charset val="128"/>
      <family val="3"/>
      <sz val="11"/>
    </font>
    <font>
      <name val="ＭＳ 明朝"/>
      <charset val="128"/>
      <family val="1"/>
      <color theme="1"/>
      <sz val="9"/>
    </font>
    <font>
      <name val="ＭＳ 明朝"/>
      <charset val="128"/>
      <family val="1"/>
      <i val="1"/>
      <sz val="9"/>
    </font>
    <font>
      <name val="ＭＳ 明朝"/>
      <charset val="128"/>
      <family val="1"/>
      <color indexed="12"/>
      <sz val="9"/>
      <u val="single"/>
    </font>
    <font>
      <name val="ＭＳ 明朝"/>
      <charset val="128"/>
      <family val="1"/>
      <b val="1"/>
      <sz val="9"/>
    </font>
    <font>
      <name val="ＭＳ 明朝"/>
      <charset val="128"/>
      <family val="1"/>
      <color indexed="55"/>
      <sz val="9"/>
    </font>
    <font>
      <name val="ＭＳ ゴシック"/>
      <charset val="128"/>
      <family val="3"/>
      <sz val="10"/>
    </font>
    <font>
      <name val="ＭＳ 明朝"/>
      <charset val="128"/>
      <family val="1"/>
      <color rgb="FFFF0000"/>
      <sz val="9"/>
    </font>
    <font>
      <name val="MS P ゴシック"/>
      <charset val="128"/>
      <family val="3"/>
      <color indexed="81"/>
      <sz val="9"/>
    </font>
    <font>
      <name val="MS P ゴシック"/>
      <charset val="128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1499984740745262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8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0"/>
      </bottom>
      <diagonal/>
    </border>
    <border>
      <left style="thin">
        <color indexed="64"/>
      </left>
      <right/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/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8" fillId="0" borderId="0" applyAlignment="1" applyProtection="1">
      <alignment vertical="top"/>
      <protection locked="0" hidden="0"/>
    </xf>
    <xf numFmtId="9" fontId="13" fillId="0" borderId="0"/>
    <xf numFmtId="0" fontId="13" fillId="0" borderId="0"/>
    <xf numFmtId="0" fontId="21" fillId="0" borderId="0"/>
    <xf numFmtId="0" fontId="10" fillId="0" borderId="0"/>
    <xf numFmtId="0" fontId="21" fillId="0" borderId="0"/>
    <xf numFmtId="0" fontId="15" fillId="0" borderId="0" applyAlignment="1">
      <alignment vertical="center"/>
    </xf>
  </cellStyleXfs>
  <cellXfs count="49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8" fillId="0" borderId="0" pivotButton="0" quotePrefix="0" xfId="0"/>
    <xf numFmtId="0" fontId="1" fillId="0" borderId="0" pivotButton="0" quotePrefix="0" xfId="1"/>
    <xf numFmtId="0" fontId="1" fillId="0" borderId="0" applyAlignment="1" pivotButton="0" quotePrefix="0" xfId="1">
      <alignment horizontal="right"/>
    </xf>
    <xf numFmtId="0" fontId="1" fillId="0" borderId="0" applyAlignment="1" pivotButton="0" quotePrefix="0" xfId="1">
      <alignment vertical="top"/>
    </xf>
    <xf numFmtId="31" fontId="7" fillId="0" borderId="0" pivotButton="0" quotePrefix="0" xfId="0"/>
    <xf numFmtId="0" fontId="8" fillId="0" borderId="0" pivotButton="0" quotePrefix="0" xfId="1"/>
    <xf numFmtId="164" fontId="8" fillId="0" borderId="0" applyAlignment="1" pivotButton="0" quotePrefix="1" xfId="1">
      <alignment horizontal="center"/>
    </xf>
    <xf numFmtId="0" fontId="13" fillId="0" borderId="0" pivotButton="0" quotePrefix="0" xfId="0"/>
    <xf numFmtId="0" fontId="1" fillId="0" borderId="0" pivotButton="0" quotePrefix="0" xfId="0"/>
    <xf numFmtId="0" fontId="13" fillId="0" borderId="0" applyAlignment="1" pivotButton="0" quotePrefix="0" xfId="1">
      <alignment vertical="top"/>
    </xf>
    <xf numFmtId="0" fontId="3" fillId="0" borderId="0" pivotButton="0" quotePrefix="0" xfId="3"/>
    <xf numFmtId="0" fontId="12" fillId="0" borderId="0" applyAlignment="1" pivotButton="0" quotePrefix="0" xfId="3">
      <alignment horizontal="center"/>
    </xf>
    <xf numFmtId="0" fontId="9" fillId="0" borderId="0" applyAlignment="1" pivotButton="0" quotePrefix="0" xfId="4">
      <alignment horizontal="center"/>
    </xf>
    <xf numFmtId="0" fontId="9" fillId="0" borderId="0" applyAlignment="1" pivotButton="0" quotePrefix="0" xfId="3">
      <alignment horizontal="center"/>
    </xf>
    <xf numFmtId="0" fontId="1" fillId="0" borderId="0" applyAlignment="1" pivotButton="0" quotePrefix="0" xfId="1">
      <alignment horizontal="center" vertical="center"/>
    </xf>
    <xf numFmtId="0" fontId="1" fillId="0" borderId="0" applyAlignment="1" pivotButton="0" quotePrefix="1" xfId="1">
      <alignment vertical="center"/>
    </xf>
    <xf numFmtId="0" fontId="1" fillId="0" borderId="0" applyAlignment="1" pivotButton="0" quotePrefix="0" xfId="1">
      <alignment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vertical="top"/>
    </xf>
    <xf numFmtId="165" fontId="1" fillId="0" borderId="0" applyAlignment="1" pivotButton="0" quotePrefix="0" xfId="0">
      <alignment horizontal="right"/>
    </xf>
    <xf numFmtId="0" fontId="1" fillId="0" borderId="0" pivotButton="0" quotePrefix="1" xfId="0"/>
    <xf numFmtId="0" fontId="1" fillId="0" borderId="0" applyAlignment="1" pivotButton="0" quotePrefix="0" xfId="0">
      <alignment vertical="top"/>
    </xf>
    <xf numFmtId="0" fontId="16" fillId="0" borderId="0" pivotButton="0" quotePrefix="0" xfId="0"/>
    <xf numFmtId="0" fontId="17" fillId="0" borderId="0" pivotButton="0" quotePrefix="0" xfId="0"/>
    <xf numFmtId="0" fontId="17" fillId="0" borderId="0" applyAlignment="1" pivotButton="0" quotePrefix="0" xfId="0">
      <alignment horizontal="right"/>
    </xf>
    <xf numFmtId="0" fontId="19" fillId="0" borderId="0" pivotButton="0" quotePrefix="0" xfId="0"/>
    <xf numFmtId="0" fontId="20" fillId="0" borderId="0" applyAlignment="1" pivotButton="0" quotePrefix="1" xfId="0">
      <alignment horizontal="right"/>
    </xf>
    <xf numFmtId="0" fontId="19" fillId="0" borderId="0" applyAlignment="1" pivotButton="0" quotePrefix="0" xfId="0">
      <alignment horizontal="left"/>
    </xf>
    <xf numFmtId="0" fontId="20" fillId="0" borderId="0" applyAlignment="1" pivotButton="0" quotePrefix="1" xfId="0">
      <alignment horizontal="right" vertical="center"/>
    </xf>
    <xf numFmtId="0" fontId="17" fillId="0" borderId="0" applyAlignment="1" pivotButton="0" quotePrefix="0" xfId="0">
      <alignment horizontal="right" vertical="center"/>
    </xf>
    <xf numFmtId="0" fontId="0" fillId="0" borderId="23" applyAlignment="1" pivotButton="0" quotePrefix="0" xfId="0">
      <alignment horizontal="center" vertical="center"/>
    </xf>
    <xf numFmtId="0" fontId="0" fillId="0" borderId="0" applyAlignment="1" pivotButton="0" quotePrefix="0" xfId="1">
      <alignment horizontal="left" vertical="center"/>
    </xf>
    <xf numFmtId="0" fontId="0" fillId="0" borderId="11" applyAlignment="1" pivotButton="0" quotePrefix="0" xfId="0">
      <alignment horizontal="center" vertical="top"/>
    </xf>
    <xf numFmtId="0" fontId="0" fillId="0" borderId="10" applyAlignment="1" pivotButton="0" quotePrefix="0" xfId="0">
      <alignment horizontal="center" vertical="top"/>
    </xf>
    <xf numFmtId="0" fontId="0" fillId="0" borderId="0" pivotButton="0" quotePrefix="1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5"/>
    <xf numFmtId="0" fontId="0" fillId="0" borderId="0" applyAlignment="1" pivotButton="0" quotePrefix="1" xfId="0">
      <alignment horizontal="right"/>
    </xf>
    <xf numFmtId="0" fontId="0" fillId="0" borderId="0" applyAlignment="1" pivotButton="0" quotePrefix="0" xfId="5">
      <alignment horizontal="left"/>
    </xf>
    <xf numFmtId="0" fontId="0" fillId="0" borderId="0" applyAlignment="1" pivotButton="0" quotePrefix="0" xfId="5">
      <alignment horizontal="left" vertical="center"/>
    </xf>
    <xf numFmtId="0" fontId="0" fillId="0" borderId="0" applyAlignment="1" pivotButton="0" quotePrefix="1" xfId="0">
      <alignment horizontal="right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10" pivotButton="0" quotePrefix="0" xfId="0"/>
    <xf numFmtId="0" fontId="0" fillId="2" borderId="10" pivotButton="0" quotePrefix="0" xfId="0"/>
    <xf numFmtId="0" fontId="0" fillId="2" borderId="1" pivotButton="0" quotePrefix="0" xfId="0"/>
    <xf numFmtId="0" fontId="0" fillId="5" borderId="10" pivotButton="0" quotePrefix="0" xfId="0"/>
    <xf numFmtId="0" fontId="0" fillId="0" borderId="1" pivotButton="0" quotePrefix="0" xfId="0"/>
    <xf numFmtId="0" fontId="0" fillId="3" borderId="10" pivotButton="0" quotePrefix="0" xfId="0"/>
    <xf numFmtId="0" fontId="3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applyAlignment="1" pivotButton="0" quotePrefix="0" xfId="1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1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vertical="center"/>
    </xf>
    <xf numFmtId="0" fontId="1" fillId="0" borderId="5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1" fillId="0" borderId="21" applyAlignment="1" pivotButton="0" quotePrefix="0" xfId="0">
      <alignment vertical="top"/>
    </xf>
    <xf numFmtId="0" fontId="1" fillId="0" borderId="22" applyAlignment="1" pivotButton="0" quotePrefix="0" xfId="0">
      <alignment vertical="top"/>
    </xf>
    <xf numFmtId="0" fontId="1" fillId="0" borderId="7" applyAlignment="1" pivotButton="0" quotePrefix="0" xfId="0">
      <alignment vertical="top"/>
    </xf>
    <xf numFmtId="0" fontId="1" fillId="0" borderId="8" applyAlignment="1" pivotButton="0" quotePrefix="0" xfId="0">
      <alignment vertical="top"/>
    </xf>
    <xf numFmtId="0" fontId="1" fillId="0" borderId="9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1" fillId="0" borderId="2" applyAlignment="1" pivotButton="0" quotePrefix="0" xfId="0">
      <alignment vertical="top"/>
    </xf>
    <xf numFmtId="0" fontId="1" fillId="0" borderId="3" applyAlignment="1" pivotButton="0" quotePrefix="0" xfId="0">
      <alignment vertical="top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horizontal="left" vertical="center" wrapText="1"/>
    </xf>
    <xf numFmtId="0" fontId="1" fillId="3" borderId="0" pivotButton="0" quotePrefix="0" xfId="0"/>
    <xf numFmtId="49" fontId="1" fillId="3" borderId="4" pivotButton="0" quotePrefix="0" xfId="0"/>
    <xf numFmtId="49" fontId="1" fillId="3" borderId="5" pivotButton="0" quotePrefix="0" xfId="0"/>
    <xf numFmtId="49" fontId="1" fillId="3" borderId="6" pivotButton="0" quotePrefix="0" xfId="0"/>
    <xf numFmtId="49" fontId="1" fillId="0" borderId="21" applyAlignment="1" pivotButton="0" quotePrefix="0" xfId="0">
      <alignment horizontal="left" vertical="center"/>
    </xf>
    <xf numFmtId="49" fontId="1" fillId="0" borderId="0" applyAlignment="1" pivotButton="0" quotePrefix="0" xfId="0">
      <alignment horizontal="left" vertical="center"/>
    </xf>
    <xf numFmtId="49" fontId="1" fillId="0" borderId="0" pivotButton="0" quotePrefix="0" xfId="0"/>
    <xf numFmtId="49" fontId="1" fillId="0" borderId="0" applyAlignment="1" pivotButton="0" quotePrefix="0" xfId="0">
      <alignment vertical="center"/>
    </xf>
    <xf numFmtId="49" fontId="1" fillId="0" borderId="22" applyAlignment="1" pivotButton="0" quotePrefix="0" xfId="0">
      <alignment horizontal="left"/>
    </xf>
    <xf numFmtId="49" fontId="1" fillId="0" borderId="7" applyAlignment="1" pivotButton="0" quotePrefix="0" xfId="0">
      <alignment horizontal="left" vertical="center"/>
    </xf>
    <xf numFmtId="49" fontId="1" fillId="0" borderId="8" applyAlignment="1" pivotButton="0" quotePrefix="0" xfId="0">
      <alignment horizontal="left" vertical="center"/>
    </xf>
    <xf numFmtId="49" fontId="1" fillId="0" borderId="8" pivotButton="0" quotePrefix="0" xfId="0"/>
    <xf numFmtId="49" fontId="1" fillId="0" borderId="8" applyAlignment="1" pivotButton="0" quotePrefix="0" xfId="0">
      <alignment vertical="center"/>
    </xf>
    <xf numFmtId="49" fontId="1" fillId="0" borderId="9" applyAlignment="1" pivotButton="0" quotePrefix="0" xfId="0">
      <alignment horizontal="left"/>
    </xf>
    <xf numFmtId="49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" fillId="0" borderId="21" pivotButton="0" quotePrefix="0" xfId="0"/>
    <xf numFmtId="0" fontId="1" fillId="0" borderId="0" applyAlignment="1" pivotButton="0" quotePrefix="0" xfId="0">
      <alignment horizontal="right" vertical="top"/>
    </xf>
    <xf numFmtId="0" fontId="1" fillId="0" borderId="0" applyAlignment="1" pivotButton="0" quotePrefix="0" xfId="0">
      <alignment horizontal="left" vertical="center" wrapText="1"/>
    </xf>
    <xf numFmtId="0" fontId="1" fillId="2" borderId="15" applyAlignment="1" pivotButton="0" quotePrefix="0" xfId="0">
      <alignment vertical="center"/>
    </xf>
    <xf numFmtId="0" fontId="1" fillId="0" borderId="1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10" pivotButton="0" quotePrefix="0" xfId="0"/>
    <xf numFmtId="0" fontId="1" fillId="0" borderId="10" applyAlignment="1" pivotButton="0" quotePrefix="0" xfId="0">
      <alignment horizontal="right" vertical="top"/>
    </xf>
    <xf numFmtId="49" fontId="1" fillId="0" borderId="0" applyAlignment="1" pivotButton="0" quotePrefix="0" xfId="0">
      <alignment horizontal="left" vertical="center" wrapText="1"/>
    </xf>
    <xf numFmtId="0" fontId="1" fillId="4" borderId="1" applyAlignment="1" pivotButton="0" quotePrefix="0" xfId="0">
      <alignment vertical="top"/>
    </xf>
    <xf numFmtId="0" fontId="1" fillId="4" borderId="2" applyAlignment="1" pivotButton="0" quotePrefix="0" xfId="0">
      <alignment vertical="top"/>
    </xf>
    <xf numFmtId="0" fontId="1" fillId="4" borderId="10" applyAlignment="1" pivotButton="0" quotePrefix="0" xfId="0">
      <alignment horizontal="center" vertical="top"/>
    </xf>
    <xf numFmtId="0" fontId="1" fillId="0" borderId="1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2" borderId="12" applyAlignment="1" pivotButton="0" quotePrefix="0" xfId="0">
      <alignment horizontal="left" vertical="top"/>
    </xf>
    <xf numFmtId="0" fontId="0" fillId="3" borderId="0" applyAlignment="1" pivotButton="0" quotePrefix="0" xfId="0">
      <alignment vertical="top" wrapText="1"/>
    </xf>
    <xf numFmtId="0" fontId="1" fillId="2" borderId="10" applyAlignment="1" pivotButton="0" quotePrefix="0" xfId="0">
      <alignment vertical="top"/>
    </xf>
    <xf numFmtId="0" fontId="1" fillId="0" borderId="10" applyAlignment="1" pivotButton="0" quotePrefix="0" xfId="0">
      <alignment vertical="center"/>
    </xf>
    <xf numFmtId="0" fontId="1" fillId="0" borderId="0" applyAlignment="1" pivotButton="0" quotePrefix="0" xfId="0">
      <alignment wrapText="1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0" fillId="3" borderId="16" applyAlignment="1" pivotButton="0" quotePrefix="0" xfId="0">
      <alignment horizontal="right" vertical="top" wrapText="1"/>
    </xf>
    <xf numFmtId="0" fontId="1" fillId="3" borderId="0" applyAlignment="1" pivotButton="0" quotePrefix="0" xfId="0">
      <alignment vertical="top" wrapText="1"/>
    </xf>
    <xf numFmtId="0" fontId="0" fillId="3" borderId="0" applyAlignment="1" pivotButton="0" quotePrefix="0" xfId="0">
      <alignment horizontal="right" vertical="top" wrapText="1"/>
    </xf>
    <xf numFmtId="0" fontId="0" fillId="0" borderId="16" applyAlignment="1" pivotButton="0" quotePrefix="0" xfId="0">
      <alignment vertical="top" wrapText="1"/>
    </xf>
    <xf numFmtId="0" fontId="1" fillId="2" borderId="1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center" wrapText="1"/>
    </xf>
    <xf numFmtId="0" fontId="1" fillId="3" borderId="8" applyAlignment="1" pivotButton="0" quotePrefix="0" xfId="0">
      <alignment vertical="top" wrapText="1"/>
    </xf>
    <xf numFmtId="0" fontId="1" fillId="3" borderId="9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0" fillId="0" borderId="21" applyAlignment="1" pivotButton="0" quotePrefix="0" xfId="0">
      <alignment vertical="top"/>
    </xf>
    <xf numFmtId="0" fontId="0" fillId="0" borderId="10" applyAlignment="1" pivotButton="0" quotePrefix="0" xfId="0">
      <alignment vertical="center" wrapText="1"/>
    </xf>
    <xf numFmtId="49" fontId="0" fillId="0" borderId="0" applyAlignment="1" pivotButton="0" quotePrefix="0" xfId="0">
      <alignment horizontal="left" vertical="center"/>
    </xf>
    <xf numFmtId="0" fontId="1" fillId="0" borderId="2" pivotButton="0" quotePrefix="0" xfId="0"/>
    <xf numFmtId="0" fontId="1" fillId="0" borderId="3" pivotButton="0" quotePrefix="0" xfId="0"/>
    <xf numFmtId="0" fontId="0" fillId="3" borderId="7" applyAlignment="1" pivotButton="0" quotePrefix="0" xfId="0">
      <alignment vertical="top" wrapText="1"/>
    </xf>
    <xf numFmtId="0" fontId="1" fillId="5" borderId="2" applyAlignment="1" pivotButton="0" quotePrefix="0" xfId="0">
      <alignment horizontal="left" vertical="top"/>
    </xf>
    <xf numFmtId="0" fontId="1" fillId="5" borderId="3" applyAlignment="1" pivotButton="0" quotePrefix="0" xfId="0">
      <alignment horizontal="left" vertical="top"/>
    </xf>
    <xf numFmtId="0" fontId="0" fillId="5" borderId="1" applyAlignment="1" pivotButton="0" quotePrefix="0" xfId="0">
      <alignment horizontal="left" vertical="top"/>
    </xf>
    <xf numFmtId="0" fontId="1" fillId="7" borderId="10" applyAlignment="1" pivotButton="0" quotePrefix="0" xfId="0">
      <alignment horizontal="right" vertical="top"/>
    </xf>
    <xf numFmtId="0" fontId="22" fillId="0" borderId="0" pivotButton="0" quotePrefix="0" xfId="0"/>
    <xf numFmtId="0" fontId="22" fillId="0" borderId="0" applyAlignment="1" pivotButton="0" quotePrefix="0" xfId="0">
      <alignment horizontal="left"/>
    </xf>
    <xf numFmtId="0" fontId="0" fillId="0" borderId="1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left" vertical="center" wrapText="1"/>
    </xf>
    <xf numFmtId="49" fontId="0" fillId="3" borderId="4" pivotButton="0" quotePrefix="0" xfId="0"/>
    <xf numFmtId="49" fontId="0" fillId="3" borderId="5" pivotButton="0" quotePrefix="0" xfId="0"/>
    <xf numFmtId="49" fontId="0" fillId="3" borderId="6" pivotButton="0" quotePrefix="0" xfId="0"/>
    <xf numFmtId="49" fontId="0" fillId="0" borderId="21" applyAlignment="1" pivotButton="0" quotePrefix="0" xfId="0">
      <alignment horizontal="left" vertical="center"/>
    </xf>
    <xf numFmtId="49" fontId="0" fillId="0" borderId="0" pivotButton="0" quotePrefix="0" xfId="0"/>
    <xf numFmtId="49" fontId="0" fillId="0" borderId="0" applyAlignment="1" pivotButton="0" quotePrefix="0" xfId="0">
      <alignment vertical="center"/>
    </xf>
    <xf numFmtId="49" fontId="0" fillId="0" borderId="22" applyAlignment="1" pivotButton="0" quotePrefix="0" xfId="0">
      <alignment horizontal="left"/>
    </xf>
    <xf numFmtId="49" fontId="0" fillId="0" borderId="7" applyAlignment="1" pivotButton="0" quotePrefix="0" xfId="0">
      <alignment horizontal="left" vertical="center"/>
    </xf>
    <xf numFmtId="49" fontId="0" fillId="0" borderId="8" applyAlignment="1" pivotButton="0" quotePrefix="0" xfId="0">
      <alignment horizontal="left" vertical="center"/>
    </xf>
    <xf numFmtId="49" fontId="0" fillId="0" borderId="8" pivotButton="0" quotePrefix="0" xfId="0"/>
    <xf numFmtId="49" fontId="0" fillId="0" borderId="8" applyAlignment="1" pivotButton="0" quotePrefix="0" xfId="0">
      <alignment vertical="center"/>
    </xf>
    <xf numFmtId="49" fontId="0" fillId="0" borderId="9" applyAlignment="1" pivotButton="0" quotePrefix="0" xfId="0">
      <alignment horizontal="left"/>
    </xf>
    <xf numFmtId="49" fontId="0" fillId="0" borderId="0" applyAlignment="1" pivotButton="0" quotePrefix="0" xfId="0">
      <alignment horizontal="left"/>
    </xf>
    <xf numFmtId="0" fontId="0" fillId="0" borderId="10" applyAlignment="1" pivotButton="0" quotePrefix="0" xfId="0">
      <alignment horizontal="right" vertical="top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31" fontId="8" fillId="0" borderId="0" applyAlignment="1" pivotButton="0" quotePrefix="1" xfId="3">
      <alignment horizontal="center" vertical="center"/>
    </xf>
    <xf numFmtId="14" fontId="1" fillId="0" borderId="1" applyAlignment="1" pivotButton="0" quotePrefix="0" xfId="1">
      <alignment horizontal="left" vertical="top"/>
    </xf>
    <xf numFmtId="14" fontId="1" fillId="0" borderId="2" applyAlignment="1" pivotButton="0" quotePrefix="0" xfId="1">
      <alignment horizontal="left" vertical="top"/>
    </xf>
    <xf numFmtId="14" fontId="1" fillId="0" borderId="3" applyAlignment="1" pivotButton="0" quotePrefix="0" xfId="1">
      <alignment horizontal="left" vertical="top"/>
    </xf>
    <xf numFmtId="0" fontId="1" fillId="0" borderId="36" applyAlignment="1" pivotButton="0" quotePrefix="0" xfId="0">
      <alignment horizontal="left" vertical="top" wrapText="1"/>
    </xf>
    <xf numFmtId="0" fontId="1" fillId="0" borderId="38" applyAlignment="1" pivotButton="0" quotePrefix="0" xfId="0">
      <alignment horizontal="left" vertical="top" wrapText="1"/>
    </xf>
    <xf numFmtId="0" fontId="1" fillId="0" borderId="37" applyAlignment="1" pivotButton="0" quotePrefix="0" xfId="0">
      <alignment horizontal="left" vertical="top" wrapText="1"/>
    </xf>
    <xf numFmtId="165" fontId="1" fillId="0" borderId="1" applyAlignment="1" pivotButton="0" quotePrefix="0" xfId="3">
      <alignment horizontal="right"/>
    </xf>
    <xf numFmtId="165" fontId="1" fillId="0" borderId="2" applyAlignment="1" pivotButton="0" quotePrefix="0" xfId="3">
      <alignment horizontal="right"/>
    </xf>
    <xf numFmtId="165" fontId="1" fillId="0" borderId="3" applyAlignment="1" pivotButton="0" quotePrefix="0" xfId="3">
      <alignment horizontal="right"/>
    </xf>
    <xf numFmtId="0" fontId="1" fillId="0" borderId="1" applyAlignment="1" pivotButton="0" quotePrefix="0" xfId="1">
      <alignment horizontal="left" vertical="top"/>
    </xf>
    <xf numFmtId="0" fontId="1" fillId="0" borderId="2" applyAlignment="1" pivotButton="0" quotePrefix="0" xfId="1">
      <alignment horizontal="left" vertical="top"/>
    </xf>
    <xf numFmtId="0" fontId="1" fillId="0" borderId="3" applyAlignment="1" pivotButton="0" quotePrefix="0" xfId="1">
      <alignment horizontal="left" vertical="top"/>
    </xf>
    <xf numFmtId="14" fontId="0" fillId="0" borderId="1" applyAlignment="1" pivotButton="0" quotePrefix="0" xfId="1">
      <alignment horizontal="left" vertical="top"/>
    </xf>
    <xf numFmtId="0" fontId="0" fillId="0" borderId="1" applyAlignment="1" pivotButton="0" quotePrefix="0" xfId="0">
      <alignment horizontal="center" vertical="top"/>
    </xf>
    <xf numFmtId="0" fontId="0" fillId="0" borderId="2" applyAlignment="1" pivotButton="0" quotePrefix="0" xfId="0">
      <alignment horizontal="center" vertical="top"/>
    </xf>
    <xf numFmtId="0" fontId="0" fillId="0" borderId="3" applyAlignment="1" pivotButton="0" quotePrefix="0" xfId="0">
      <alignment horizontal="center" vertical="top"/>
    </xf>
    <xf numFmtId="0" fontId="0" fillId="0" borderId="24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1" applyAlignment="1" pivotButton="0" quotePrefix="0" xfId="2">
      <alignment horizontal="left" vertical="top"/>
    </xf>
    <xf numFmtId="0" fontId="1" fillId="0" borderId="2" applyAlignment="1" pivotButton="0" quotePrefix="0" xfId="2">
      <alignment horizontal="left" vertical="top"/>
    </xf>
    <xf numFmtId="0" fontId="1" fillId="0" borderId="3" applyAlignment="1" pivotButton="0" quotePrefix="0" xfId="2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  <xf numFmtId="0" fontId="0" fillId="0" borderId="2" applyAlignment="1" pivotButton="0" quotePrefix="0" xfId="0">
      <alignment horizontal="left" vertical="top"/>
    </xf>
    <xf numFmtId="0" fontId="0" fillId="0" borderId="3" applyAlignment="1" pivotButton="0" quotePrefix="0" xfId="0">
      <alignment horizontal="left" vertical="top"/>
    </xf>
    <xf numFmtId="0" fontId="1" fillId="0" borderId="36" applyAlignment="1" pivotButton="0" quotePrefix="0" xfId="0">
      <alignment horizontal="left" vertical="top"/>
    </xf>
    <xf numFmtId="0" fontId="1" fillId="0" borderId="38" applyAlignment="1" pivotButton="0" quotePrefix="0" xfId="0">
      <alignment horizontal="left" vertical="top"/>
    </xf>
    <xf numFmtId="0" fontId="1" fillId="0" borderId="37" applyAlignment="1" pivotButton="0" quotePrefix="0" xfId="0">
      <alignment horizontal="left" vertical="top"/>
    </xf>
    <xf numFmtId="0" fontId="0" fillId="0" borderId="36" applyAlignment="1" pivotButton="0" quotePrefix="0" xfId="0">
      <alignment horizontal="left" vertical="top"/>
    </xf>
    <xf numFmtId="0" fontId="0" fillId="0" borderId="4" applyAlignment="1" pivotButton="0" quotePrefix="0" xfId="1">
      <alignment horizontal="left" vertical="top" wrapText="1"/>
    </xf>
    <xf numFmtId="0" fontId="1" fillId="0" borderId="5" applyAlignment="1" pivotButton="0" quotePrefix="0" xfId="1">
      <alignment horizontal="left" vertical="top"/>
    </xf>
    <xf numFmtId="0" fontId="1" fillId="0" borderId="6" applyAlignment="1" pivotButton="0" quotePrefix="0" xfId="1">
      <alignment horizontal="left" vertical="top"/>
    </xf>
    <xf numFmtId="0" fontId="1" fillId="0" borderId="21" applyAlignment="1" pivotButton="0" quotePrefix="0" xfId="1">
      <alignment horizontal="left" vertical="top"/>
    </xf>
    <xf numFmtId="0" fontId="1" fillId="0" borderId="0" applyAlignment="1" pivotButton="0" quotePrefix="0" xfId="1">
      <alignment horizontal="left" vertical="top"/>
    </xf>
    <xf numFmtId="0" fontId="1" fillId="0" borderId="22" applyAlignment="1" pivotButton="0" quotePrefix="0" xfId="1">
      <alignment horizontal="left" vertical="top"/>
    </xf>
    <xf numFmtId="0" fontId="1" fillId="0" borderId="7" applyAlignment="1" pivotButton="0" quotePrefix="0" xfId="1">
      <alignment horizontal="left" vertical="top"/>
    </xf>
    <xf numFmtId="0" fontId="1" fillId="0" borderId="8" applyAlignment="1" pivotButton="0" quotePrefix="0" xfId="1">
      <alignment horizontal="left" vertical="top"/>
    </xf>
    <xf numFmtId="0" fontId="1" fillId="0" borderId="9" applyAlignment="1" pivotButton="0" quotePrefix="0" xfId="1">
      <alignment horizontal="left" vertical="top"/>
    </xf>
    <xf numFmtId="14" fontId="0" fillId="0" borderId="1" applyAlignment="1" pivotButton="0" quotePrefix="0" xfId="0">
      <alignment horizontal="center" vertical="top"/>
    </xf>
    <xf numFmtId="14" fontId="0" fillId="0" borderId="2" applyAlignment="1" pivotButton="0" quotePrefix="0" xfId="0">
      <alignment horizontal="center" vertical="top"/>
    </xf>
    <xf numFmtId="14" fontId="0" fillId="0" borderId="3" applyAlignment="1" pivotButton="0" quotePrefix="0" xfId="0">
      <alignment horizontal="center" vertical="top"/>
    </xf>
    <xf numFmtId="0" fontId="1" fillId="0" borderId="36" applyAlignment="1" pivotButton="0" quotePrefix="0" xfId="0">
      <alignment horizontal="center" vertical="top"/>
    </xf>
    <xf numFmtId="0" fontId="1" fillId="0" borderId="37" applyAlignment="1" pivotButton="0" quotePrefix="0" xfId="0">
      <alignment horizontal="center" vertical="top"/>
    </xf>
    <xf numFmtId="14" fontId="1" fillId="0" borderId="36" applyAlignment="1" pivotButton="0" quotePrefix="1" xfId="0">
      <alignment horizontal="center" vertical="top"/>
    </xf>
    <xf numFmtId="14" fontId="1" fillId="0" borderId="38" applyAlignment="1" pivotButton="0" quotePrefix="1" xfId="0">
      <alignment horizontal="center" vertical="top"/>
    </xf>
    <xf numFmtId="14" fontId="1" fillId="0" borderId="37" applyAlignment="1" pivotButton="0" quotePrefix="1" xfId="0">
      <alignment horizontal="center" vertical="top"/>
    </xf>
    <xf numFmtId="0" fontId="1" fillId="0" borderId="38" applyAlignment="1" pivotButton="0" quotePrefix="0" xfId="0">
      <alignment horizontal="center" vertical="top"/>
    </xf>
    <xf numFmtId="0" fontId="1" fillId="2" borderId="1" applyAlignment="1" pivotButton="0" quotePrefix="0" xfId="1">
      <alignment horizontal="left" vertical="top"/>
    </xf>
    <xf numFmtId="0" fontId="1" fillId="2" borderId="2" applyAlignment="1" pivotButton="0" quotePrefix="0" xfId="1">
      <alignment horizontal="left" vertical="top"/>
    </xf>
    <xf numFmtId="0" fontId="1" fillId="2" borderId="3" applyAlignment="1" pivotButton="0" quotePrefix="0" xfId="1">
      <alignment horizontal="left" vertical="top"/>
    </xf>
    <xf numFmtId="0" fontId="16" fillId="2" borderId="4" applyAlignment="1" pivotButton="0" quotePrefix="0" xfId="1">
      <alignment horizontal="left" vertical="top"/>
    </xf>
    <xf numFmtId="0" fontId="16" fillId="2" borderId="5" applyAlignment="1" pivotButton="0" quotePrefix="0" xfId="1">
      <alignment horizontal="left" vertical="top"/>
    </xf>
    <xf numFmtId="0" fontId="16" fillId="2" borderId="6" applyAlignment="1" pivotButton="0" quotePrefix="0" xfId="1">
      <alignment horizontal="left" vertical="top"/>
    </xf>
    <xf numFmtId="0" fontId="16" fillId="2" borderId="21" applyAlignment="1" pivotButton="0" quotePrefix="0" xfId="1">
      <alignment horizontal="left" vertical="top"/>
    </xf>
    <xf numFmtId="0" fontId="16" fillId="2" borderId="0" applyAlignment="1" pivotButton="0" quotePrefix="0" xfId="1">
      <alignment horizontal="left" vertical="top"/>
    </xf>
    <xf numFmtId="0" fontId="16" fillId="2" borderId="22" applyAlignment="1" pivotButton="0" quotePrefix="0" xfId="1">
      <alignment horizontal="left" vertical="top"/>
    </xf>
    <xf numFmtId="0" fontId="16" fillId="2" borderId="7" applyAlignment="1" pivotButton="0" quotePrefix="0" xfId="1">
      <alignment horizontal="left" vertical="top"/>
    </xf>
    <xf numFmtId="0" fontId="16" fillId="2" borderId="8" applyAlignment="1" pivotButton="0" quotePrefix="0" xfId="1">
      <alignment horizontal="left" vertical="top"/>
    </xf>
    <xf numFmtId="0" fontId="16" fillId="2" borderId="9" applyAlignment="1" pivotButton="0" quotePrefix="0" xfId="1">
      <alignment horizontal="left" vertical="top"/>
    </xf>
    <xf numFmtId="0" fontId="1" fillId="2" borderId="1" applyAlignment="1" pivotButton="0" quotePrefix="0" xfId="1">
      <alignment horizontal="left"/>
    </xf>
    <xf numFmtId="0" fontId="1" fillId="2" borderId="3" applyAlignment="1" pivotButton="0" quotePrefix="0" xfId="1">
      <alignment horizontal="left"/>
    </xf>
    <xf numFmtId="165" fontId="1" fillId="0" borderId="1" applyAlignment="1" pivotButton="0" quotePrefix="0" xfId="0">
      <alignment horizontal="right" vertical="top"/>
    </xf>
    <xf numFmtId="165" fontId="1" fillId="0" borderId="2" applyAlignment="1" pivotButton="0" quotePrefix="0" xfId="0">
      <alignment horizontal="right" vertical="top"/>
    </xf>
    <xf numFmtId="165" fontId="1" fillId="0" borderId="3" applyAlignment="1" pivotButton="0" quotePrefix="0" xfId="0">
      <alignment horizontal="right" vertical="top"/>
    </xf>
    <xf numFmtId="0" fontId="1" fillId="0" borderId="1" applyAlignment="1" pivotButton="0" quotePrefix="0" xfId="2">
      <alignment horizontal="left" vertical="top"/>
    </xf>
    <xf numFmtId="0" fontId="1" fillId="0" borderId="4" applyAlignment="1" pivotButton="0" quotePrefix="0" xfId="1">
      <alignment horizontal="left" vertical="top" wrapText="1"/>
    </xf>
    <xf numFmtId="0" fontId="1" fillId="0" borderId="5" applyAlignment="1" pivotButton="0" quotePrefix="0" xfId="1">
      <alignment horizontal="left" vertical="top" wrapText="1"/>
    </xf>
    <xf numFmtId="0" fontId="1" fillId="0" borderId="6" applyAlignment="1" pivotButton="0" quotePrefix="0" xfId="1">
      <alignment horizontal="left" vertical="top" wrapText="1"/>
    </xf>
    <xf numFmtId="0" fontId="1" fillId="0" borderId="21" applyAlignment="1" pivotButton="0" quotePrefix="0" xfId="1">
      <alignment horizontal="left" vertical="top" wrapText="1"/>
    </xf>
    <xf numFmtId="0" fontId="1" fillId="0" borderId="0" applyAlignment="1" pivotButton="0" quotePrefix="0" xfId="1">
      <alignment horizontal="left" vertical="top" wrapText="1"/>
    </xf>
    <xf numFmtId="0" fontId="1" fillId="0" borderId="22" applyAlignment="1" pivotButton="0" quotePrefix="0" xfId="1">
      <alignment horizontal="left" vertical="top" wrapText="1"/>
    </xf>
    <xf numFmtId="0" fontId="1" fillId="0" borderId="7" applyAlignment="1" pivotButton="0" quotePrefix="0" xfId="1">
      <alignment horizontal="left" vertical="top" wrapText="1"/>
    </xf>
    <xf numFmtId="0" fontId="1" fillId="0" borderId="8" applyAlignment="1" pivotButton="0" quotePrefix="0" xfId="1">
      <alignment horizontal="left" vertical="top" wrapText="1"/>
    </xf>
    <xf numFmtId="0" fontId="1" fillId="0" borderId="9" applyAlignment="1" pivotButton="0" quotePrefix="0" xfId="1">
      <alignment horizontal="left" vertical="top" wrapText="1"/>
    </xf>
    <xf numFmtId="0" fontId="1" fillId="2" borderId="10" applyAlignment="1" pivotButton="0" quotePrefix="0" xfId="0">
      <alignment horizontal="left" vertical="top"/>
    </xf>
    <xf numFmtId="0" fontId="1" fillId="2" borderId="4" applyAlignment="1" pivotButton="0" quotePrefix="0" xfId="0">
      <alignment horizontal="left" vertical="top"/>
    </xf>
    <xf numFmtId="0" fontId="1" fillId="2" borderId="5" applyAlignment="1" pivotButton="0" quotePrefix="0" xfId="0">
      <alignment horizontal="left" vertical="top"/>
    </xf>
    <xf numFmtId="0" fontId="1" fillId="2" borderId="6" applyAlignment="1" pivotButton="0" quotePrefix="0" xfId="0">
      <alignment horizontal="left" vertical="top"/>
    </xf>
    <xf numFmtId="0" fontId="1" fillId="2" borderId="21" applyAlignment="1" pivotButton="0" quotePrefix="0" xfId="0">
      <alignment horizontal="left" vertical="top"/>
    </xf>
    <xf numFmtId="0" fontId="1" fillId="2" borderId="0" applyAlignment="1" pivotButton="0" quotePrefix="0" xfId="0">
      <alignment horizontal="left" vertical="top"/>
    </xf>
    <xf numFmtId="0" fontId="1" fillId="2" borderId="22" applyAlignment="1" pivotButton="0" quotePrefix="0" xfId="0">
      <alignment horizontal="left" vertical="top"/>
    </xf>
    <xf numFmtId="0" fontId="1" fillId="2" borderId="7" applyAlignment="1" pivotButton="0" quotePrefix="0" xfId="0">
      <alignment horizontal="left" vertical="top"/>
    </xf>
    <xf numFmtId="0" fontId="1" fillId="2" borderId="8" applyAlignment="1" pivotButton="0" quotePrefix="0" xfId="0">
      <alignment horizontal="left" vertical="top"/>
    </xf>
    <xf numFmtId="0" fontId="1" fillId="2" borderId="9" applyAlignment="1" pivotButton="0" quotePrefix="0" xfId="0">
      <alignment horizontal="left" vertical="top"/>
    </xf>
    <xf numFmtId="0" fontId="1" fillId="2" borderId="1" applyAlignment="1" pivotButton="0" quotePrefix="0" xfId="0">
      <alignment vertical="top"/>
    </xf>
    <xf numFmtId="0" fontId="1" fillId="0" borderId="2" applyAlignment="1" pivotButton="0" quotePrefix="0" xfId="0">
      <alignment vertical="top"/>
    </xf>
    <xf numFmtId="0" fontId="1" fillId="0" borderId="3" applyAlignment="1" pivotButton="0" quotePrefix="0" xfId="0">
      <alignment vertical="top"/>
    </xf>
    <xf numFmtId="0" fontId="1" fillId="0" borderId="2" applyAlignment="1" pivotButton="0" quotePrefix="0" xfId="0">
      <alignment horizontal="left" vertical="top"/>
    </xf>
    <xf numFmtId="0" fontId="1" fillId="4" borderId="1" applyAlignment="1" pivotButton="0" quotePrefix="0" xfId="0">
      <alignment horizontal="left" vertical="top"/>
    </xf>
    <xf numFmtId="0" fontId="1" fillId="4" borderId="2" applyAlignment="1" pivotButton="0" quotePrefix="0" xfId="0">
      <alignment horizontal="left" vertical="top"/>
    </xf>
    <xf numFmtId="0" fontId="1" fillId="4" borderId="3" applyAlignment="1" pivotButton="0" quotePrefix="0" xfId="0">
      <alignment horizontal="left" vertical="top"/>
    </xf>
    <xf numFmtId="0" fontId="1" fillId="0" borderId="3" applyAlignment="1" pivotButton="0" quotePrefix="0" xfId="0">
      <alignment horizontal="left" vertical="top"/>
    </xf>
    <xf numFmtId="0" fontId="0" fillId="0" borderId="1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49" fontId="0" fillId="0" borderId="10" applyAlignment="1" pivotButton="0" quotePrefix="0" xfId="0">
      <alignment vertical="center" wrapText="1"/>
    </xf>
    <xf numFmtId="0" fontId="1" fillId="2" borderId="3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1" fillId="2" borderId="31" applyAlignment="1" pivotButton="0" quotePrefix="0" xfId="0">
      <alignment vertical="top"/>
    </xf>
    <xf numFmtId="0" fontId="1" fillId="2" borderId="3" applyAlignment="1" pivotButton="0" quotePrefix="0" xfId="0">
      <alignment vertical="top"/>
    </xf>
    <xf numFmtId="49" fontId="0" fillId="0" borderId="10" applyAlignment="1" pivotButton="0" quotePrefix="0" xfId="0">
      <alignment horizontal="left" vertical="top" wrapText="1"/>
    </xf>
    <xf numFmtId="0" fontId="0" fillId="0" borderId="10" applyAlignment="1" pivotButton="0" quotePrefix="0" xfId="0">
      <alignment horizontal="left" vertical="top" wrapText="1"/>
    </xf>
    <xf numFmtId="0" fontId="0" fillId="2" borderId="27" applyAlignment="1" pivotButton="0" quotePrefix="0" xfId="0">
      <alignment vertical="center" wrapText="1"/>
    </xf>
    <xf numFmtId="0" fontId="1" fillId="2" borderId="17" applyAlignment="1" pivotButton="0" quotePrefix="0" xfId="0">
      <alignment vertical="center" wrapText="1"/>
    </xf>
    <xf numFmtId="0" fontId="1" fillId="2" borderId="18" applyAlignment="1" pivotButton="0" quotePrefix="0" xfId="0">
      <alignment vertical="center" wrapText="1"/>
    </xf>
    <xf numFmtId="0" fontId="1" fillId="2" borderId="1" applyAlignment="1" pivotButton="0" quotePrefix="0" xfId="0">
      <alignment horizontal="left" vertical="top"/>
    </xf>
    <xf numFmtId="0" fontId="1" fillId="2" borderId="2" applyAlignment="1" pivotButton="0" quotePrefix="0" xfId="0">
      <alignment horizontal="left" vertical="top"/>
    </xf>
    <xf numFmtId="0" fontId="1" fillId="2" borderId="3" applyAlignment="1" pivotButton="0" quotePrefix="0" xfId="0">
      <alignment horizontal="left" vertical="top"/>
    </xf>
    <xf numFmtId="0" fontId="1" fillId="0" borderId="28" applyAlignment="1" pivotButton="0" quotePrefix="0" xfId="0">
      <alignment vertical="top" wrapText="1"/>
    </xf>
    <xf numFmtId="0" fontId="1" fillId="0" borderId="19" applyAlignment="1" pivotButton="0" quotePrefix="0" xfId="0">
      <alignment vertical="top" wrapText="1"/>
    </xf>
    <xf numFmtId="0" fontId="1" fillId="0" borderId="20" applyAlignment="1" pivotButton="0" quotePrefix="0" xfId="0">
      <alignment vertical="top" wrapText="1"/>
    </xf>
    <xf numFmtId="0" fontId="1" fillId="5" borderId="1" applyAlignment="1" pivotButton="0" quotePrefix="0" xfId="0">
      <alignment horizontal="left" vertical="top"/>
    </xf>
    <xf numFmtId="0" fontId="1" fillId="5" borderId="2" applyAlignment="1" pivotButton="0" quotePrefix="0" xfId="0">
      <alignment horizontal="left" vertical="top"/>
    </xf>
    <xf numFmtId="0" fontId="1" fillId="5" borderId="3" applyAlignment="1" pivotButton="0" quotePrefix="0" xfId="0">
      <alignment horizontal="left" vertical="top"/>
    </xf>
    <xf numFmtId="0" fontId="1" fillId="5" borderId="1" pivotButton="0" quotePrefix="0" xfId="0"/>
    <xf numFmtId="0" fontId="1" fillId="5" borderId="2" pivotButton="0" quotePrefix="0" xfId="0"/>
    <xf numFmtId="0" fontId="1" fillId="5" borderId="3" pivotButton="0" quotePrefix="0" xfId="0"/>
    <xf numFmtId="0" fontId="1" fillId="4" borderId="29" applyAlignment="1" pivotButton="0" quotePrefix="0" xfId="0">
      <alignment vertical="top" wrapText="1"/>
    </xf>
    <xf numFmtId="0" fontId="1" fillId="4" borderId="11" applyAlignment="1" pivotButton="0" quotePrefix="0" xfId="0">
      <alignment vertical="top" wrapText="1"/>
    </xf>
    <xf numFmtId="0" fontId="1" fillId="4" borderId="4" applyAlignment="1" pivotButton="0" quotePrefix="0" xfId="0">
      <alignment horizontal="left" vertical="top"/>
    </xf>
    <xf numFmtId="0" fontId="1" fillId="4" borderId="5" applyAlignment="1" pivotButton="0" quotePrefix="0" xfId="0">
      <alignment horizontal="left" vertical="top"/>
    </xf>
    <xf numFmtId="0" fontId="1" fillId="4" borderId="6" applyAlignment="1" pivotButton="0" quotePrefix="0" xfId="0">
      <alignment horizontal="left" vertical="top"/>
    </xf>
    <xf numFmtId="0" fontId="1" fillId="4" borderId="7" applyAlignment="1" pivotButton="0" quotePrefix="0" xfId="0">
      <alignment horizontal="left" vertical="top"/>
    </xf>
    <xf numFmtId="0" fontId="1" fillId="4" borderId="8" applyAlignment="1" pivotButton="0" quotePrefix="0" xfId="0">
      <alignment horizontal="left" vertical="top"/>
    </xf>
    <xf numFmtId="0" fontId="1" fillId="4" borderId="9" applyAlignment="1" pivotButton="0" quotePrefix="0" xfId="0">
      <alignment horizontal="left" vertical="top"/>
    </xf>
    <xf numFmtId="0" fontId="1" fillId="4" borderId="1" applyAlignment="1" pivotButton="0" quotePrefix="0" xfId="0">
      <alignment horizontal="center" vertical="top"/>
    </xf>
    <xf numFmtId="0" fontId="1" fillId="4" borderId="3" applyAlignment="1" pivotButton="0" quotePrefix="0" xfId="0">
      <alignment horizontal="center" vertical="top"/>
    </xf>
    <xf numFmtId="0" fontId="16" fillId="0" borderId="1" applyAlignment="1" pivotButton="0" quotePrefix="0" xfId="0">
      <alignment vertical="top" wrapText="1"/>
    </xf>
    <xf numFmtId="0" fontId="16" fillId="0" borderId="2" applyAlignment="1" pivotButton="0" quotePrefix="0" xfId="0">
      <alignment vertical="top" wrapText="1"/>
    </xf>
    <xf numFmtId="0" fontId="16" fillId="0" borderId="3" applyAlignment="1" pivotButton="0" quotePrefix="0" xfId="0">
      <alignment vertical="top" wrapText="1"/>
    </xf>
    <xf numFmtId="0" fontId="0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0" fillId="2" borderId="1" applyAlignment="1" pivotButton="0" quotePrefix="0" xfId="0">
      <alignment vertical="top" wrapText="1"/>
    </xf>
    <xf numFmtId="0" fontId="0" fillId="2" borderId="2" applyAlignment="1" pivotButton="0" quotePrefix="0" xfId="0">
      <alignment vertical="top" wrapText="1"/>
    </xf>
    <xf numFmtId="0" fontId="0" fillId="2" borderId="3" applyAlignment="1" pivotButton="0" quotePrefix="0" xfId="0">
      <alignment vertical="top" wrapText="1"/>
    </xf>
    <xf numFmtId="0" fontId="1" fillId="0" borderId="2" applyAlignment="1" pivotButton="0" quotePrefix="0" xfId="0">
      <alignment vertical="top" wrapText="1"/>
    </xf>
    <xf numFmtId="0" fontId="1" fillId="0" borderId="3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top"/>
    </xf>
    <xf numFmtId="49" fontId="1" fillId="2" borderId="2" applyAlignment="1" pivotButton="0" quotePrefix="0" xfId="0">
      <alignment horizontal="left" vertical="top"/>
    </xf>
    <xf numFmtId="49" fontId="1" fillId="2" borderId="3" applyAlignment="1" pivotButton="0" quotePrefix="0" xfId="0">
      <alignment horizontal="left" vertical="top"/>
    </xf>
    <xf numFmtId="0" fontId="0" fillId="7" borderId="1" applyAlignment="1" pivotButton="0" quotePrefix="0" xfId="0">
      <alignment horizontal="left" vertical="top" wrapText="1"/>
    </xf>
    <xf numFmtId="0" fontId="1" fillId="7" borderId="2" applyAlignment="1" pivotButton="0" quotePrefix="0" xfId="0">
      <alignment horizontal="left" vertical="top" wrapText="1"/>
    </xf>
    <xf numFmtId="0" fontId="1" fillId="7" borderId="3" applyAlignment="1" pivotButton="0" quotePrefix="0" xfId="0">
      <alignment horizontal="left" vertical="top" wrapText="1"/>
    </xf>
    <xf numFmtId="0" fontId="1" fillId="7" borderId="28" applyAlignment="1" pivotButton="0" quotePrefix="0" xfId="0">
      <alignment vertical="top" wrapText="1"/>
    </xf>
    <xf numFmtId="0" fontId="1" fillId="7" borderId="19" applyAlignment="1" pivotButton="0" quotePrefix="0" xfId="0">
      <alignment vertical="top" wrapText="1"/>
    </xf>
    <xf numFmtId="0" fontId="1" fillId="7" borderId="20" applyAlignment="1" pivotButton="0" quotePrefix="0" xfId="0">
      <alignment vertical="top" wrapText="1"/>
    </xf>
    <xf numFmtId="0" fontId="0" fillId="0" borderId="4" applyAlignment="1" pivotButton="0" quotePrefix="0" xfId="0">
      <alignment horizontal="left" vertical="top"/>
    </xf>
    <xf numFmtId="0" fontId="1" fillId="0" borderId="5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1" fillId="0" borderId="21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/>
    </xf>
    <xf numFmtId="0" fontId="1" fillId="0" borderId="22" applyAlignment="1" pivotButton="0" quotePrefix="0" xfId="0">
      <alignment horizontal="left" vertical="top"/>
    </xf>
    <xf numFmtId="0" fontId="1" fillId="4" borderId="29" applyAlignment="1" pivotButton="0" quotePrefix="0" xfId="0">
      <alignment vertical="top"/>
    </xf>
    <xf numFmtId="0" fontId="1" fillId="4" borderId="11" applyAlignment="1" pivotButton="0" quotePrefix="0" xfId="0">
      <alignment vertical="top"/>
    </xf>
    <xf numFmtId="0" fontId="1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0" fontId="1" fillId="0" borderId="1" applyAlignment="1" pivotButton="0" quotePrefix="0" xfId="0">
      <alignment horizontal="left" vertical="top" wrapText="1"/>
    </xf>
    <xf numFmtId="0" fontId="1" fillId="5" borderId="1" applyAlignment="1" pivotButton="0" quotePrefix="0" xfId="0">
      <alignment vertical="top"/>
    </xf>
    <xf numFmtId="0" fontId="1" fillId="5" borderId="2" applyAlignment="1" pivotButton="0" quotePrefix="0" xfId="0">
      <alignment vertical="top"/>
    </xf>
    <xf numFmtId="0" fontId="1" fillId="5" borderId="3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1" fillId="3" borderId="2" applyAlignment="1" pivotButton="0" quotePrefix="0" xfId="0">
      <alignment vertical="top" wrapText="1"/>
    </xf>
    <xf numFmtId="0" fontId="1" fillId="3" borderId="3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1" fillId="6" borderId="2" applyAlignment="1" pivotButton="0" quotePrefix="0" xfId="0">
      <alignment vertical="top"/>
    </xf>
    <xf numFmtId="0" fontId="1" fillId="6" borderId="3" applyAlignment="1" pivotButton="0" quotePrefix="0" xfId="0">
      <alignment vertical="top"/>
    </xf>
    <xf numFmtId="0" fontId="1" fillId="2" borderId="29" applyAlignment="1" pivotButton="0" quotePrefix="0" xfId="0">
      <alignment horizontal="left" vertical="top"/>
    </xf>
    <xf numFmtId="0" fontId="1" fillId="2" borderId="32" applyAlignment="1" pivotButton="0" quotePrefix="0" xfId="0">
      <alignment horizontal="left" vertical="top"/>
    </xf>
    <xf numFmtId="0" fontId="1" fillId="2" borderId="11" applyAlignment="1" pivotButton="0" quotePrefix="0" xfId="0">
      <alignment horizontal="left" vertical="top"/>
    </xf>
    <xf numFmtId="165" fontId="1" fillId="0" borderId="1" applyAlignment="1" pivotButton="0" quotePrefix="0" xfId="0">
      <alignment horizontal="right"/>
    </xf>
    <xf numFmtId="165" fontId="1" fillId="0" borderId="2" applyAlignment="1" pivotButton="0" quotePrefix="0" xfId="0">
      <alignment horizontal="right"/>
    </xf>
    <xf numFmtId="165" fontId="1" fillId="0" borderId="3" applyAlignment="1" pivotButton="0" quotePrefix="0" xfId="0">
      <alignment horizontal="right"/>
    </xf>
    <xf numFmtId="0" fontId="1" fillId="2" borderId="1" applyAlignment="1" pivotButton="0" quotePrefix="0" xfId="1">
      <alignment vertical="top"/>
    </xf>
    <xf numFmtId="0" fontId="1" fillId="2" borderId="2" applyAlignment="1" pivotButton="0" quotePrefix="0" xfId="1">
      <alignment vertical="top"/>
    </xf>
    <xf numFmtId="0" fontId="1" fillId="2" borderId="3" applyAlignment="1" pivotButton="0" quotePrefix="0" xfId="1">
      <alignment vertical="top"/>
    </xf>
    <xf numFmtId="0" fontId="1" fillId="2" borderId="14" applyAlignment="1" pivotButton="0" quotePrefix="0" xfId="0">
      <alignment vertical="center"/>
    </xf>
    <xf numFmtId="0" fontId="0" fillId="3" borderId="13" applyAlignment="1" pivotButton="0" quotePrefix="0" xfId="0">
      <alignment vertical="top" wrapText="1"/>
    </xf>
    <xf numFmtId="0" fontId="1" fillId="3" borderId="13" applyAlignment="1" pivotButton="0" quotePrefix="0" xfId="0">
      <alignment vertical="top" wrapText="1"/>
    </xf>
    <xf numFmtId="0" fontId="0" fillId="0" borderId="10" applyAlignment="1" pivotButton="0" quotePrefix="0" xfId="0">
      <alignment vertical="top" wrapText="1"/>
    </xf>
    <xf numFmtId="0" fontId="0" fillId="2" borderId="4" applyAlignment="1" pivotButton="0" quotePrefix="0" xfId="0">
      <alignment horizontal="left" vertical="top" wrapText="1"/>
    </xf>
    <xf numFmtId="0" fontId="1" fillId="2" borderId="5" applyAlignment="1" pivotButton="0" quotePrefix="0" xfId="0">
      <alignment horizontal="left" vertical="top" wrapText="1"/>
    </xf>
    <xf numFmtId="0" fontId="1" fillId="2" borderId="6" applyAlignment="1" pivotButton="0" quotePrefix="0" xfId="0">
      <alignment horizontal="left" vertical="top" wrapText="1"/>
    </xf>
    <xf numFmtId="0" fontId="1" fillId="2" borderId="7" applyAlignment="1" pivotButton="0" quotePrefix="0" xfId="0">
      <alignment horizontal="left" vertical="top" wrapText="1"/>
    </xf>
    <xf numFmtId="0" fontId="1" fillId="2" borderId="8" applyAlignment="1" pivotButton="0" quotePrefix="0" xfId="0">
      <alignment horizontal="left" vertical="top" wrapText="1"/>
    </xf>
    <xf numFmtId="0" fontId="1" fillId="2" borderId="9" applyAlignment="1" pivotButton="0" quotePrefix="0" xfId="0">
      <alignment horizontal="left" vertical="top" wrapText="1"/>
    </xf>
    <xf numFmtId="0" fontId="1" fillId="0" borderId="13" applyAlignment="1" pivotButton="0" quotePrefix="0" xfId="0">
      <alignment vertical="top" wrapText="1"/>
    </xf>
    <xf numFmtId="0" fontId="0" fillId="0" borderId="13" applyAlignment="1" pivotButton="0" quotePrefix="0" xfId="0">
      <alignment vertical="top" wrapText="1"/>
    </xf>
    <xf numFmtId="0" fontId="1" fillId="2" borderId="4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/>
    </xf>
    <xf numFmtId="0" fontId="0" fillId="5" borderId="2" applyAlignment="1" pivotButton="0" quotePrefix="0" xfId="0">
      <alignment horizontal="left" vertical="top"/>
    </xf>
    <xf numFmtId="0" fontId="0" fillId="5" borderId="3" applyAlignment="1" pivotButton="0" quotePrefix="0" xfId="0">
      <alignment horizontal="left" vertical="top"/>
    </xf>
    <xf numFmtId="0" fontId="0" fillId="5" borderId="1" pivotButton="0" quotePrefix="0" xfId="0"/>
    <xf numFmtId="0" fontId="0" fillId="5" borderId="2" pivotButton="0" quotePrefix="0" xfId="0"/>
    <xf numFmtId="0" fontId="0" fillId="5" borderId="3" pivotButton="0" quotePrefix="0" xfId="0"/>
    <xf numFmtId="0" fontId="0" fillId="0" borderId="5" applyAlignment="1" pivotButton="0" quotePrefix="0" xfId="0">
      <alignment horizontal="left" vertical="top"/>
    </xf>
    <xf numFmtId="0" fontId="0" fillId="0" borderId="6" applyAlignment="1" pivotButton="0" quotePrefix="0" xfId="0">
      <alignment horizontal="left" vertical="top"/>
    </xf>
    <xf numFmtId="0" fontId="0" fillId="0" borderId="2" pivotButton="0" quotePrefix="0" xfId="0"/>
    <xf numFmtId="0" fontId="0" fillId="0" borderId="3" pivotButton="0" quotePrefix="0" xfId="0"/>
    <xf numFmtId="49" fontId="0" fillId="2" borderId="1" applyAlignment="1" pivotButton="0" quotePrefix="0" xfId="0">
      <alignment horizontal="left" vertical="top"/>
    </xf>
    <xf numFmtId="49" fontId="0" fillId="2" borderId="2" applyAlignment="1" pivotButton="0" quotePrefix="0" xfId="0">
      <alignment horizontal="left" vertical="top"/>
    </xf>
    <xf numFmtId="49" fontId="0" fillId="2" borderId="3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top"/>
    </xf>
    <xf numFmtId="0" fontId="0" fillId="5" borderId="1" applyAlignment="1" pivotButton="0" quotePrefix="0" xfId="0">
      <alignment horizontal="center" vertical="top"/>
    </xf>
    <xf numFmtId="0" fontId="0" fillId="5" borderId="2" applyAlignment="1" pivotButton="0" quotePrefix="0" xfId="0">
      <alignment horizontal="center" vertical="top"/>
    </xf>
    <xf numFmtId="0" fontId="0" fillId="5" borderId="3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0" fillId="3" borderId="4" applyAlignment="1" pivotButton="0" quotePrefix="0" xfId="0">
      <alignment horizontal="left" vertical="top" wrapText="1"/>
    </xf>
    <xf numFmtId="0" fontId="0" fillId="3" borderId="5" applyAlignment="1" pivotButton="0" quotePrefix="0" xfId="0">
      <alignment horizontal="left" vertical="top" wrapText="1"/>
    </xf>
    <xf numFmtId="0" fontId="0" fillId="3" borderId="6" applyAlignment="1" pivotButton="0" quotePrefix="0" xfId="0">
      <alignment horizontal="left" vertical="top" wrapText="1"/>
    </xf>
    <xf numFmtId="0" fontId="0" fillId="3" borderId="21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0" fontId="0" fillId="3" borderId="22" applyAlignment="1" pivotButton="0" quotePrefix="0" xfId="0">
      <alignment horizontal="left" vertical="top" wrapText="1"/>
    </xf>
    <xf numFmtId="0" fontId="0" fillId="3" borderId="7" applyAlignment="1" pivotButton="0" quotePrefix="0" xfId="0">
      <alignment horizontal="left" vertical="top" wrapText="1"/>
    </xf>
    <xf numFmtId="0" fontId="0" fillId="3" borderId="8" applyAlignment="1" pivotButton="0" quotePrefix="0" xfId="0">
      <alignment horizontal="left" vertical="top" wrapText="1"/>
    </xf>
    <xf numFmtId="0" fontId="0" fillId="3" borderId="9" applyAlignment="1" pivotButton="0" quotePrefix="0" xfId="0">
      <alignment horizontal="left" vertical="top" wrapText="1"/>
    </xf>
    <xf numFmtId="0" fontId="1" fillId="0" borderId="28" applyAlignment="1" pivotButton="0" quotePrefix="0" xfId="0">
      <alignment horizontal="left" vertical="top" wrapText="1"/>
    </xf>
    <xf numFmtId="0" fontId="1" fillId="0" borderId="19" applyAlignment="1" pivotButton="0" quotePrefix="0" xfId="0">
      <alignment horizontal="left" vertical="top" wrapText="1"/>
    </xf>
    <xf numFmtId="0" fontId="1" fillId="0" borderId="20" applyAlignment="1" pivotButton="0" quotePrefix="0" xfId="0">
      <alignment horizontal="left" vertical="top" wrapText="1"/>
    </xf>
    <xf numFmtId="0" fontId="0" fillId="2" borderId="14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17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1" fillId="0" borderId="34" applyAlignment="1" pivotButton="0" quotePrefix="0" xfId="0">
      <alignment vertical="top" wrapText="1"/>
    </xf>
    <xf numFmtId="0" fontId="0" fillId="2" borderId="5" applyAlignment="1" pivotButton="0" quotePrefix="0" xfId="0">
      <alignment horizontal="left" vertical="top" wrapText="1"/>
    </xf>
    <xf numFmtId="0" fontId="0" fillId="2" borderId="6" applyAlignment="1" pivotButton="0" quotePrefix="0" xfId="0">
      <alignment horizontal="left" vertical="top" wrapText="1"/>
    </xf>
    <xf numFmtId="0" fontId="0" fillId="2" borderId="7" applyAlignment="1" pivotButton="0" quotePrefix="0" xfId="0">
      <alignment horizontal="left" vertical="top" wrapText="1"/>
    </xf>
    <xf numFmtId="0" fontId="0" fillId="2" borderId="8" applyAlignment="1" pivotButton="0" quotePrefix="0" xfId="0">
      <alignment horizontal="left" vertical="top" wrapText="1"/>
    </xf>
    <xf numFmtId="0" fontId="0" fillId="2" borderId="9" applyAlignment="1" pivotButton="0" quotePrefix="0" xfId="0">
      <alignment horizontal="left" vertical="top" wrapText="1"/>
    </xf>
    <xf numFmtId="0" fontId="0" fillId="2" borderId="29" applyAlignment="1" pivotButton="0" quotePrefix="0" xfId="0">
      <alignment horizontal="left" vertical="top"/>
    </xf>
    <xf numFmtId="0" fontId="0" fillId="2" borderId="32" applyAlignment="1" pivotButton="0" quotePrefix="0" xfId="0">
      <alignment horizontal="left" vertical="top"/>
    </xf>
    <xf numFmtId="0" fontId="0" fillId="2" borderId="11" applyAlignment="1" pivotButton="0" quotePrefix="0" xfId="0">
      <alignment horizontal="left" vertical="top"/>
    </xf>
    <xf numFmtId="49" fontId="1" fillId="0" borderId="10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top" wrapText="1"/>
    </xf>
    <xf numFmtId="0" fontId="0" fillId="2" borderId="4" applyAlignment="1" pivotButton="0" quotePrefix="0" xfId="0">
      <alignment horizontal="left" vertical="top"/>
    </xf>
    <xf numFmtId="0" fontId="0" fillId="2" borderId="5" applyAlignment="1" pivotButton="0" quotePrefix="0" xfId="0">
      <alignment horizontal="left" vertical="top"/>
    </xf>
    <xf numFmtId="0" fontId="0" fillId="2" borderId="6" applyAlignment="1" pivotButton="0" quotePrefix="0" xfId="0">
      <alignment horizontal="left" vertical="top"/>
    </xf>
    <xf numFmtId="0" fontId="0" fillId="2" borderId="7" applyAlignment="1" pivotButton="0" quotePrefix="0" xfId="0">
      <alignment horizontal="left" vertical="top"/>
    </xf>
    <xf numFmtId="0" fontId="0" fillId="2" borderId="8" applyAlignment="1" pivotButton="0" quotePrefix="0" xfId="0">
      <alignment horizontal="left" vertical="top"/>
    </xf>
    <xf numFmtId="0" fontId="0" fillId="2" borderId="9" applyAlignment="1" pivotButton="0" quotePrefix="0" xfId="0">
      <alignment horizontal="left" vertical="top"/>
    </xf>
    <xf numFmtId="0" fontId="1" fillId="0" borderId="35" applyAlignment="1" pivotButton="0" quotePrefix="0" xfId="0">
      <alignment vertical="center" wrapText="1"/>
    </xf>
    <xf numFmtId="0" fontId="1" fillId="2" borderId="1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left" vertical="top" wrapText="1"/>
    </xf>
    <xf numFmtId="0" fontId="0" fillId="2" borderId="1" applyAlignment="1" pivotButton="0" quotePrefix="0" xfId="0">
      <alignment horizontal="left" vertical="top"/>
    </xf>
    <xf numFmtId="0" fontId="0" fillId="2" borderId="2" applyAlignment="1" pivotButton="0" quotePrefix="0" xfId="0">
      <alignment horizontal="left" vertical="top"/>
    </xf>
    <xf numFmtId="0" fontId="0" fillId="2" borderId="3" applyAlignment="1" pivotButton="0" quotePrefix="0" xfId="0">
      <alignment horizontal="left" vertical="top"/>
    </xf>
    <xf numFmtId="0" fontId="0" fillId="2" borderId="27" applyAlignment="1" pivotButton="0" quotePrefix="0" xfId="0">
      <alignment horizontal="left" vertical="top" wrapText="1"/>
    </xf>
    <xf numFmtId="0" fontId="0" fillId="2" borderId="17" applyAlignment="1" pivotButton="0" quotePrefix="0" xfId="0">
      <alignment horizontal="left" vertical="top" wrapText="1"/>
    </xf>
    <xf numFmtId="0" fontId="0" fillId="2" borderId="18" applyAlignment="1" pivotButton="0" quotePrefix="0" xfId="0">
      <alignment horizontal="left" vertical="top" wrapText="1"/>
    </xf>
    <xf numFmtId="164" fontId="8" fillId="0" borderId="0" applyAlignment="1" pivotButton="0" quotePrefix="1" xfId="1">
      <alignment horizontal="center"/>
    </xf>
    <xf numFmtId="0" fontId="1" fillId="2" borderId="10" applyAlignment="1" pivotButton="0" quotePrefix="0" xfId="1">
      <alignment horizontal="left" vertical="top"/>
    </xf>
    <xf numFmtId="0" fontId="0" fillId="0" borderId="10" applyAlignment="1" pivotButton="0" quotePrefix="0" xfId="2">
      <alignment horizontal="left" vertical="top"/>
    </xf>
    <xf numFmtId="0" fontId="16" fillId="2" borderId="10" applyAlignment="1" pivotButton="0" quotePrefix="0" xfId="1">
      <alignment horizontal="left" vertical="top"/>
    </xf>
    <xf numFmtId="0" fontId="0" fillId="0" borderId="5" pivotButton="0" quotePrefix="0" xfId="0"/>
    <xf numFmtId="0" fontId="0" fillId="0" borderId="6" pivotButton="0" quotePrefix="0" xfId="0"/>
    <xf numFmtId="0" fontId="0" fillId="0" borderId="10" applyAlignment="1" pivotButton="0" quotePrefix="0" xfId="1">
      <alignment horizontal="left" vertical="top" wrapText="1"/>
    </xf>
    <xf numFmtId="14" fontId="1" fillId="0" borderId="10" applyAlignment="1" pivotButton="0" quotePrefix="0" xfId="1">
      <alignment horizontal="left" vertical="top"/>
    </xf>
    <xf numFmtId="165" fontId="1" fillId="0" borderId="10" applyAlignment="1" pivotButton="0" quotePrefix="0" xfId="3">
      <alignment horizontal="right"/>
    </xf>
    <xf numFmtId="0" fontId="0" fillId="0" borderId="21" pivotButton="0" quotePrefix="0" xfId="0"/>
    <xf numFmtId="0" fontId="0" fillId="0" borderId="22" pivotButton="0" quotePrefix="0" xfId="0"/>
    <xf numFmtId="0" fontId="1" fillId="0" borderId="10" applyAlignment="1" pivotButton="0" quotePrefix="0" xfId="1">
      <alignment horizontal="left" vertical="top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2" borderId="10" applyAlignment="1" pivotButton="0" quotePrefix="0" xfId="1">
      <alignment horizontal="left"/>
    </xf>
    <xf numFmtId="14" fontId="0" fillId="0" borderId="10" applyAlignment="1" pivotButton="0" quotePrefix="0" xfId="1">
      <alignment horizontal="left" vertical="top"/>
    </xf>
    <xf numFmtId="0" fontId="0" fillId="0" borderId="25" pivotButton="0" quotePrefix="0" xfId="0"/>
    <xf numFmtId="0" fontId="0" fillId="0" borderId="26" pivotButton="0" quotePrefix="0" xfId="0"/>
    <xf numFmtId="0" fontId="1" fillId="0" borderId="39" applyAlignment="1" pivotButton="0" quotePrefix="0" xfId="0">
      <alignment horizontal="center" vertical="top"/>
    </xf>
    <xf numFmtId="0" fontId="0" fillId="0" borderId="37" pivotButton="0" quotePrefix="0" xfId="0"/>
    <xf numFmtId="14" fontId="1" fillId="0" borderId="39" applyAlignment="1" pivotButton="0" quotePrefix="1" xfId="0">
      <alignment horizontal="center" vertical="top"/>
    </xf>
    <xf numFmtId="0" fontId="0" fillId="0" borderId="38" pivotButton="0" quotePrefix="0" xfId="0"/>
    <xf numFmtId="0" fontId="1" fillId="0" borderId="39" applyAlignment="1" pivotButton="0" quotePrefix="0" xfId="0">
      <alignment horizontal="left" vertical="top"/>
    </xf>
    <xf numFmtId="0" fontId="1" fillId="0" borderId="39" applyAlignment="1" pivotButton="0" quotePrefix="0" xfId="0">
      <alignment horizontal="left" vertical="top" wrapText="1"/>
    </xf>
    <xf numFmtId="0" fontId="0" fillId="0" borderId="39" applyAlignment="1" pivotButton="0" quotePrefix="0" xfId="0">
      <alignment horizontal="left" vertical="top"/>
    </xf>
    <xf numFmtId="14" fontId="0" fillId="0" borderId="10" applyAlignment="1" pivotButton="0" quotePrefix="0" xfId="0">
      <alignment horizontal="center" vertical="top"/>
    </xf>
    <xf numFmtId="0" fontId="0" fillId="0" borderId="10" applyAlignment="1" pivotButton="0" quotePrefix="0" xfId="0">
      <alignment horizontal="left" vertical="top"/>
    </xf>
    <xf numFmtId="0" fontId="1" fillId="0" borderId="10" applyAlignment="1" pivotButton="0" quotePrefix="0" xfId="2">
      <alignment horizontal="left" vertical="top"/>
    </xf>
    <xf numFmtId="0" fontId="1" fillId="0" borderId="10" applyAlignment="1" pivotButton="0" quotePrefix="0" xfId="1">
      <alignment horizontal="left" vertical="top" wrapText="1"/>
    </xf>
    <xf numFmtId="165" fontId="1" fillId="0" borderId="10" applyAlignment="1" pivotButton="0" quotePrefix="0" xfId="0">
      <alignment horizontal="right" vertical="top"/>
    </xf>
    <xf numFmtId="0" fontId="1" fillId="4" borderId="10" applyAlignment="1" pivotButton="0" quotePrefix="0" xfId="0">
      <alignment horizontal="left" vertical="top"/>
    </xf>
    <xf numFmtId="0" fontId="1" fillId="2" borderId="10" applyAlignment="1" pivotButton="0" quotePrefix="0" xfId="1">
      <alignment vertical="top"/>
    </xf>
    <xf numFmtId="165" fontId="1" fillId="0" borderId="1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32" pivotButton="0" quotePrefix="0" xfId="0"/>
    <xf numFmtId="0" fontId="1" fillId="2" borderId="10" applyAlignment="1" pivotButton="0" quotePrefix="0" xfId="0">
      <alignment horizontal="left" vertical="top" wrapText="1"/>
    </xf>
    <xf numFmtId="0" fontId="0" fillId="2" borderId="10" applyAlignment="1" pivotButton="0" quotePrefix="0" xfId="0">
      <alignment horizontal="left" vertical="top" wrapText="1"/>
    </xf>
    <xf numFmtId="0" fontId="0" fillId="0" borderId="11" pivotButton="0" quotePrefix="0" xfId="0"/>
    <xf numFmtId="0" fontId="1" fillId="5" borderId="10" applyAlignment="1" pivotButton="0" quotePrefix="0" xfId="0">
      <alignment horizontal="left" vertical="top"/>
    </xf>
    <xf numFmtId="0" fontId="0" fillId="6" borderId="10" applyAlignment="1" pivotButton="0" quotePrefix="0" xfId="0">
      <alignment vertical="top" wrapText="1"/>
    </xf>
    <xf numFmtId="0" fontId="1" fillId="0" borderId="10" applyAlignment="1" pivotButton="0" quotePrefix="0" xfId="0">
      <alignment horizontal="left" vertical="top"/>
    </xf>
    <xf numFmtId="0" fontId="1" fillId="4" borderId="10" applyAlignment="1" pivotButton="0" quotePrefix="0" xfId="0">
      <alignment vertical="top"/>
    </xf>
    <xf numFmtId="0" fontId="1" fillId="4" borderId="10" applyAlignment="1" pivotButton="0" quotePrefix="0" xfId="0">
      <alignment vertical="top" wrapText="1"/>
    </xf>
    <xf numFmtId="0" fontId="1" fillId="0" borderId="10" applyAlignment="1" pivotButton="0" quotePrefix="0" xfId="0">
      <alignment horizontal="center" vertical="center"/>
    </xf>
    <xf numFmtId="0" fontId="1" fillId="2" borderId="45" applyAlignment="1" pivotButton="0" quotePrefix="0" xfId="0">
      <alignment vertical="top"/>
    </xf>
    <xf numFmtId="0" fontId="0" fillId="0" borderId="31" pivotButton="0" quotePrefix="0" xfId="0"/>
    <xf numFmtId="0" fontId="1" fillId="2" borderId="46" applyAlignment="1" pivotButton="0" quotePrefix="0" xfId="0">
      <alignment vertical="top"/>
    </xf>
    <xf numFmtId="0" fontId="0" fillId="2" borderId="12" applyAlignment="1" pivotButton="0" quotePrefix="0" xfId="0">
      <alignment vertical="center" wrapText="1"/>
    </xf>
    <xf numFmtId="0" fontId="1" fillId="0" borderId="44" applyAlignment="1" pivotButton="0" quotePrefix="0" xfId="0">
      <alignment vertical="top" wrapText="1"/>
    </xf>
    <xf numFmtId="0" fontId="0" fillId="7" borderId="10" applyAlignment="1" pivotButton="0" quotePrefix="0" xfId="0">
      <alignment horizontal="left" vertical="top" wrapText="1"/>
    </xf>
    <xf numFmtId="0" fontId="1" fillId="7" borderId="44" applyAlignment="1" pivotButton="0" quotePrefix="0" xfId="0">
      <alignment vertical="top" wrapText="1"/>
    </xf>
    <xf numFmtId="0" fontId="1" fillId="5" borderId="10" pivotButton="0" quotePrefix="0" xfId="0"/>
    <xf numFmtId="0" fontId="0" fillId="0" borderId="29" applyAlignment="1" pivotButton="0" quotePrefix="0" xfId="0">
      <alignment horizontal="left" vertical="top"/>
    </xf>
    <xf numFmtId="49" fontId="1" fillId="2" borderId="10" applyAlignment="1" pivotButton="0" quotePrefix="0" xfId="0">
      <alignment horizontal="left" vertical="top"/>
    </xf>
    <xf numFmtId="0" fontId="0" fillId="2" borderId="10" applyAlignment="1" pivotButton="0" quotePrefix="0" xfId="0">
      <alignment vertical="top"/>
    </xf>
    <xf numFmtId="0" fontId="1" fillId="5" borderId="10" applyAlignment="1" pivotButton="0" quotePrefix="0" xfId="0">
      <alignment vertical="top"/>
    </xf>
    <xf numFmtId="0" fontId="0" fillId="2" borderId="10" applyAlignment="1" pivotButton="0" quotePrefix="0" xfId="0">
      <alignment vertical="top" wrapText="1"/>
    </xf>
    <xf numFmtId="0" fontId="1" fillId="0" borderId="10" applyAlignment="1" pivotButton="0" quotePrefix="0" xfId="0">
      <alignment vertical="top" wrapText="1"/>
    </xf>
    <xf numFmtId="0" fontId="16" fillId="0" borderId="10" applyAlignment="1" pivotButton="0" quotePrefix="0" xfId="0">
      <alignment vertical="top" wrapText="1"/>
    </xf>
    <xf numFmtId="0" fontId="1" fillId="0" borderId="10" applyAlignment="1" pivotButton="0" quotePrefix="0" xfId="0">
      <alignment vertical="top"/>
    </xf>
    <xf numFmtId="0" fontId="0" fillId="3" borderId="10" applyAlignment="1" pivotButton="0" quotePrefix="0" xfId="0">
      <alignment vertical="top" wrapText="1"/>
    </xf>
    <xf numFmtId="0" fontId="0" fillId="5" borderId="10" applyAlignment="1" pivotButton="0" quotePrefix="0" xfId="0">
      <alignment horizontal="left" vertical="top"/>
    </xf>
    <xf numFmtId="49" fontId="0" fillId="2" borderId="10" applyAlignment="1" pivotButton="0" quotePrefix="0" xfId="0">
      <alignment horizontal="left" vertical="top"/>
    </xf>
    <xf numFmtId="0" fontId="0" fillId="5" borderId="10" applyAlignment="1" pivotButton="0" quotePrefix="0" xfId="0">
      <alignment horizontal="center" vertical="top"/>
    </xf>
    <xf numFmtId="0" fontId="1" fillId="0" borderId="44" applyAlignment="1" pivotButton="0" quotePrefix="0" xfId="0">
      <alignment horizontal="left" vertical="top" wrapText="1"/>
    </xf>
    <xf numFmtId="0" fontId="0" fillId="0" borderId="10" applyAlignment="1" pivotButton="0" quotePrefix="0" xfId="0">
      <alignment horizontal="left" vertical="center"/>
    </xf>
    <xf numFmtId="0" fontId="0" fillId="3" borderId="10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center"/>
    </xf>
    <xf numFmtId="0" fontId="0" fillId="2" borderId="10" applyAlignment="1" pivotButton="0" quotePrefix="0" xfId="0">
      <alignment horizontal="left" vertical="top"/>
    </xf>
    <xf numFmtId="0" fontId="0" fillId="2" borderId="12" applyAlignment="1" pivotButton="0" quotePrefix="0" xfId="0">
      <alignment horizontal="left" vertical="top" wrapText="1"/>
    </xf>
    <xf numFmtId="0" fontId="0" fillId="0" borderId="35" pivotButton="0" quotePrefix="0" xfId="0"/>
  </cellXfs>
  <cellStyles count="12">
    <cellStyle name="標準" xfId="0" builtinId="0"/>
    <cellStyle name="標準_画面標準" xfId="1"/>
    <cellStyle name="標準_画面標準定義" xfId="2"/>
    <cellStyle name="標準 2" xfId="3"/>
    <cellStyle name="標準_~6362950" xfId="4"/>
    <cellStyle name="ハイパーリンク" xfId="5" builtinId="8"/>
    <cellStyle name="パーセント 2" xfId="6"/>
    <cellStyle name="標準 10" xfId="7"/>
    <cellStyle name="標準 2 13" xfId="8"/>
    <cellStyle name="標準 2 3" xfId="9"/>
    <cellStyle name="標準 2 2" xfId="10"/>
    <cellStyle name="標準 3" xfId="11"/>
  </cellStyles>
  <dxfs count="2">
    <dxf>
      <font>
        <b val="1"/>
      </font>
      <fill>
        <patternFill>
          <bgColor rgb="FFD7D7D7"/>
        </patternFill>
      </fill>
    </dxf>
    <dxf>
      <font/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山田　太郎</author>
  </authors>
  <commentList>
    <comment ref="A4" authorId="0" shapeId="0">
      <text>
        <t>山田　太郎:*
実施日:2023/08/01
開始:09:00
終了:11:00
レビュー時間:120</t>
      </text>
    </comment>
    <comment ref="B5" authorId="0" shapeId="0">
      <text>
        <t>山田　太郎:a
aカテゴリの指摘内容サンプル。設計書の記述を確認すること。
---
対応済みです。
済</t>
      </text>
    </comment>
    <comment ref="B6" authorId="0" shapeId="0">
      <text>
        <t>山田　太郎:b
bカテゴリの指摘内容サンプル。設計書の記述を確認すること。</t>
      </text>
    </comment>
    <comment ref="B7" authorId="0" shapeId="0">
      <text>
        <t>山田　太郎:c
cカテゴリの指摘内容サンプル。設計書の記述を確認すること。</t>
      </text>
    </comment>
    <comment ref="B8" authorId="0" shapeId="0">
      <text>
        <t>山田　太郎:d
dカテゴリの指摘内容サンプル。設計書の記述を確認すること。</t>
      </text>
    </comment>
    <comment ref="B9" authorId="0" shapeId="0">
      <text>
        <t>山田　太郎:e
eカテゴリの指摘内容サンプル。設計書の記述を確認すること。</t>
      </text>
    </comment>
    <comment ref="B10" authorId="0" shapeId="0">
      <text>
        <t>山田　太郎:f
fカテゴリの指摘内容サンプル。設計書の記述を確認すること。</t>
      </text>
    </comment>
    <comment ref="B11" authorId="0" shapeId="0">
      <text>
        <t>山田　太郎:g
gカテゴリの指摘内容サンプル。設計書の記述を確認すること。</t>
      </text>
    </comment>
    <comment ref="B12" authorId="0" shapeId="0">
      <text>
        <t>山田　太郎:h
hカテゴリの指摘内容サンプル。設計書の記述を確認すること。</t>
      </text>
    </comment>
  </commentList>
</comments>
</file>

<file path=xl/comments/comment2.xml><?xml version="1.0" encoding="utf-8"?>
<comments xmlns="http://schemas.openxmlformats.org/spreadsheetml/2006/main">
  <authors>
    <author>山田　太郎</author>
  </authors>
  <commentList>
    <comment ref="B5" authorId="0" shapeId="0">
      <text>
        <t>山田　太郎:i
iカテゴリの指摘内容サンプル。設計書の記述を確認すること。
---
対応済みです。
済</t>
      </text>
    </comment>
    <comment ref="B6" authorId="0" shapeId="0">
      <text>
        <t>山田　太郎:j
jカテゴリの指摘内容サンプル。設計書の記述を確認すること。</t>
      </text>
    </comment>
    <comment ref="B7" authorId="0" shapeId="0">
      <text>
        <t>山田　太郎:k
kカテゴリの指摘内容サンプル。設計書の記述を確認すること。</t>
      </text>
    </comment>
    <comment ref="B8" authorId="0" shapeId="0">
      <text>
        <t>山田　太郎:l
lカテゴリの指摘内容サンプル。設計書の記述を確認すること。</t>
      </text>
    </comment>
    <comment ref="B9" authorId="0" shapeId="0">
      <text>
        <t>山田　太郎:m
mカテゴリの指摘内容サンプル。設計書の記述を確認すること。</t>
      </text>
    </comment>
    <comment ref="B10" authorId="0" shapeId="0">
      <text>
        <t>山田　太郎:n
nカテゴリの指摘内容サンプル。設計書の記述を確認すること。</t>
      </text>
    </comment>
    <comment ref="B11" authorId="0" shapeId="0">
      <text>
        <t>山田　太郎:o
oカテゴリの指摘内容サンプル。設計書の記述を確認すること。</t>
      </text>
    </comment>
    <comment ref="B12" authorId="0" shapeId="0">
      <text>
        <t>山田　太郎:p
pカテゴリの指摘内容サンプル。設計書の記述を確認すること。</t>
      </text>
    </comment>
  </commentList>
</comments>
</file>

<file path=xl/comments/comment3.xml><?xml version="1.0" encoding="utf-8"?>
<comments xmlns="http://schemas.openxmlformats.org/spreadsheetml/2006/main">
  <authors>
    <author>山田　太郎</author>
  </authors>
  <commentList>
    <comment ref="B5" authorId="0" shapeId="0">
      <text>
        <t>山田　太郎:q
qカテゴリの指摘内容サンプル。設計書の記述を確認すること。
---
対応済みです。
済</t>
      </text>
    </comment>
    <comment ref="B6" authorId="0" shapeId="0">
      <text>
        <t>山田　太郎:r
rカテゴリの指摘内容サンプル。設計書の記述を確認すること。</t>
      </text>
    </comment>
    <comment ref="B7" authorId="0" shapeId="0">
      <text>
        <t>山田　太郎:s
sカテゴリの指摘内容サンプル。設計書の記述を確認すること。</t>
      </text>
    </comment>
    <comment ref="B8" authorId="0" shapeId="0">
      <text>
        <t>山田　太郎:t
tカテゴリの指摘内容サンプル。設計書の記述を確認すること。</t>
      </text>
    </comment>
    <comment ref="B9" authorId="0" shapeId="0">
      <text>
        <t>山田　太郎:u
uカテゴリの指摘内容サンプル。設計書の記述を確認すること。</t>
      </text>
    </comment>
    <comment ref="B10" authorId="0" shapeId="0">
      <text>
        <t>山田　太郎:v
vカテゴリの指摘内容サンプル。設計書の記述を確認すること。</t>
      </text>
    </comment>
    <comment ref="B11" authorId="0" shapeId="0">
      <text>
        <t>山田　太郎:w
wカテゴリの指摘内容サンプル。設計書の記述を確認すること。</t>
      </text>
    </comment>
  </commentList>
</comments>
</file>

<file path=xl/comments/comment4.xml><?xml version="1.0" encoding="utf-8"?>
<comments xmlns="http://schemas.openxmlformats.org/spreadsheetml/2006/main">
  <authors>
    <author>山田　太郎</author>
  </authors>
  <commentList>
    <comment ref="B5" authorId="0" shapeId="0">
      <text>
        <t>山田　太郎:x
xカテゴリの指摘内容サンプル。設計書の記述を確認すること。
---
対応済みです。
済</t>
      </text>
    </comment>
    <comment ref="B6" authorId="0" shapeId="0">
      <text>
        <t>山田　太郎:y
yカテゴリの指摘内容サンプル。設計書の記述を確認すること。</t>
      </text>
    </comment>
    <comment ref="B7" authorId="0" shapeId="0">
      <text>
        <t>山田　太郎:z
zカテゴリの指摘内容サンプル。設計書の記述を確認すること。</t>
      </text>
    </comment>
    <comment ref="B8" authorId="0" shapeId="0">
      <text>
        <t>山田　太郎:aa
aaカテゴリの指摘内容サンプル。設計書の記述を確認すること。</t>
      </text>
    </comment>
    <comment ref="B9" authorId="0" shapeId="0">
      <text>
        <t>山田　太郎:ab
abカテゴリの指摘内容サンプル。設計書の記述を確認すること。</t>
      </text>
    </comment>
    <comment ref="B10" authorId="0" shapeId="0">
      <text>
        <t>山田　太郎:ac
acカテゴリの指摘内容サンプル。設計書の記述を確認すること。</t>
      </text>
    </comment>
    <comment ref="B11" authorId="0" shapeId="0">
      <text>
        <t>山田　太郎:ad
adカテゴリの指摘内容サンプル。設計書の記述を確認すること。</t>
      </text>
    </comment>
  </commentList>
</comment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 codeName="Sheet3">
    <outlinePr summaryBelow="1" summaryRight="1"/>
    <pageSetUpPr fitToPage="1"/>
  </sheetPr>
  <dimension ref="A1:S39"/>
  <sheetViews>
    <sheetView showGridLines="0" view="pageBreakPreview" zoomScaleNormal="100" zoomScaleSheetLayoutView="100" workbookViewId="0">
      <selection activeCell="A1" sqref="A1"/>
    </sheetView>
  </sheetViews>
  <sheetFormatPr baseColWidth="8" defaultColWidth="8.83203125" defaultRowHeight="13.5"/>
  <cols>
    <col width="8.83203125" customWidth="1" style="1" min="1" max="16384"/>
  </cols>
  <sheetData>
    <row r="1" ht="13.5" customHeight="1" s="160">
      <c r="B1" s="2" t="n"/>
      <c r="C1" s="3" t="n"/>
    </row>
    <row r="2" ht="19.5" customHeight="1" s="160">
      <c r="A2" s="4" t="n"/>
    </row>
    <row r="3" ht="13.5" customHeight="1" s="160"/>
    <row r="4" ht="13.5" customHeight="1" s="160"/>
    <row r="5" ht="13.5" customHeight="1" s="160"/>
    <row r="6" ht="13.5" customHeight="1" s="160"/>
    <row r="7" ht="13.5" customHeight="1" s="160"/>
    <row r="8" ht="13.5" customHeight="1" s="160"/>
    <row r="9" ht="13.5" customHeight="1" s="160"/>
    <row r="10" ht="13.5" customHeight="1" s="160"/>
    <row r="11" ht="13.5" customHeight="1" s="160"/>
    <row r="12" ht="13.5" customHeight="1" s="160"/>
    <row r="13" ht="13.5" customHeight="1" s="160"/>
    <row r="14" ht="13.5" customHeight="1" s="160"/>
    <row r="15" ht="13.5" customHeight="1" s="160"/>
    <row r="16" ht="13.5" customHeight="1" s="160"/>
    <row r="17" ht="13.5" customHeight="1" s="160"/>
    <row r="18" ht="13.5" customHeight="1" s="160"/>
    <row r="19" ht="13.5" customHeight="1" s="160"/>
    <row r="20" ht="13.5" customHeight="1" s="160"/>
    <row r="21" ht="13.5" customHeight="1" s="160"/>
    <row r="22" ht="13.5" customHeight="1" s="160">
      <c r="F22" s="5" t="n"/>
      <c r="H22" s="5" t="n"/>
    </row>
    <row r="23" ht="17.25" customHeight="1" s="160">
      <c r="F23" s="5" t="n"/>
      <c r="G23" s="5" t="n"/>
      <c r="H23" s="5" t="n"/>
      <c r="I23" s="18" t="n"/>
      <c r="J23" s="423" t="inlineStr">
        <is>
          <t>第１．２版</t>
        </is>
      </c>
      <c r="K23" s="18" t="n"/>
      <c r="L23" s="18" t="n"/>
    </row>
    <row r="24" ht="13.5" customHeight="1" s="160">
      <c r="F24" s="5" t="n"/>
      <c r="G24" s="5" t="n"/>
      <c r="H24" s="5" t="n"/>
      <c r="I24" s="18" t="n"/>
      <c r="J24" s="18" t="n"/>
      <c r="K24" s="18" t="n"/>
      <c r="L24" s="18" t="n"/>
    </row>
    <row r="25" ht="18" customHeight="1" s="160">
      <c r="F25" s="5" t="n"/>
      <c r="G25" s="5" t="n"/>
      <c r="H25" s="5" t="n"/>
      <c r="I25" s="161">
        <f>IF(INDIRECT("変更履歴!D8")="","",MAX(INDIRECT("変更履歴!D8"):INDIRECT("変更履歴!F33")))</f>
        <v/>
      </c>
      <c r="L25" s="18" t="n"/>
    </row>
    <row r="26" ht="13.5" customHeight="1" s="160">
      <c r="F26" s="5" t="n"/>
      <c r="G26" s="5" t="n"/>
      <c r="H26" s="5" t="n"/>
      <c r="I26" s="18" t="n"/>
      <c r="J26" s="18" t="n"/>
      <c r="K26" s="18" t="n"/>
      <c r="L26" s="18" t="n"/>
    </row>
    <row r="27" ht="13.5" customHeight="1" s="160">
      <c r="F27" s="5" t="n"/>
      <c r="G27" s="5" t="n"/>
      <c r="H27" s="5" t="n"/>
      <c r="I27" s="18" t="n"/>
      <c r="J27" s="18" t="n"/>
      <c r="K27" s="18" t="n"/>
      <c r="L27" s="18" t="n"/>
    </row>
    <row r="28" ht="13.5" customHeight="1" s="160">
      <c r="F28" s="6" t="n"/>
      <c r="G28" s="5" t="n"/>
      <c r="H28" s="5" t="n"/>
      <c r="I28" s="18" t="n"/>
      <c r="J28" s="18" t="n"/>
      <c r="K28" s="18" t="n"/>
      <c r="L28" s="18" t="n"/>
    </row>
    <row r="29" ht="15" customHeight="1" s="160">
      <c r="F29" s="5" t="n"/>
      <c r="H29" s="5" t="n"/>
      <c r="I29" s="18" t="n"/>
      <c r="J29" s="18" t="n"/>
      <c r="K29" s="18" t="n"/>
      <c r="L29" s="18" t="n"/>
    </row>
    <row r="30" ht="13.5" customHeight="1" s="160">
      <c r="F30" s="5" t="n"/>
      <c r="G30" s="12" t="n"/>
      <c r="H30" s="5" t="n"/>
      <c r="I30" s="18" t="n"/>
      <c r="J30" s="18" t="n"/>
      <c r="K30" s="18" t="n"/>
      <c r="L30" s="18" t="n"/>
    </row>
    <row r="31" ht="18.75" customHeight="1" s="160">
      <c r="F31" s="5" t="n"/>
      <c r="G31" s="12" t="n"/>
      <c r="H31" s="5" t="n"/>
      <c r="I31" s="18" t="n"/>
      <c r="J31" s="18" t="n"/>
      <c r="K31" s="18" t="n"/>
      <c r="L31" s="18" t="n"/>
    </row>
    <row r="32" ht="18.75" customHeight="1" s="160">
      <c r="F32" s="5" t="n"/>
      <c r="G32" s="12" t="n"/>
      <c r="H32" s="5" t="n"/>
      <c r="I32" s="18" t="n"/>
      <c r="J32" s="19" t="n"/>
      <c r="K32" s="18" t="n"/>
      <c r="L32" s="18" t="n"/>
    </row>
    <row r="33" ht="18.75" customHeight="1" s="160">
      <c r="F33" s="5" t="n"/>
      <c r="H33" s="5" t="n"/>
      <c r="I33" s="18" t="n"/>
      <c r="J33" s="20" t="n"/>
      <c r="K33" s="18" t="n"/>
      <c r="L33" s="21" t="n"/>
      <c r="M33" s="8" t="n"/>
      <c r="N33" s="7" t="n"/>
      <c r="O33" s="7" t="n"/>
      <c r="P33" s="7" t="n"/>
    </row>
    <row r="34" ht="18.75" customHeight="1" s="160">
      <c r="F34" s="5" t="n"/>
      <c r="H34" s="5" t="n"/>
      <c r="I34" s="18" t="n"/>
      <c r="J34" s="19" t="n"/>
      <c r="K34" s="18" t="n"/>
      <c r="L34" s="21" t="n"/>
      <c r="M34" s="7" t="n"/>
      <c r="N34" s="7" t="n"/>
      <c r="O34" s="7" t="n"/>
      <c r="P34" s="7" t="n"/>
      <c r="Q34" s="59" t="n"/>
      <c r="R34" s="60" t="n"/>
      <c r="S34" s="60" t="n"/>
    </row>
    <row r="35" ht="13.5" customHeight="1" s="160">
      <c r="O35" s="7" t="n"/>
      <c r="P35" s="7" t="n"/>
      <c r="Q35" s="60" t="n"/>
      <c r="R35" s="60" t="n"/>
      <c r="S35" s="60" t="n"/>
    </row>
    <row r="36" ht="13.5" customHeight="1" s="160">
      <c r="O36" s="61" t="n"/>
      <c r="P36" s="60" t="n"/>
      <c r="Q36" s="61" t="n"/>
      <c r="R36" s="60" t="n"/>
      <c r="S36" s="58" t="n"/>
    </row>
    <row r="37" ht="13.5" customHeight="1" s="160">
      <c r="P37" s="62" t="n"/>
      <c r="R37" s="62" t="n"/>
    </row>
    <row r="38" ht="13.5" customHeight="1" s="160">
      <c r="O38" s="62" t="n"/>
      <c r="P38" s="62" t="n"/>
      <c r="Q38" s="62" t="n"/>
      <c r="R38" s="62" t="n"/>
      <c r="S38" s="62" t="n"/>
    </row>
    <row r="39" ht="13.5" customHeight="1" s="160">
      <c r="O39" s="62" t="n"/>
      <c r="P39" s="62" t="n"/>
      <c r="Q39" s="62" t="n"/>
      <c r="R39" s="62" t="n"/>
      <c r="S39" s="62" t="n"/>
    </row>
    <row r="40" ht="13.5" customHeight="1" s="160"/>
    <row r="41" ht="13.5" customHeight="1" s="160"/>
    <row r="42" ht="13.5" customHeight="1" s="160"/>
    <row r="43" ht="13.5" customHeight="1" s="160"/>
    <row r="44" ht="13.5" customHeight="1" s="160"/>
    <row r="45" ht="13.5" customHeight="1" s="160"/>
    <row r="46" ht="13.5" customHeight="1" s="160"/>
    <row r="47" ht="13.5" customHeight="1" s="160"/>
    <row r="48" ht="13.5" customHeight="1" s="160"/>
    <row r="49" ht="13.5" customHeight="1" s="160"/>
    <row r="50" ht="13.5" customHeight="1" s="160"/>
    <row r="51" ht="13.5" customHeight="1" s="160"/>
    <row r="52" ht="13.5" customHeight="1" s="160"/>
    <row r="53" ht="13.5" customHeight="1" s="160"/>
    <row r="54" ht="13.5" customHeight="1" s="160"/>
    <row r="55" ht="13.5" customHeight="1" s="160"/>
    <row r="56" ht="13.5" customHeight="1" s="160"/>
    <row r="57" ht="13.5" customHeight="1" s="160"/>
    <row r="58" ht="13.5" customHeight="1" s="160"/>
    <row r="59" ht="13.5" customHeight="1" s="160"/>
    <row r="60" ht="13.5" customHeight="1" s="160"/>
    <row r="61" ht="13.5" customHeight="1" s="160"/>
    <row r="62" ht="13.5" customHeight="1" s="160"/>
    <row r="63" ht="13.5" customHeight="1" s="160"/>
    <row r="64" ht="13.5" customHeight="1" s="160"/>
    <row r="65" ht="13.5" customHeight="1" s="160"/>
    <row r="66" ht="13.5" customHeight="1" s="160"/>
    <row r="67" ht="13.5" customHeight="1" s="160"/>
    <row r="68" ht="13.5" customHeight="1" s="160"/>
    <row r="69" ht="13.5" customHeight="1" s="160"/>
    <row r="70" ht="13.5" customHeight="1" s="160"/>
    <row r="71" ht="13.5" customHeight="1" s="160"/>
    <row r="72" ht="13.5" customHeight="1" s="160"/>
    <row r="73" ht="13.5" customHeight="1" s="160"/>
    <row r="74" ht="13.5" customHeight="1" s="160"/>
    <row r="75" ht="13.5" customHeight="1" s="160"/>
    <row r="76" ht="13.5" customHeight="1" s="160"/>
    <row r="77" ht="13.5" customHeight="1" s="160"/>
    <row r="78" ht="13.5" customHeight="1" s="160"/>
    <row r="79" ht="13.5" customHeight="1" s="160"/>
    <row r="80" ht="13.5" customHeight="1" s="160"/>
    <row r="81" ht="13.5" customHeight="1" s="160"/>
    <row r="82" ht="13.5" customHeight="1" s="160"/>
    <row r="83" ht="13.5" customHeight="1" s="160"/>
    <row r="84" ht="13.5" customHeight="1" s="160"/>
    <row r="85" ht="13.5" customHeight="1" s="160"/>
    <row r="86" ht="13.5" customHeight="1" s="160"/>
    <row r="87" ht="13.5" customHeight="1" s="160"/>
    <row r="88" ht="13.5" customHeight="1" s="160"/>
    <row r="89" ht="13.5" customHeight="1" s="160"/>
    <row r="90" ht="13.5" customHeight="1" s="160"/>
    <row r="91" ht="13.5" customHeight="1" s="160"/>
    <row r="92" ht="13.5" customHeight="1" s="160"/>
    <row r="93" ht="13.5" customHeight="1" s="160"/>
    <row r="94" ht="13.5" customHeight="1" s="160"/>
    <row r="95" ht="13.5" customHeight="1" s="160"/>
    <row r="96" ht="13.5" customHeight="1" s="160"/>
    <row r="97" ht="13.5" customHeight="1" s="160"/>
    <row r="98" ht="13.5" customHeight="1" s="160"/>
    <row r="99" ht="13.5" customHeight="1" s="160"/>
    <row r="100" ht="13.5" customHeight="1" s="160"/>
    <row r="101" ht="13.5" customHeight="1" s="160"/>
    <row r="102" ht="13.5" customHeight="1" s="160"/>
    <row r="103" ht="13.5" customHeight="1" s="160"/>
    <row r="104" ht="13.5" customHeight="1" s="160"/>
    <row r="105" ht="13.5" customHeight="1" s="160"/>
    <row r="106" ht="13.5" customHeight="1" s="160"/>
    <row r="107" ht="13.5" customHeight="1" s="160"/>
    <row r="108" ht="13.5" customHeight="1" s="160"/>
    <row r="109" ht="13.5" customHeight="1" s="160"/>
    <row r="110" ht="13.5" customHeight="1" s="160"/>
    <row r="111" ht="13.5" customHeight="1" s="160"/>
    <row r="112" ht="13.5" customHeight="1" s="160"/>
    <row r="113" ht="13.5" customHeight="1" s="160"/>
    <row r="114" ht="13.5" customHeight="1" s="160"/>
    <row r="115" ht="13.5" customHeight="1" s="160"/>
    <row r="116" ht="13.5" customHeight="1" s="160"/>
    <row r="117" ht="13.5" customHeight="1" s="160"/>
    <row r="118" ht="13.5" customHeight="1" s="160"/>
    <row r="119" ht="13.5" customHeight="1" s="160"/>
    <row r="120" ht="13.5" customHeight="1" s="160"/>
    <row r="121" ht="13.5" customHeight="1" s="160"/>
    <row r="122" ht="13.5" customHeight="1" s="160"/>
    <row r="123" ht="13.5" customHeight="1" s="160"/>
    <row r="124" ht="13.5" customHeight="1" s="160"/>
    <row r="125" ht="13.5" customHeight="1" s="160"/>
    <row r="126" ht="13.5" customHeight="1" s="160"/>
    <row r="127" ht="13.5" customHeight="1" s="160"/>
    <row r="128" ht="13.5" customHeight="1" s="160"/>
    <row r="129" ht="13.5" customHeight="1" s="160"/>
    <row r="130" ht="13.5" customHeight="1" s="160"/>
    <row r="131" ht="13.5" customHeight="1" s="160"/>
    <row r="132" ht="13.5" customHeight="1" s="160"/>
    <row r="133" ht="13.5" customHeight="1" s="160"/>
    <row r="134" ht="13.5" customHeight="1" s="160"/>
    <row r="135" ht="13.5" customHeight="1" s="160"/>
    <row r="136" ht="13.5" customHeight="1" s="160"/>
    <row r="137" ht="13.5" customHeight="1" s="160"/>
    <row r="138" ht="13.5" customHeight="1" s="160"/>
    <row r="139" ht="13.5" customHeight="1" s="160"/>
    <row r="140" ht="13.5" customHeight="1" s="160"/>
    <row r="141" ht="13.5" customHeight="1" s="160"/>
    <row r="142" ht="13.5" customHeight="1" s="160"/>
    <row r="143" ht="13.5" customHeight="1" s="160"/>
    <row r="144" ht="13.5" customHeight="1" s="160"/>
    <row r="145" ht="13.5" customHeight="1" s="160"/>
    <row r="146" ht="13.5" customHeight="1" s="160"/>
    <row r="147" ht="13.5" customHeight="1" s="160"/>
    <row r="148" ht="13.5" customHeight="1" s="160"/>
    <row r="149" ht="13.5" customHeight="1" s="160"/>
    <row r="150" ht="13.5" customHeight="1" s="160"/>
    <row r="151" ht="13.5" customHeight="1" s="160"/>
    <row r="152" ht="13.5" customHeight="1" s="160"/>
    <row r="153" ht="13.5" customHeight="1" s="160"/>
    <row r="154" ht="13.5" customHeight="1" s="160"/>
    <row r="155" ht="13.5" customHeight="1" s="160"/>
    <row r="156" ht="13.5" customHeight="1" s="160"/>
    <row r="157" ht="13.5" customHeight="1" s="160"/>
    <row r="158" ht="13.5" customHeight="1" s="160"/>
    <row r="159" ht="13.5" customHeight="1" s="160"/>
    <row r="160" ht="13.5" customHeight="1" s="160"/>
    <row r="161" ht="13.5" customHeight="1" s="160"/>
    <row r="162" ht="13.5" customHeight="1" s="160"/>
    <row r="163" ht="13.5" customHeight="1" s="160"/>
    <row r="164" ht="13.5" customHeight="1" s="160"/>
    <row r="165" ht="13.5" customHeight="1" s="160"/>
    <row r="166" ht="13.5" customHeight="1" s="160"/>
    <row r="167" ht="13.5" customHeight="1" s="160"/>
    <row r="168" ht="13.5" customHeight="1" s="160"/>
    <row r="169" ht="13.5" customHeight="1" s="160"/>
    <row r="170" ht="13.5" customHeight="1" s="160"/>
    <row r="171" ht="13.5" customHeight="1" s="160"/>
    <row r="172" ht="13.5" customHeight="1" s="160"/>
    <row r="173" ht="13.5" customHeight="1" s="160"/>
    <row r="174" ht="13.5" customHeight="1" s="160"/>
    <row r="175" ht="13.5" customHeight="1" s="160"/>
    <row r="176" ht="13.5" customHeight="1" s="160"/>
    <row r="177" ht="13.5" customHeight="1" s="160"/>
    <row r="178" ht="13.5" customHeight="1" s="160"/>
    <row r="179" ht="13.5" customHeight="1" s="160"/>
    <row r="180" ht="13.5" customHeight="1" s="160"/>
    <row r="181" ht="13.5" customHeight="1" s="160"/>
    <row r="182" ht="13.5" customHeight="1" s="160"/>
    <row r="183" ht="13.5" customHeight="1" s="160"/>
    <row r="184" ht="13.5" customHeight="1" s="160"/>
    <row r="185" ht="13.5" customHeight="1" s="160"/>
    <row r="186" ht="13.5" customHeight="1" s="160"/>
    <row r="187" ht="13.5" customHeight="1" s="160"/>
    <row r="188" ht="13.5" customHeight="1" s="160"/>
    <row r="189" ht="13.5" customHeight="1" s="160"/>
    <row r="190" ht="13.5" customHeight="1" s="160"/>
    <row r="191" ht="13.5" customHeight="1" s="160"/>
    <row r="192" ht="13.5" customHeight="1" s="160"/>
    <row r="193" ht="13.5" customHeight="1" s="160"/>
    <row r="194" ht="13.5" customHeight="1" s="160"/>
    <row r="195" ht="13.5" customHeight="1" s="160"/>
    <row r="196" ht="13.5" customHeight="1" s="160"/>
    <row r="197" ht="13.5" customHeight="1" s="160"/>
    <row r="198" ht="13.5" customHeight="1" s="160"/>
    <row r="199" ht="13.5" customHeight="1" s="160"/>
    <row r="200" ht="13.5" customHeight="1" s="160"/>
    <row r="201" ht="13.5" customHeight="1" s="160"/>
    <row r="202" ht="13.5" customHeight="1" s="160"/>
    <row r="203" ht="13.5" customHeight="1" s="160"/>
    <row r="204" ht="13.5" customHeight="1" s="160"/>
    <row r="205" ht="13.5" customHeight="1" s="160"/>
    <row r="206" ht="13.5" customHeight="1" s="160"/>
    <row r="207" ht="13.5" customHeight="1" s="160"/>
    <row r="208" ht="13.5" customHeight="1" s="160"/>
    <row r="209" ht="13.5" customHeight="1" s="160"/>
    <row r="210" ht="13.5" customHeight="1" s="160"/>
    <row r="211" ht="13.5" customHeight="1" s="160"/>
    <row r="212" ht="13.5" customHeight="1" s="160"/>
    <row r="213" ht="13.5" customHeight="1" s="160"/>
    <row r="214" ht="13.5" customHeight="1" s="160"/>
    <row r="215" ht="13.5" customHeight="1" s="160"/>
    <row r="216" ht="13.5" customHeight="1" s="160"/>
    <row r="217" ht="13.5" customHeight="1" s="160"/>
    <row r="218" ht="13.5" customHeight="1" s="160"/>
    <row r="219" ht="13.5" customHeight="1" s="160"/>
    <row r="220" ht="13.5" customHeight="1" s="160"/>
    <row r="221" ht="13.5" customHeight="1" s="160"/>
    <row r="222" ht="13.5" customHeight="1" s="160"/>
    <row r="223" ht="13.5" customHeight="1" s="160"/>
    <row r="224" ht="13.5" customHeight="1" s="160"/>
    <row r="225" ht="13.5" customHeight="1" s="160"/>
    <row r="226" ht="13.5" customHeight="1" s="160"/>
    <row r="227" ht="13.5" customHeight="1" s="160"/>
    <row r="228" ht="13.5" customHeight="1" s="160"/>
    <row r="229" ht="13.5" customHeight="1" s="160"/>
    <row r="230" ht="13.5" customHeight="1" s="160"/>
    <row r="231" ht="13.5" customHeight="1" s="160"/>
    <row r="232" ht="13.5" customHeight="1" s="160"/>
    <row r="233" ht="13.5" customHeight="1" s="160"/>
    <row r="234" ht="13.5" customHeight="1" s="160"/>
    <row r="235" ht="13.5" customHeight="1" s="160"/>
    <row r="236" ht="13.5" customHeight="1" s="160"/>
    <row r="237" ht="13.5" customHeight="1" s="160"/>
    <row r="238" ht="13.5" customHeight="1" s="160"/>
    <row r="239" ht="13.5" customHeight="1" s="160"/>
    <row r="240" ht="13.5" customHeight="1" s="160"/>
    <row r="241" ht="13.5" customHeight="1" s="160"/>
    <row r="242" ht="13.5" customHeight="1" s="160"/>
    <row r="243" ht="13.5" customHeight="1" s="160"/>
    <row r="244" ht="13.5" customHeight="1" s="160"/>
    <row r="245" ht="13.5" customHeight="1" s="160"/>
    <row r="246" ht="13.5" customHeight="1" s="160"/>
    <row r="247" ht="13.5" customHeight="1" s="160"/>
    <row r="248" ht="13.5" customHeight="1" s="160"/>
    <row r="249" ht="13.5" customHeight="1" s="160"/>
    <row r="250" ht="13.5" customHeight="1" s="160"/>
    <row r="251" ht="13.5" customHeight="1" s="160"/>
    <row r="252" ht="13.5" customHeight="1" s="160"/>
    <row r="253" ht="13.5" customHeight="1" s="160"/>
    <row r="254" ht="13.5" customHeight="1" s="160"/>
    <row r="255" ht="13.5" customHeight="1" s="160"/>
    <row r="256" ht="13.5" customHeight="1" s="160"/>
    <row r="257" ht="13.5" customHeight="1" s="160"/>
    <row r="258" ht="13.5" customHeight="1" s="160"/>
    <row r="259" ht="13.5" customHeight="1" s="160"/>
    <row r="260" ht="13.5" customHeight="1" s="160"/>
    <row r="261" ht="13.5" customHeight="1" s="160"/>
    <row r="262" ht="13.5" customHeight="1" s="160"/>
    <row r="263" ht="13.5" customHeight="1" s="160"/>
    <row r="264" ht="13.5" customHeight="1" s="160"/>
    <row r="265" ht="13.5" customHeight="1" s="160"/>
    <row r="266" ht="13.5" customHeight="1" s="160"/>
    <row r="267" ht="13.5" customHeight="1" s="160"/>
    <row r="268" ht="13.5" customHeight="1" s="160"/>
    <row r="269" ht="13.5" customHeight="1" s="160"/>
    <row r="270" ht="13.5" customHeight="1" s="160"/>
    <row r="271" ht="13.5" customHeight="1" s="160"/>
    <row r="272" ht="13.5" customHeight="1" s="160"/>
    <row r="273" ht="13.5" customHeight="1" s="160"/>
    <row r="274" ht="13.5" customHeight="1" s="160"/>
    <row r="275" ht="13.5" customHeight="1" s="160"/>
    <row r="276" ht="13.5" customHeight="1" s="160"/>
    <row r="277" ht="13.5" customHeight="1" s="160"/>
    <row r="278" ht="13.5" customHeight="1" s="160"/>
    <row r="279" ht="13.5" customHeight="1" s="160"/>
    <row r="280" ht="13.5" customHeight="1" s="160"/>
    <row r="281" ht="13.5" customHeight="1" s="160"/>
    <row r="282" ht="13.5" customHeight="1" s="160"/>
    <row r="283" ht="13.5" customHeight="1" s="160"/>
    <row r="284" ht="13.5" customHeight="1" s="160"/>
    <row r="285" ht="13.5" customHeight="1" s="160"/>
    <row r="286" ht="13.5" customHeight="1" s="160"/>
    <row r="287" ht="13.5" customHeight="1" s="160"/>
    <row r="288" ht="13.5" customHeight="1" s="160"/>
    <row r="289" ht="13.5" customHeight="1" s="160"/>
    <row r="290" ht="13.5" customHeight="1" s="160"/>
    <row r="291" ht="13.5" customHeight="1" s="160"/>
    <row r="292" ht="13.5" customHeight="1" s="160"/>
    <row r="293" ht="13.5" customHeight="1" s="160"/>
    <row r="294" ht="13.5" customHeight="1" s="160"/>
    <row r="295" ht="13.5" customHeight="1" s="160"/>
    <row r="296" ht="13.5" customHeight="1" s="160"/>
    <row r="297" ht="13.5" customHeight="1" s="160"/>
    <row r="298" ht="13.5" customHeight="1" s="160"/>
    <row r="299" ht="13.5" customHeight="1" s="160"/>
    <row r="300" ht="13.5" customHeight="1" s="160"/>
    <row r="301" ht="13.5" customHeight="1" s="160"/>
    <row r="302" ht="13.5" customHeight="1" s="160"/>
    <row r="303" ht="13.5" customHeight="1" s="160"/>
    <row r="304" ht="13.5" customHeight="1" s="160"/>
    <row r="305" ht="13.5" customHeight="1" s="160"/>
    <row r="306" ht="13.5" customHeight="1" s="160"/>
    <row r="307" ht="13.5" customHeight="1" s="160"/>
    <row r="308" ht="13.5" customHeight="1" s="160"/>
    <row r="309" ht="13.5" customHeight="1" s="160"/>
    <row r="310" ht="13.5" customHeight="1" s="160"/>
    <row r="311" ht="13.5" customHeight="1" s="160"/>
    <row r="312" ht="13.5" customHeight="1" s="160"/>
    <row r="313" ht="13.5" customHeight="1" s="160"/>
    <row r="314" ht="13.5" customHeight="1" s="160"/>
    <row r="315" ht="13.5" customHeight="1" s="160"/>
    <row r="316" ht="13.5" customHeight="1" s="160"/>
    <row r="317" ht="13.5" customHeight="1" s="160"/>
    <row r="318" ht="13.5" customHeight="1" s="160"/>
    <row r="319" ht="13.5" customHeight="1" s="160"/>
    <row r="320" ht="13.5" customHeight="1" s="160"/>
    <row r="321" ht="13.5" customHeight="1" s="160"/>
    <row r="322" ht="13.5" customHeight="1" s="160"/>
    <row r="323" ht="13.5" customHeight="1" s="160"/>
    <row r="324" ht="13.5" customHeight="1" s="160"/>
    <row r="325" ht="13.5" customHeight="1" s="160"/>
    <row r="326" ht="13.5" customHeight="1" s="160"/>
    <row r="327" ht="13.5" customHeight="1" s="160"/>
    <row r="328" ht="13.5" customHeight="1" s="160"/>
    <row r="329" ht="13.5" customHeight="1" s="160"/>
    <row r="330" ht="13.5" customHeight="1" s="160"/>
    <row r="331" ht="13.5" customHeight="1" s="160"/>
    <row r="332" ht="13.5" customHeight="1" s="160"/>
    <row r="333" ht="13.5" customHeight="1" s="160"/>
    <row r="334" ht="13.5" customHeight="1" s="160"/>
    <row r="335" ht="13.5" customHeight="1" s="160"/>
    <row r="336" ht="13.5" customHeight="1" s="160"/>
    <row r="337" ht="13.5" customHeight="1" s="160"/>
    <row r="338" ht="13.5" customHeight="1" s="160"/>
    <row r="339" ht="13.5" customHeight="1" s="160"/>
    <row r="340" ht="13.5" customHeight="1" s="160"/>
    <row r="341" ht="13.5" customHeight="1" s="160"/>
    <row r="342" ht="13.5" customHeight="1" s="160"/>
    <row r="343" ht="13.5" customHeight="1" s="160"/>
    <row r="344" ht="13.5" customHeight="1" s="160"/>
    <row r="345" ht="13.5" customHeight="1" s="160"/>
    <row r="346" ht="13.5" customHeight="1" s="160"/>
    <row r="347" ht="13.5" customHeight="1" s="160"/>
    <row r="348" ht="13.5" customHeight="1" s="160"/>
    <row r="349" ht="13.5" customHeight="1" s="160"/>
    <row r="350" ht="13.5" customHeight="1" s="160"/>
    <row r="351" ht="13.5" customHeight="1" s="160"/>
    <row r="352" ht="13.5" customHeight="1" s="160"/>
    <row r="353" ht="13.5" customHeight="1" s="160"/>
    <row r="354" ht="13.5" customHeight="1" s="160"/>
    <row r="355" ht="13.5" customHeight="1" s="160"/>
    <row r="356" ht="13.5" customHeight="1" s="160"/>
    <row r="357" ht="13.5" customHeight="1" s="160"/>
    <row r="358" ht="13.5" customHeight="1" s="160"/>
    <row r="359" ht="13.5" customHeight="1" s="160"/>
    <row r="360" ht="13.5" customHeight="1" s="160"/>
    <row r="361" ht="13.5" customHeight="1" s="160"/>
    <row r="362" ht="13.5" customHeight="1" s="160"/>
    <row r="363" ht="13.5" customHeight="1" s="160"/>
    <row r="364" ht="13.5" customHeight="1" s="160"/>
    <row r="365" ht="13.5" customHeight="1" s="160"/>
    <row r="366" ht="13.5" customHeight="1" s="160"/>
    <row r="367" ht="13.5" customHeight="1" s="160"/>
    <row r="368" ht="13.5" customHeight="1" s="160"/>
    <row r="369" ht="13.5" customHeight="1" s="160"/>
    <row r="370" ht="13.5" customHeight="1" s="160"/>
    <row r="371" ht="13.5" customHeight="1" s="160"/>
    <row r="372" ht="13.5" customHeight="1" s="160"/>
    <row r="373" ht="13.5" customHeight="1" s="160"/>
    <row r="374" ht="13.5" customHeight="1" s="160"/>
    <row r="375" ht="13.5" customHeight="1" s="160"/>
    <row r="376" ht="13.5" customHeight="1" s="160"/>
    <row r="377" ht="13.5" customHeight="1" s="160"/>
    <row r="378" ht="13.5" customHeight="1" s="160"/>
    <row r="379" ht="13.5" customHeight="1" s="160"/>
    <row r="380" ht="13.5" customHeight="1" s="160"/>
    <row r="381" ht="13.5" customHeight="1" s="160"/>
    <row r="382" ht="13.5" customHeight="1" s="160"/>
    <row r="383" ht="13.5" customHeight="1" s="160"/>
    <row r="384" ht="13.5" customHeight="1" s="160"/>
    <row r="385" ht="13.5" customHeight="1" s="160"/>
    <row r="386" ht="13.5" customHeight="1" s="160"/>
    <row r="387" ht="13.5" customHeight="1" s="160"/>
    <row r="388" ht="13.5" customHeight="1" s="160"/>
    <row r="389" ht="13.5" customHeight="1" s="160"/>
    <row r="390" ht="13.5" customHeight="1" s="160"/>
    <row r="391" ht="13.5" customHeight="1" s="160"/>
    <row r="392" ht="13.5" customHeight="1" s="160"/>
    <row r="393" ht="13.5" customHeight="1" s="160"/>
    <row r="394" ht="13.5" customHeight="1" s="160"/>
    <row r="395" ht="13.5" customHeight="1" s="160"/>
    <row r="396" ht="13.5" customHeight="1" s="160"/>
    <row r="397" ht="13.5" customHeight="1" s="160"/>
    <row r="398" ht="13.5" customHeight="1" s="160"/>
    <row r="399" ht="13.5" customHeight="1" s="160"/>
    <row r="400" ht="13.5" customHeight="1" s="160"/>
    <row r="401" ht="13.5" customHeight="1" s="160"/>
    <row r="402" ht="13.5" customHeight="1" s="160"/>
    <row r="403" ht="13.5" customHeight="1" s="160"/>
    <row r="404" ht="13.5" customHeight="1" s="160"/>
    <row r="405" ht="13.5" customHeight="1" s="160"/>
    <row r="406" ht="13.5" customHeight="1" s="160"/>
    <row r="407" ht="13.5" customHeight="1" s="160"/>
    <row r="408" ht="13.5" customHeight="1" s="160"/>
    <row r="409" ht="13.5" customHeight="1" s="160"/>
    <row r="410" ht="13.5" customHeight="1" s="160"/>
    <row r="411" ht="13.5" customHeight="1" s="160"/>
    <row r="412" ht="13.5" customHeight="1" s="160"/>
    <row r="413" ht="13.5" customHeight="1" s="160"/>
    <row r="414" ht="13.5" customHeight="1" s="160"/>
    <row r="415" ht="13.5" customHeight="1" s="160"/>
    <row r="416" ht="13.5" customHeight="1" s="160"/>
    <row r="417" ht="13.5" customHeight="1" s="160"/>
    <row r="418" ht="13.5" customHeight="1" s="160"/>
    <row r="419" ht="13.5" customHeight="1" s="160"/>
    <row r="420" ht="13.5" customHeight="1" s="160"/>
    <row r="421" ht="13.5" customHeight="1" s="160"/>
    <row r="422" ht="13.5" customHeight="1" s="160"/>
    <row r="423" ht="13.5" customHeight="1" s="160"/>
    <row r="424" ht="13.5" customHeight="1" s="160"/>
    <row r="425" ht="13.5" customHeight="1" s="160"/>
    <row r="426" ht="13.5" customHeight="1" s="160"/>
    <row r="427" ht="13.5" customHeight="1" s="160"/>
    <row r="428" ht="13.5" customHeight="1" s="160"/>
    <row r="429" ht="13.5" customHeight="1" s="160"/>
    <row r="430" ht="13.5" customHeight="1" s="160"/>
    <row r="431" ht="13.5" customHeight="1" s="160"/>
    <row r="432" ht="13.5" customHeight="1" s="160"/>
    <row r="433" ht="13.5" customHeight="1" s="160"/>
    <row r="434" ht="13.5" customHeight="1" s="160"/>
    <row r="435" ht="13.5" customHeight="1" s="160"/>
    <row r="436" ht="13.5" customHeight="1" s="160"/>
    <row r="437" ht="13.5" customHeight="1" s="160"/>
    <row r="438" ht="13.5" customHeight="1" s="160"/>
    <row r="439" ht="13.5" customHeight="1" s="160"/>
    <row r="440" ht="13.5" customHeight="1" s="160"/>
    <row r="441" ht="13.5" customHeight="1" s="160"/>
    <row r="442" ht="13.5" customHeight="1" s="160"/>
    <row r="443" ht="13.5" customHeight="1" s="160"/>
    <row r="444" ht="13.5" customHeight="1" s="160"/>
    <row r="445" ht="13.5" customHeight="1" s="160"/>
    <row r="446" ht="13.5" customHeight="1" s="160"/>
    <row r="447" ht="13.5" customHeight="1" s="160"/>
    <row r="448" ht="13.5" customHeight="1" s="160"/>
    <row r="449" ht="13.5" customHeight="1" s="160"/>
    <row r="450" ht="13.5" customHeight="1" s="160"/>
    <row r="451" ht="13.5" customHeight="1" s="160"/>
    <row r="452" ht="13.5" customHeight="1" s="160"/>
    <row r="453" ht="13.5" customHeight="1" s="160"/>
    <row r="454" ht="13.5" customHeight="1" s="160"/>
    <row r="455" ht="13.5" customHeight="1" s="160"/>
    <row r="456" ht="13.5" customHeight="1" s="160"/>
    <row r="457" ht="13.5" customHeight="1" s="160"/>
    <row r="458" ht="13.5" customHeight="1" s="160"/>
    <row r="459" ht="13.5" customHeight="1" s="160"/>
    <row r="460" ht="13.5" customHeight="1" s="160"/>
    <row r="461" ht="13.5" customHeight="1" s="160"/>
    <row r="462" ht="13.5" customHeight="1" s="160"/>
    <row r="463" ht="13.5" customHeight="1" s="160"/>
    <row r="464" ht="13.5" customHeight="1" s="160"/>
    <row r="465" ht="13.5" customHeight="1" s="160"/>
    <row r="466" ht="13.5" customHeight="1" s="160"/>
    <row r="467" ht="13.5" customHeight="1" s="160"/>
    <row r="468" ht="13.5" customHeight="1" s="160"/>
    <row r="469" ht="13.5" customHeight="1" s="160"/>
    <row r="470" ht="13.5" customHeight="1" s="160"/>
    <row r="471" ht="13.5" customHeight="1" s="160"/>
    <row r="472" ht="13.5" customHeight="1" s="160"/>
    <row r="473" ht="13.5" customHeight="1" s="160"/>
    <row r="474" ht="13.5" customHeight="1" s="160"/>
    <row r="475" ht="13.5" customHeight="1" s="160"/>
    <row r="476" ht="13.5" customHeight="1" s="160"/>
    <row r="477" ht="13.5" customHeight="1" s="160"/>
    <row r="478" ht="13.5" customHeight="1" s="160"/>
    <row r="479" ht="13.5" customHeight="1" s="160"/>
    <row r="480" ht="13.5" customHeight="1" s="160"/>
    <row r="481" ht="13.5" customHeight="1" s="160"/>
    <row r="482" ht="13.5" customHeight="1" s="160"/>
    <row r="483" ht="13.5" customHeight="1" s="160"/>
    <row r="484" ht="13.5" customHeight="1" s="160"/>
    <row r="485" ht="13.5" customHeight="1" s="160"/>
    <row r="486" ht="13.5" customHeight="1" s="160"/>
    <row r="487" ht="13.5" customHeight="1" s="160"/>
    <row r="488" ht="13.5" customHeight="1" s="160"/>
    <row r="489" ht="13.5" customHeight="1" s="160"/>
    <row r="490" ht="13.5" customHeight="1" s="160"/>
    <row r="491" ht="13.5" customHeight="1" s="160"/>
    <row r="492" ht="13.5" customHeight="1" s="160"/>
    <row r="493" ht="13.5" customHeight="1" s="160"/>
    <row r="494" ht="13.5" customHeight="1" s="160"/>
    <row r="495" ht="13.5" customHeight="1" s="160"/>
    <row r="496" ht="13.5" customHeight="1" s="160"/>
    <row r="497" ht="13.5" customHeight="1" s="160"/>
    <row r="498" ht="13.5" customHeight="1" s="160"/>
    <row r="499" ht="13.5" customHeight="1" s="160"/>
    <row r="500" ht="13.5" customHeight="1" s="160"/>
    <row r="501" ht="13.5" customHeight="1" s="160"/>
    <row r="502" ht="13.5" customHeight="1" s="160"/>
    <row r="503" ht="13.5" customHeight="1" s="160"/>
    <row r="504" ht="13.5" customHeight="1" s="160"/>
    <row r="505" ht="13.5" customHeight="1" s="160"/>
    <row r="506" ht="13.5" customHeight="1" s="160"/>
    <row r="507" ht="13.5" customHeight="1" s="160"/>
    <row r="508" ht="13.5" customHeight="1" s="160"/>
    <row r="509" ht="13.5" customHeight="1" s="160"/>
    <row r="510" ht="13.5" customHeight="1" s="160"/>
    <row r="511" ht="13.5" customHeight="1" s="160"/>
    <row r="512" ht="13.5" customHeight="1" s="160"/>
    <row r="513" ht="13.5" customHeight="1" s="160"/>
  </sheetData>
  <mergeCells count="1">
    <mergeCell ref="I25:K25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verticalDpi="300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N33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sheetData>
    <row r="1" customFormat="1" s="11">
      <c r="A1" s="424" t="inlineStr">
        <is>
          <t>PJ名</t>
        </is>
      </c>
      <c r="B1" s="365" t="n"/>
      <c r="C1" s="365" t="n"/>
      <c r="D1" s="366" t="n"/>
      <c r="E1" s="425" t="inlineStr">
        <is>
          <t>サンプルプロジェクト</t>
        </is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29" t="inlineStr">
        <is>
          <t>システム機能設計書（画面）
WA10201/プロジェクト登録</t>
        </is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IF(AF8="","",AF8)</f>
        <v/>
      </c>
      <c r="AD1" s="365" t="n"/>
      <c r="AE1" s="365" t="n"/>
      <c r="AF1" s="366" t="n"/>
      <c r="AG1" s="431">
        <f>IF(D8="","",D8)</f>
        <v/>
      </c>
      <c r="AH1" s="365" t="n"/>
      <c r="AI1" s="366" t="n"/>
      <c r="AJ1" s="9" t="n"/>
      <c r="AK1" s="9" t="n"/>
      <c r="AL1" s="9" t="n"/>
      <c r="AM1" s="9" t="n"/>
      <c r="AN1" s="10" t="n"/>
    </row>
    <row r="2" customFormat="1" s="11">
      <c r="A2" s="424" t="inlineStr">
        <is>
          <t>システム名</t>
        </is>
      </c>
      <c r="B2" s="365" t="n"/>
      <c r="C2" s="365" t="n"/>
      <c r="D2" s="366" t="n"/>
      <c r="E2" s="425" t="inlineStr">
        <is>
          <t>サンプルシステム</t>
        </is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4">
        <f>IF(COUNTA(AF9:AF33)&lt;&gt;0,INDIRECT("AF"&amp;(COUNTA(AF9:AF33)+8)),"")</f>
        <v/>
      </c>
      <c r="AD2" s="365" t="n"/>
      <c r="AE2" s="365" t="n"/>
      <c r="AF2" s="366" t="n"/>
      <c r="AG2" s="431">
        <f>IF(D9="","",MAX(D9:F33))</f>
        <v/>
      </c>
      <c r="AH2" s="365" t="n"/>
      <c r="AI2" s="366" t="n"/>
      <c r="AJ2" s="9" t="n"/>
      <c r="AK2" s="9" t="n"/>
      <c r="AL2" s="9" t="n"/>
      <c r="AM2" s="9" t="n"/>
      <c r="AN2" s="9" t="n"/>
    </row>
    <row r="3" customFormat="1" s="11">
      <c r="A3" s="424" t="inlineStr">
        <is>
          <t>サブシステム名</t>
        </is>
      </c>
      <c r="B3" s="365" t="n"/>
      <c r="C3" s="365" t="n"/>
      <c r="D3" s="366" t="n"/>
      <c r="E3" s="425" t="inlineStr">
        <is>
          <t>プロジェクト管理システム</t>
        </is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38" t="n"/>
      <c r="AB3" s="366" t="n"/>
      <c r="AC3" s="439" t="n"/>
      <c r="AD3" s="365" t="n"/>
      <c r="AE3" s="365" t="n"/>
      <c r="AF3" s="366" t="n"/>
      <c r="AG3" s="431" t="n"/>
      <c r="AH3" s="365" t="n"/>
      <c r="AI3" s="366" t="n"/>
      <c r="AJ3" s="9" t="n"/>
      <c r="AK3" s="9" t="n"/>
      <c r="AL3" s="9" t="n"/>
      <c r="AM3" s="9" t="n"/>
      <c r="AN3" s="9" t="n"/>
    </row>
    <row r="4" customFormat="1" s="15">
      <c r="A4" t="inlineStr">
        <is>
          <t>ほげほげ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  <c r="AE4" s="16" t="n"/>
      <c r="AF4" s="16" t="n"/>
      <c r="AG4" s="16" t="n"/>
      <c r="AH4" s="16" t="n"/>
      <c r="AI4" s="16" t="n"/>
      <c r="AJ4" s="16" t="n"/>
      <c r="AK4" s="16" t="n"/>
      <c r="AL4" s="16" t="n"/>
      <c r="AM4" s="16" t="n"/>
      <c r="AN4" s="16" t="n"/>
    </row>
    <row r="5" ht="22.5" customFormat="1" customHeight="1" s="17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3" t="inlineStr">
        <is>
          <t>変更履歴（ 1　/ 1 ）</t>
        </is>
      </c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22" t="n"/>
      <c r="AB5" s="22" t="n"/>
      <c r="AC5" s="23" t="n"/>
      <c r="AD5" s="24" t="n"/>
      <c r="AE5" s="24" t="n"/>
      <c r="AF5" s="24" t="n"/>
      <c r="AG5" s="22" t="n"/>
      <c r="AH5" s="22" t="n"/>
      <c r="AI5" s="22" t="n"/>
      <c r="AJ5" s="11" t="n"/>
      <c r="AK5" s="11" t="n"/>
      <c r="AL5" s="11" t="n"/>
      <c r="AM5" s="11" t="n"/>
      <c r="AN5" s="11" t="n"/>
    </row>
    <row r="6" ht="15" customFormat="1" customHeight="1" s="17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3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22" t="n"/>
      <c r="AB6" s="22" t="n"/>
      <c r="AC6" s="23" t="n"/>
      <c r="AD6" s="24" t="n"/>
      <c r="AE6" s="24" t="n"/>
      <c r="AF6" s="24" t="n"/>
      <c r="AG6" s="22" t="n"/>
      <c r="AH6" s="22" t="n"/>
      <c r="AI6" s="22" t="n"/>
      <c r="AJ6" s="11" t="n"/>
      <c r="AK6" s="11" t="n"/>
      <c r="AL6" s="11" t="n"/>
      <c r="AM6" s="11" t="n"/>
      <c r="AN6" s="11" t="n"/>
    </row>
    <row r="7" ht="15" customFormat="1" customHeight="1" s="39" thickBot="1">
      <c r="A7" s="38" t="inlineStr">
        <is>
          <t>No.</t>
        </is>
      </c>
      <c r="B7" s="38" t="inlineStr">
        <is>
          <t>版数</t>
        </is>
      </c>
      <c r="C7" s="440" t="n"/>
      <c r="D7" s="38" t="inlineStr">
        <is>
          <t>変更日</t>
        </is>
      </c>
      <c r="E7" s="441" t="n"/>
      <c r="F7" s="440" t="n"/>
      <c r="G7" s="38" t="inlineStr">
        <is>
          <t>区分</t>
        </is>
      </c>
      <c r="H7" s="441" t="n"/>
      <c r="I7" s="440" t="n"/>
      <c r="J7" s="38" t="inlineStr">
        <is>
          <t>変更箇所（項番等）</t>
        </is>
      </c>
      <c r="K7" s="441" t="n"/>
      <c r="L7" s="441" t="n"/>
      <c r="M7" s="441" t="n"/>
      <c r="N7" s="441" t="n"/>
      <c r="O7" s="441" t="n"/>
      <c r="P7" s="440" t="n"/>
      <c r="Q7" s="38" t="inlineStr">
        <is>
          <t>変更内容</t>
        </is>
      </c>
      <c r="R7" s="441" t="n"/>
      <c r="S7" s="441" t="n"/>
      <c r="T7" s="441" t="n"/>
      <c r="U7" s="441" t="n"/>
      <c r="V7" s="441" t="n"/>
      <c r="W7" s="441" t="n"/>
      <c r="X7" s="441" t="n"/>
      <c r="Y7" s="441" t="n"/>
      <c r="Z7" s="441" t="n"/>
      <c r="AA7" s="441" t="n"/>
      <c r="AB7" s="441" t="n"/>
      <c r="AC7" s="441" t="n"/>
      <c r="AD7" s="441" t="n"/>
      <c r="AE7" s="440" t="n"/>
      <c r="AF7" s="38" t="inlineStr">
        <is>
          <t>担当者</t>
        </is>
      </c>
      <c r="AG7" s="441" t="n"/>
      <c r="AH7" s="441" t="n"/>
      <c r="AI7" s="440" t="n"/>
    </row>
    <row r="8" ht="15" customFormat="1" customHeight="1" s="39" thickTop="1">
      <c r="A8" s="40" t="n">
        <v>1</v>
      </c>
      <c r="B8" s="442" t="inlineStr">
        <is>
          <t>1.0版</t>
        </is>
      </c>
      <c r="C8" s="443" t="n"/>
      <c r="D8" s="444" t="n">
        <v>43598</v>
      </c>
      <c r="E8" s="445" t="n"/>
      <c r="F8" s="443" t="n"/>
      <c r="G8" s="442" t="inlineStr">
        <is>
          <t>新規</t>
        </is>
      </c>
      <c r="H8" s="445" t="n"/>
      <c r="I8" s="443" t="n"/>
      <c r="J8" s="446" t="inlineStr">
        <is>
          <t>-</t>
        </is>
      </c>
      <c r="K8" s="445" t="n"/>
      <c r="L8" s="445" t="n"/>
      <c r="M8" s="445" t="n"/>
      <c r="N8" s="445" t="n"/>
      <c r="O8" s="445" t="n"/>
      <c r="P8" s="443" t="n"/>
      <c r="Q8" s="447" t="inlineStr">
        <is>
          <t>(新規作成)</t>
        </is>
      </c>
      <c r="R8" s="445" t="n"/>
      <c r="S8" s="445" t="n"/>
      <c r="T8" s="445" t="n"/>
      <c r="U8" s="445" t="n"/>
      <c r="V8" s="445" t="n"/>
      <c r="W8" s="445" t="n"/>
      <c r="X8" s="445" t="n"/>
      <c r="Y8" s="445" t="n"/>
      <c r="Z8" s="445" t="n"/>
      <c r="AA8" s="445" t="n"/>
      <c r="AB8" s="445" t="n"/>
      <c r="AC8" s="445" t="n"/>
      <c r="AD8" s="445" t="n"/>
      <c r="AE8" s="443" t="n"/>
      <c r="AF8" s="448" t="inlineStr">
        <is>
          <t>TIS</t>
        </is>
      </c>
      <c r="AG8" s="445" t="n"/>
      <c r="AH8" s="445" t="n"/>
      <c r="AI8" s="443" t="n"/>
    </row>
    <row r="9" ht="15" customFormat="1" customHeight="1" s="39">
      <c r="A9" s="41" t="n">
        <v>2</v>
      </c>
      <c r="B9" s="41" t="inlineStr">
        <is>
          <t>1.1版</t>
        </is>
      </c>
      <c r="C9" s="366" t="n"/>
      <c r="D9" s="449" t="n">
        <v>44701</v>
      </c>
      <c r="E9" s="365" t="n"/>
      <c r="F9" s="366" t="n"/>
      <c r="G9" s="41" t="inlineStr">
        <is>
          <t>変更</t>
        </is>
      </c>
      <c r="H9" s="365" t="n"/>
      <c r="I9" s="366" t="n"/>
      <c r="J9" s="450" t="inlineStr">
        <is>
          <t>全体</t>
        </is>
      </c>
      <c r="K9" s="365" t="n"/>
      <c r="L9" s="365" t="n"/>
      <c r="M9" s="365" t="n"/>
      <c r="N9" s="365" t="n"/>
      <c r="O9" s="365" t="n"/>
      <c r="P9" s="366" t="n"/>
      <c r="Q9" s="268" t="inlineStr">
        <is>
          <t>画面レイアウトの貼り替え</t>
        </is>
      </c>
      <c r="R9" s="365" t="n"/>
      <c r="S9" s="365" t="n"/>
      <c r="T9" s="365" t="n"/>
      <c r="U9" s="365" t="n"/>
      <c r="V9" s="365" t="n"/>
      <c r="W9" s="365" t="n"/>
      <c r="X9" s="365" t="n"/>
      <c r="Y9" s="365" t="n"/>
      <c r="Z9" s="365" t="n"/>
      <c r="AA9" s="365" t="n"/>
      <c r="AB9" s="365" t="n"/>
      <c r="AC9" s="365" t="n"/>
      <c r="AD9" s="365" t="n"/>
      <c r="AE9" s="366" t="n"/>
      <c r="AF9" s="450" t="inlineStr">
        <is>
          <t>TIS</t>
        </is>
      </c>
      <c r="AG9" s="365" t="n"/>
      <c r="AH9" s="365" t="n"/>
      <c r="AI9" s="366" t="n"/>
    </row>
    <row r="10" ht="15" customFormat="1" customHeight="1" s="39">
      <c r="A10" s="41" t="n"/>
      <c r="B10" s="41" t="n"/>
      <c r="C10" s="366" t="n"/>
      <c r="D10" s="449" t="n"/>
      <c r="E10" s="365" t="n"/>
      <c r="F10" s="366" t="n"/>
      <c r="G10" s="41" t="n"/>
      <c r="H10" s="365" t="n"/>
      <c r="I10" s="366" t="n"/>
      <c r="J10" s="450" t="inlineStr">
        <is>
          <t>3. WA1020102</t>
        </is>
      </c>
      <c r="K10" s="365" t="n"/>
      <c r="L10" s="365" t="n"/>
      <c r="M10" s="365" t="n"/>
      <c r="N10" s="365" t="n"/>
      <c r="O10" s="365" t="n"/>
      <c r="P10" s="366" t="n"/>
      <c r="Q10" s="268" t="inlineStr">
        <is>
          <t>hiddenで値を持ち回るよう変更</t>
        </is>
      </c>
      <c r="R10" s="365" t="n"/>
      <c r="S10" s="365" t="n"/>
      <c r="T10" s="365" t="n"/>
      <c r="U10" s="365" t="n"/>
      <c r="V10" s="365" t="n"/>
      <c r="W10" s="365" t="n"/>
      <c r="X10" s="365" t="n"/>
      <c r="Y10" s="365" t="n"/>
      <c r="Z10" s="365" t="n"/>
      <c r="AA10" s="365" t="n"/>
      <c r="AB10" s="365" t="n"/>
      <c r="AC10" s="365" t="n"/>
      <c r="AD10" s="365" t="n"/>
      <c r="AE10" s="366" t="n"/>
      <c r="AF10" s="450" t="inlineStr">
        <is>
          <t>TIS</t>
        </is>
      </c>
      <c r="AG10" s="365" t="n"/>
      <c r="AH10" s="365" t="n"/>
      <c r="AI10" s="366" t="n"/>
    </row>
    <row r="11" ht="15" customFormat="1" customHeight="1" s="39">
      <c r="A11" s="41" t="n">
        <v>3</v>
      </c>
      <c r="B11" s="41" t="inlineStr">
        <is>
          <t>1.2版</t>
        </is>
      </c>
      <c r="C11" s="366" t="n"/>
      <c r="D11" s="449" t="n">
        <v>44907</v>
      </c>
      <c r="E11" s="365" t="n"/>
      <c r="F11" s="366" t="n"/>
      <c r="G11" s="41" t="inlineStr">
        <is>
          <t>変更</t>
        </is>
      </c>
      <c r="H11" s="365" t="n"/>
      <c r="I11" s="366" t="n"/>
      <c r="J11" s="450" t="inlineStr">
        <is>
          <t>3. WA1020102、4. WA1020103</t>
        </is>
      </c>
      <c r="K11" s="365" t="n"/>
      <c r="L11" s="365" t="n"/>
      <c r="M11" s="365" t="n"/>
      <c r="N11" s="365" t="n"/>
      <c r="O11" s="365" t="n"/>
      <c r="P11" s="366" t="n"/>
      <c r="Q11" s="268" t="inlineStr">
        <is>
          <t>ドメイン情報をドメイン定義書に合わせて修正</t>
        </is>
      </c>
      <c r="R11" s="365" t="n"/>
      <c r="S11" s="365" t="n"/>
      <c r="T11" s="365" t="n"/>
      <c r="U11" s="365" t="n"/>
      <c r="V11" s="365" t="n"/>
      <c r="W11" s="365" t="n"/>
      <c r="X11" s="365" t="n"/>
      <c r="Y11" s="365" t="n"/>
      <c r="Z11" s="365" t="n"/>
      <c r="AA11" s="365" t="n"/>
      <c r="AB11" s="365" t="n"/>
      <c r="AC11" s="365" t="n"/>
      <c r="AD11" s="365" t="n"/>
      <c r="AE11" s="366" t="n"/>
      <c r="AF11" s="450" t="inlineStr">
        <is>
          <t>TIS</t>
        </is>
      </c>
      <c r="AG11" s="365" t="n"/>
      <c r="AH11" s="365" t="n"/>
      <c r="AI11" s="366" t="n"/>
    </row>
    <row r="12" ht="15" customFormat="1" customHeight="1" s="39">
      <c r="A12" s="41" t="n">
        <v>4</v>
      </c>
      <c r="B12" s="41" t="inlineStr">
        <is>
          <t>1.2版</t>
        </is>
      </c>
      <c r="C12" s="366" t="n"/>
      <c r="D12" s="449" t="n">
        <v>44908</v>
      </c>
      <c r="E12" s="365" t="n"/>
      <c r="F12" s="366" t="n"/>
      <c r="G12" s="41" t="inlineStr">
        <is>
          <t>変更</t>
        </is>
      </c>
      <c r="H12" s="365" t="n"/>
      <c r="I12" s="366" t="n"/>
      <c r="J12" s="450" t="inlineStr">
        <is>
          <t>2. WA1020101</t>
        </is>
      </c>
      <c r="K12" s="365" t="n"/>
      <c r="L12" s="365" t="n"/>
      <c r="M12" s="365" t="n"/>
      <c r="N12" s="365" t="n"/>
      <c r="O12" s="365" t="n"/>
      <c r="P12" s="366" t="n"/>
      <c r="Q12" s="268" t="inlineStr">
        <is>
          <t>単項目バリデーションのバリデーション内容の説明を修正</t>
        </is>
      </c>
      <c r="R12" s="365" t="n"/>
      <c r="S12" s="365" t="n"/>
      <c r="T12" s="365" t="n"/>
      <c r="U12" s="365" t="n"/>
      <c r="V12" s="365" t="n"/>
      <c r="W12" s="365" t="n"/>
      <c r="X12" s="365" t="n"/>
      <c r="Y12" s="365" t="n"/>
      <c r="Z12" s="365" t="n"/>
      <c r="AA12" s="365" t="n"/>
      <c r="AB12" s="365" t="n"/>
      <c r="AC12" s="365" t="n"/>
      <c r="AD12" s="365" t="n"/>
      <c r="AE12" s="366" t="n"/>
      <c r="AF12" s="450" t="inlineStr">
        <is>
          <t>TIS</t>
        </is>
      </c>
      <c r="AG12" s="365" t="n"/>
      <c r="AH12" s="365" t="n"/>
      <c r="AI12" s="366" t="n"/>
    </row>
    <row r="13" ht="15" customFormat="1" customHeight="1" s="39">
      <c r="A13" s="41" t="n"/>
      <c r="B13" s="41" t="n"/>
      <c r="C13" s="366" t="n"/>
      <c r="D13" s="449" t="n"/>
      <c r="E13" s="365" t="n"/>
      <c r="F13" s="366" t="n"/>
      <c r="G13" s="41" t="n"/>
      <c r="H13" s="365" t="n"/>
      <c r="I13" s="366" t="n"/>
      <c r="J13" s="450" t="n"/>
      <c r="K13" s="365" t="n"/>
      <c r="L13" s="365" t="n"/>
      <c r="M13" s="365" t="n"/>
      <c r="N13" s="365" t="n"/>
      <c r="O13" s="365" t="n"/>
      <c r="P13" s="366" t="n"/>
      <c r="Q13" s="268" t="n"/>
      <c r="R13" s="365" t="n"/>
      <c r="S13" s="365" t="n"/>
      <c r="T13" s="365" t="n"/>
      <c r="U13" s="365" t="n"/>
      <c r="V13" s="365" t="n"/>
      <c r="W13" s="365" t="n"/>
      <c r="X13" s="365" t="n"/>
      <c r="Y13" s="365" t="n"/>
      <c r="Z13" s="365" t="n"/>
      <c r="AA13" s="365" t="n"/>
      <c r="AB13" s="365" t="n"/>
      <c r="AC13" s="365" t="n"/>
      <c r="AD13" s="365" t="n"/>
      <c r="AE13" s="366" t="n"/>
      <c r="AF13" s="450" t="n"/>
      <c r="AG13" s="365" t="n"/>
      <c r="AH13" s="365" t="n"/>
      <c r="AI13" s="366" t="n"/>
    </row>
    <row r="14" ht="15" customFormat="1" customHeight="1" s="39">
      <c r="A14" s="41" t="n"/>
      <c r="B14" s="41" t="n"/>
      <c r="C14" s="366" t="n"/>
      <c r="D14" s="449" t="n"/>
      <c r="E14" s="365" t="n"/>
      <c r="F14" s="366" t="n"/>
      <c r="G14" s="41" t="n"/>
      <c r="H14" s="365" t="n"/>
      <c r="I14" s="366" t="n"/>
      <c r="J14" s="450" t="n"/>
      <c r="K14" s="365" t="n"/>
      <c r="L14" s="365" t="n"/>
      <c r="M14" s="365" t="n"/>
      <c r="N14" s="365" t="n"/>
      <c r="O14" s="365" t="n"/>
      <c r="P14" s="366" t="n"/>
      <c r="Q14" s="268" t="n"/>
      <c r="R14" s="365" t="n"/>
      <c r="S14" s="365" t="n"/>
      <c r="T14" s="365" t="n"/>
      <c r="U14" s="365" t="n"/>
      <c r="V14" s="365" t="n"/>
      <c r="W14" s="365" t="n"/>
      <c r="X14" s="365" t="n"/>
      <c r="Y14" s="365" t="n"/>
      <c r="Z14" s="365" t="n"/>
      <c r="AA14" s="365" t="n"/>
      <c r="AB14" s="365" t="n"/>
      <c r="AC14" s="365" t="n"/>
      <c r="AD14" s="365" t="n"/>
      <c r="AE14" s="366" t="n"/>
      <c r="AF14" s="450" t="n"/>
      <c r="AG14" s="365" t="n"/>
      <c r="AH14" s="365" t="n"/>
      <c r="AI14" s="366" t="n"/>
    </row>
    <row r="15" ht="15" customFormat="1" customHeight="1" s="39">
      <c r="A15" s="41" t="n"/>
      <c r="B15" s="41" t="n"/>
      <c r="C15" s="366" t="n"/>
      <c r="D15" s="449" t="n"/>
      <c r="E15" s="365" t="n"/>
      <c r="F15" s="366" t="n"/>
      <c r="G15" s="41" t="n"/>
      <c r="H15" s="365" t="n"/>
      <c r="I15" s="366" t="n"/>
      <c r="J15" s="450" t="n"/>
      <c r="K15" s="365" t="n"/>
      <c r="L15" s="365" t="n"/>
      <c r="M15" s="365" t="n"/>
      <c r="N15" s="365" t="n"/>
      <c r="O15" s="365" t="n"/>
      <c r="P15" s="366" t="n"/>
      <c r="Q15" s="268" t="n"/>
      <c r="R15" s="365" t="n"/>
      <c r="S15" s="365" t="n"/>
      <c r="T15" s="365" t="n"/>
      <c r="U15" s="365" t="n"/>
      <c r="V15" s="365" t="n"/>
      <c r="W15" s="365" t="n"/>
      <c r="X15" s="365" t="n"/>
      <c r="Y15" s="365" t="n"/>
      <c r="Z15" s="365" t="n"/>
      <c r="AA15" s="365" t="n"/>
      <c r="AB15" s="365" t="n"/>
      <c r="AC15" s="365" t="n"/>
      <c r="AD15" s="365" t="n"/>
      <c r="AE15" s="366" t="n"/>
      <c r="AF15" s="450" t="n"/>
      <c r="AG15" s="365" t="n"/>
      <c r="AH15" s="365" t="n"/>
      <c r="AI15" s="366" t="n"/>
    </row>
    <row r="16" ht="15" customFormat="1" customHeight="1" s="39">
      <c r="A16" s="41" t="n"/>
      <c r="B16" s="41" t="n"/>
      <c r="C16" s="366" t="n"/>
      <c r="D16" s="449" t="n"/>
      <c r="E16" s="365" t="n"/>
      <c r="F16" s="366" t="n"/>
      <c r="G16" s="41" t="n"/>
      <c r="H16" s="365" t="n"/>
      <c r="I16" s="366" t="n"/>
      <c r="J16" s="450" t="n"/>
      <c r="K16" s="365" t="n"/>
      <c r="L16" s="365" t="n"/>
      <c r="M16" s="365" t="n"/>
      <c r="N16" s="365" t="n"/>
      <c r="O16" s="365" t="n"/>
      <c r="P16" s="366" t="n"/>
      <c r="Q16" s="268" t="n"/>
      <c r="R16" s="365" t="n"/>
      <c r="S16" s="365" t="n"/>
      <c r="T16" s="365" t="n"/>
      <c r="U16" s="365" t="n"/>
      <c r="V16" s="365" t="n"/>
      <c r="W16" s="365" t="n"/>
      <c r="X16" s="365" t="n"/>
      <c r="Y16" s="365" t="n"/>
      <c r="Z16" s="365" t="n"/>
      <c r="AA16" s="365" t="n"/>
      <c r="AB16" s="365" t="n"/>
      <c r="AC16" s="365" t="n"/>
      <c r="AD16" s="365" t="n"/>
      <c r="AE16" s="366" t="n"/>
      <c r="AF16" s="450" t="n"/>
      <c r="AG16" s="365" t="n"/>
      <c r="AH16" s="365" t="n"/>
      <c r="AI16" s="366" t="n"/>
    </row>
    <row r="17" ht="15" customFormat="1" customHeight="1" s="39">
      <c r="A17" s="41" t="n"/>
      <c r="B17" s="41" t="n"/>
      <c r="C17" s="366" t="n"/>
      <c r="D17" s="449" t="n"/>
      <c r="E17" s="365" t="n"/>
      <c r="F17" s="366" t="n"/>
      <c r="G17" s="41" t="n"/>
      <c r="H17" s="365" t="n"/>
      <c r="I17" s="366" t="n"/>
      <c r="J17" s="450" t="n"/>
      <c r="K17" s="365" t="n"/>
      <c r="L17" s="365" t="n"/>
      <c r="M17" s="365" t="n"/>
      <c r="N17" s="365" t="n"/>
      <c r="O17" s="365" t="n"/>
      <c r="P17" s="366" t="n"/>
      <c r="Q17" s="268" t="n"/>
      <c r="R17" s="365" t="n"/>
      <c r="S17" s="365" t="n"/>
      <c r="T17" s="365" t="n"/>
      <c r="U17" s="365" t="n"/>
      <c r="V17" s="365" t="n"/>
      <c r="W17" s="365" t="n"/>
      <c r="X17" s="365" t="n"/>
      <c r="Y17" s="365" t="n"/>
      <c r="Z17" s="365" t="n"/>
      <c r="AA17" s="365" t="n"/>
      <c r="AB17" s="365" t="n"/>
      <c r="AC17" s="365" t="n"/>
      <c r="AD17" s="365" t="n"/>
      <c r="AE17" s="366" t="n"/>
      <c r="AF17" s="450" t="n"/>
      <c r="AG17" s="365" t="n"/>
      <c r="AH17" s="365" t="n"/>
      <c r="AI17" s="366" t="n"/>
    </row>
    <row r="18" ht="15" customFormat="1" customHeight="1" s="39">
      <c r="A18" s="41" t="n"/>
      <c r="B18" s="41" t="n"/>
      <c r="C18" s="366" t="n"/>
      <c r="D18" s="449" t="n"/>
      <c r="E18" s="365" t="n"/>
      <c r="F18" s="366" t="n"/>
      <c r="G18" s="41" t="n"/>
      <c r="H18" s="365" t="n"/>
      <c r="I18" s="366" t="n"/>
      <c r="J18" s="450" t="n"/>
      <c r="K18" s="365" t="n"/>
      <c r="L18" s="365" t="n"/>
      <c r="M18" s="365" t="n"/>
      <c r="N18" s="365" t="n"/>
      <c r="O18" s="365" t="n"/>
      <c r="P18" s="366" t="n"/>
      <c r="Q18" s="268" t="n"/>
      <c r="R18" s="365" t="n"/>
      <c r="S18" s="365" t="n"/>
      <c r="T18" s="365" t="n"/>
      <c r="U18" s="365" t="n"/>
      <c r="V18" s="365" t="n"/>
      <c r="W18" s="365" t="n"/>
      <c r="X18" s="365" t="n"/>
      <c r="Y18" s="365" t="n"/>
      <c r="Z18" s="365" t="n"/>
      <c r="AA18" s="365" t="n"/>
      <c r="AB18" s="365" t="n"/>
      <c r="AC18" s="365" t="n"/>
      <c r="AD18" s="365" t="n"/>
      <c r="AE18" s="366" t="n"/>
      <c r="AF18" s="450" t="n"/>
      <c r="AG18" s="365" t="n"/>
      <c r="AH18" s="365" t="n"/>
      <c r="AI18" s="366" t="n"/>
    </row>
    <row r="19" ht="15" customFormat="1" customHeight="1" s="39">
      <c r="A19" s="41" t="n"/>
      <c r="B19" s="41" t="n"/>
      <c r="C19" s="366" t="n"/>
      <c r="D19" s="449" t="n"/>
      <c r="E19" s="365" t="n"/>
      <c r="F19" s="366" t="n"/>
      <c r="G19" s="41" t="n"/>
      <c r="H19" s="365" t="n"/>
      <c r="I19" s="366" t="n"/>
      <c r="J19" s="450" t="n"/>
      <c r="K19" s="365" t="n"/>
      <c r="L19" s="365" t="n"/>
      <c r="M19" s="365" t="n"/>
      <c r="N19" s="365" t="n"/>
      <c r="O19" s="365" t="n"/>
      <c r="P19" s="366" t="n"/>
      <c r="Q19" s="268" t="n"/>
      <c r="R19" s="365" t="n"/>
      <c r="S19" s="365" t="n"/>
      <c r="T19" s="365" t="n"/>
      <c r="U19" s="365" t="n"/>
      <c r="V19" s="365" t="n"/>
      <c r="W19" s="365" t="n"/>
      <c r="X19" s="365" t="n"/>
      <c r="Y19" s="365" t="n"/>
      <c r="Z19" s="365" t="n"/>
      <c r="AA19" s="365" t="n"/>
      <c r="AB19" s="365" t="n"/>
      <c r="AC19" s="365" t="n"/>
      <c r="AD19" s="365" t="n"/>
      <c r="AE19" s="366" t="n"/>
      <c r="AF19" s="450" t="n"/>
      <c r="AG19" s="365" t="n"/>
      <c r="AH19" s="365" t="n"/>
      <c r="AI19" s="366" t="n"/>
    </row>
    <row r="20" ht="15" customFormat="1" customHeight="1" s="39">
      <c r="A20" s="41" t="n"/>
      <c r="B20" s="41" t="n"/>
      <c r="C20" s="366" t="n"/>
      <c r="D20" s="449" t="n"/>
      <c r="E20" s="365" t="n"/>
      <c r="F20" s="366" t="n"/>
      <c r="G20" s="41" t="n"/>
      <c r="H20" s="365" t="n"/>
      <c r="I20" s="366" t="n"/>
      <c r="J20" s="450" t="n"/>
      <c r="K20" s="365" t="n"/>
      <c r="L20" s="365" t="n"/>
      <c r="M20" s="365" t="n"/>
      <c r="N20" s="365" t="n"/>
      <c r="O20" s="365" t="n"/>
      <c r="P20" s="366" t="n"/>
      <c r="Q20" s="268" t="n"/>
      <c r="R20" s="365" t="n"/>
      <c r="S20" s="365" t="n"/>
      <c r="T20" s="365" t="n"/>
      <c r="U20" s="365" t="n"/>
      <c r="V20" s="365" t="n"/>
      <c r="W20" s="365" t="n"/>
      <c r="X20" s="365" t="n"/>
      <c r="Y20" s="365" t="n"/>
      <c r="Z20" s="365" t="n"/>
      <c r="AA20" s="365" t="n"/>
      <c r="AB20" s="365" t="n"/>
      <c r="AC20" s="365" t="n"/>
      <c r="AD20" s="365" t="n"/>
      <c r="AE20" s="366" t="n"/>
      <c r="AF20" s="450" t="n"/>
      <c r="AG20" s="365" t="n"/>
      <c r="AH20" s="365" t="n"/>
      <c r="AI20" s="366" t="n"/>
    </row>
    <row r="21" ht="15" customFormat="1" customHeight="1" s="39">
      <c r="A21" s="41" t="n"/>
      <c r="B21" s="41" t="n"/>
      <c r="C21" s="366" t="n"/>
      <c r="D21" s="449" t="n"/>
      <c r="E21" s="365" t="n"/>
      <c r="F21" s="366" t="n"/>
      <c r="G21" s="41" t="n"/>
      <c r="H21" s="365" t="n"/>
      <c r="I21" s="366" t="n"/>
      <c r="J21" s="450" t="n"/>
      <c r="K21" s="365" t="n"/>
      <c r="L21" s="365" t="n"/>
      <c r="M21" s="365" t="n"/>
      <c r="N21" s="365" t="n"/>
      <c r="O21" s="365" t="n"/>
      <c r="P21" s="366" t="n"/>
      <c r="Q21" s="268" t="n"/>
      <c r="R21" s="365" t="n"/>
      <c r="S21" s="365" t="n"/>
      <c r="T21" s="365" t="n"/>
      <c r="U21" s="365" t="n"/>
      <c r="V21" s="365" t="n"/>
      <c r="W21" s="365" t="n"/>
      <c r="X21" s="365" t="n"/>
      <c r="Y21" s="365" t="n"/>
      <c r="Z21" s="365" t="n"/>
      <c r="AA21" s="365" t="n"/>
      <c r="AB21" s="365" t="n"/>
      <c r="AC21" s="365" t="n"/>
      <c r="AD21" s="365" t="n"/>
      <c r="AE21" s="366" t="n"/>
      <c r="AF21" s="450" t="n"/>
      <c r="AG21" s="365" t="n"/>
      <c r="AH21" s="365" t="n"/>
      <c r="AI21" s="366" t="n"/>
    </row>
    <row r="22" ht="15" customFormat="1" customHeight="1" s="39">
      <c r="A22" s="41" t="n"/>
      <c r="B22" s="41" t="n"/>
      <c r="C22" s="366" t="n"/>
      <c r="D22" s="449" t="n"/>
      <c r="E22" s="365" t="n"/>
      <c r="F22" s="366" t="n"/>
      <c r="G22" s="41" t="n"/>
      <c r="H22" s="365" t="n"/>
      <c r="I22" s="366" t="n"/>
      <c r="J22" s="450" t="n"/>
      <c r="K22" s="365" t="n"/>
      <c r="L22" s="365" t="n"/>
      <c r="M22" s="365" t="n"/>
      <c r="N22" s="365" t="n"/>
      <c r="O22" s="365" t="n"/>
      <c r="P22" s="366" t="n"/>
      <c r="Q22" s="268" t="n"/>
      <c r="R22" s="365" t="n"/>
      <c r="S22" s="365" t="n"/>
      <c r="T22" s="365" t="n"/>
      <c r="U22" s="365" t="n"/>
      <c r="V22" s="365" t="n"/>
      <c r="W22" s="365" t="n"/>
      <c r="X22" s="365" t="n"/>
      <c r="Y22" s="365" t="n"/>
      <c r="Z22" s="365" t="n"/>
      <c r="AA22" s="365" t="n"/>
      <c r="AB22" s="365" t="n"/>
      <c r="AC22" s="365" t="n"/>
      <c r="AD22" s="365" t="n"/>
      <c r="AE22" s="366" t="n"/>
      <c r="AF22" s="450" t="n"/>
      <c r="AG22" s="365" t="n"/>
      <c r="AH22" s="365" t="n"/>
      <c r="AI22" s="366" t="n"/>
    </row>
    <row r="23" ht="15" customFormat="1" customHeight="1" s="39">
      <c r="A23" s="41" t="n"/>
      <c r="B23" s="41" t="n"/>
      <c r="C23" s="366" t="n"/>
      <c r="D23" s="449" t="n"/>
      <c r="E23" s="365" t="n"/>
      <c r="F23" s="366" t="n"/>
      <c r="G23" s="41" t="n"/>
      <c r="H23" s="365" t="n"/>
      <c r="I23" s="366" t="n"/>
      <c r="J23" s="450" t="n"/>
      <c r="K23" s="365" t="n"/>
      <c r="L23" s="365" t="n"/>
      <c r="M23" s="365" t="n"/>
      <c r="N23" s="365" t="n"/>
      <c r="O23" s="365" t="n"/>
      <c r="P23" s="366" t="n"/>
      <c r="Q23" s="268" t="n"/>
      <c r="R23" s="365" t="n"/>
      <c r="S23" s="365" t="n"/>
      <c r="T23" s="365" t="n"/>
      <c r="U23" s="365" t="n"/>
      <c r="V23" s="365" t="n"/>
      <c r="W23" s="365" t="n"/>
      <c r="X23" s="365" t="n"/>
      <c r="Y23" s="365" t="n"/>
      <c r="Z23" s="365" t="n"/>
      <c r="AA23" s="365" t="n"/>
      <c r="AB23" s="365" t="n"/>
      <c r="AC23" s="365" t="n"/>
      <c r="AD23" s="365" t="n"/>
      <c r="AE23" s="366" t="n"/>
      <c r="AF23" s="450" t="n"/>
      <c r="AG23" s="365" t="n"/>
      <c r="AH23" s="365" t="n"/>
      <c r="AI23" s="366" t="n"/>
    </row>
    <row r="24" ht="15" customFormat="1" customHeight="1" s="39">
      <c r="A24" s="41" t="n"/>
      <c r="B24" s="41" t="n"/>
      <c r="C24" s="366" t="n"/>
      <c r="D24" s="449" t="n"/>
      <c r="E24" s="365" t="n"/>
      <c r="F24" s="366" t="n"/>
      <c r="G24" s="41" t="n"/>
      <c r="H24" s="365" t="n"/>
      <c r="I24" s="366" t="n"/>
      <c r="J24" s="450" t="n"/>
      <c r="K24" s="365" t="n"/>
      <c r="L24" s="365" t="n"/>
      <c r="M24" s="365" t="n"/>
      <c r="N24" s="365" t="n"/>
      <c r="O24" s="365" t="n"/>
      <c r="P24" s="366" t="n"/>
      <c r="Q24" s="268" t="n"/>
      <c r="R24" s="365" t="n"/>
      <c r="S24" s="365" t="n"/>
      <c r="T24" s="365" t="n"/>
      <c r="U24" s="365" t="n"/>
      <c r="V24" s="365" t="n"/>
      <c r="W24" s="365" t="n"/>
      <c r="X24" s="365" t="n"/>
      <c r="Y24" s="365" t="n"/>
      <c r="Z24" s="365" t="n"/>
      <c r="AA24" s="365" t="n"/>
      <c r="AB24" s="365" t="n"/>
      <c r="AC24" s="365" t="n"/>
      <c r="AD24" s="365" t="n"/>
      <c r="AE24" s="366" t="n"/>
      <c r="AF24" s="450" t="n"/>
      <c r="AG24" s="365" t="n"/>
      <c r="AH24" s="365" t="n"/>
      <c r="AI24" s="366" t="n"/>
    </row>
    <row r="25" ht="15" customFormat="1" customHeight="1" s="39">
      <c r="A25" s="41" t="n"/>
      <c r="B25" s="41" t="n"/>
      <c r="C25" s="366" t="n"/>
      <c r="D25" s="449" t="n"/>
      <c r="E25" s="365" t="n"/>
      <c r="F25" s="366" t="n"/>
      <c r="G25" s="41" t="n"/>
      <c r="H25" s="365" t="n"/>
      <c r="I25" s="366" t="n"/>
      <c r="J25" s="450" t="n"/>
      <c r="K25" s="365" t="n"/>
      <c r="L25" s="365" t="n"/>
      <c r="M25" s="365" t="n"/>
      <c r="N25" s="365" t="n"/>
      <c r="O25" s="365" t="n"/>
      <c r="P25" s="366" t="n"/>
      <c r="Q25" s="268" t="n"/>
      <c r="R25" s="365" t="n"/>
      <c r="S25" s="365" t="n"/>
      <c r="T25" s="365" t="n"/>
      <c r="U25" s="365" t="n"/>
      <c r="V25" s="365" t="n"/>
      <c r="W25" s="365" t="n"/>
      <c r="X25" s="365" t="n"/>
      <c r="Y25" s="365" t="n"/>
      <c r="Z25" s="365" t="n"/>
      <c r="AA25" s="365" t="n"/>
      <c r="AB25" s="365" t="n"/>
      <c r="AC25" s="365" t="n"/>
      <c r="AD25" s="365" t="n"/>
      <c r="AE25" s="366" t="n"/>
      <c r="AF25" s="450" t="n"/>
      <c r="AG25" s="365" t="n"/>
      <c r="AH25" s="365" t="n"/>
      <c r="AI25" s="366" t="n"/>
    </row>
    <row r="26" ht="15" customFormat="1" customHeight="1" s="39">
      <c r="A26" s="41" t="n"/>
      <c r="B26" s="41" t="n"/>
      <c r="C26" s="366" t="n"/>
      <c r="D26" s="449" t="n"/>
      <c r="E26" s="365" t="n"/>
      <c r="F26" s="366" t="n"/>
      <c r="G26" s="41" t="n"/>
      <c r="H26" s="365" t="n"/>
      <c r="I26" s="366" t="n"/>
      <c r="J26" s="450" t="n"/>
      <c r="K26" s="365" t="n"/>
      <c r="L26" s="365" t="n"/>
      <c r="M26" s="365" t="n"/>
      <c r="N26" s="365" t="n"/>
      <c r="O26" s="365" t="n"/>
      <c r="P26" s="366" t="n"/>
      <c r="Q26" s="268" t="n"/>
      <c r="R26" s="365" t="n"/>
      <c r="S26" s="365" t="n"/>
      <c r="T26" s="365" t="n"/>
      <c r="U26" s="365" t="n"/>
      <c r="V26" s="365" t="n"/>
      <c r="W26" s="365" t="n"/>
      <c r="X26" s="365" t="n"/>
      <c r="Y26" s="365" t="n"/>
      <c r="Z26" s="365" t="n"/>
      <c r="AA26" s="365" t="n"/>
      <c r="AB26" s="365" t="n"/>
      <c r="AC26" s="365" t="n"/>
      <c r="AD26" s="365" t="n"/>
      <c r="AE26" s="366" t="n"/>
      <c r="AF26" s="450" t="n"/>
      <c r="AG26" s="365" t="n"/>
      <c r="AH26" s="365" t="n"/>
      <c r="AI26" s="366" t="n"/>
    </row>
    <row r="27" ht="15" customFormat="1" customHeight="1" s="39">
      <c r="A27" s="41" t="n"/>
      <c r="B27" s="41" t="n"/>
      <c r="C27" s="366" t="n"/>
      <c r="D27" s="449" t="n"/>
      <c r="E27" s="365" t="n"/>
      <c r="F27" s="366" t="n"/>
      <c r="G27" s="41" t="n"/>
      <c r="H27" s="365" t="n"/>
      <c r="I27" s="366" t="n"/>
      <c r="J27" s="450" t="n"/>
      <c r="K27" s="365" t="n"/>
      <c r="L27" s="365" t="n"/>
      <c r="M27" s="365" t="n"/>
      <c r="N27" s="365" t="n"/>
      <c r="O27" s="365" t="n"/>
      <c r="P27" s="366" t="n"/>
      <c r="Q27" s="268" t="n"/>
      <c r="R27" s="365" t="n"/>
      <c r="S27" s="365" t="n"/>
      <c r="T27" s="365" t="n"/>
      <c r="U27" s="365" t="n"/>
      <c r="V27" s="365" t="n"/>
      <c r="W27" s="365" t="n"/>
      <c r="X27" s="365" t="n"/>
      <c r="Y27" s="365" t="n"/>
      <c r="Z27" s="365" t="n"/>
      <c r="AA27" s="365" t="n"/>
      <c r="AB27" s="365" t="n"/>
      <c r="AC27" s="365" t="n"/>
      <c r="AD27" s="365" t="n"/>
      <c r="AE27" s="366" t="n"/>
      <c r="AF27" s="450" t="n"/>
      <c r="AG27" s="365" t="n"/>
      <c r="AH27" s="365" t="n"/>
      <c r="AI27" s="366" t="n"/>
    </row>
    <row r="28" ht="15" customFormat="1" customHeight="1" s="39">
      <c r="A28" s="41" t="n"/>
      <c r="B28" s="41" t="n"/>
      <c r="C28" s="366" t="n"/>
      <c r="D28" s="449" t="n"/>
      <c r="E28" s="365" t="n"/>
      <c r="F28" s="366" t="n"/>
      <c r="G28" s="41" t="n"/>
      <c r="H28" s="365" t="n"/>
      <c r="I28" s="366" t="n"/>
      <c r="J28" s="450" t="n"/>
      <c r="K28" s="365" t="n"/>
      <c r="L28" s="365" t="n"/>
      <c r="M28" s="365" t="n"/>
      <c r="N28" s="365" t="n"/>
      <c r="O28" s="365" t="n"/>
      <c r="P28" s="366" t="n"/>
      <c r="Q28" s="268" t="n"/>
      <c r="R28" s="365" t="n"/>
      <c r="S28" s="365" t="n"/>
      <c r="T28" s="365" t="n"/>
      <c r="U28" s="365" t="n"/>
      <c r="V28" s="365" t="n"/>
      <c r="W28" s="365" t="n"/>
      <c r="X28" s="365" t="n"/>
      <c r="Y28" s="365" t="n"/>
      <c r="Z28" s="365" t="n"/>
      <c r="AA28" s="365" t="n"/>
      <c r="AB28" s="365" t="n"/>
      <c r="AC28" s="365" t="n"/>
      <c r="AD28" s="365" t="n"/>
      <c r="AE28" s="366" t="n"/>
      <c r="AF28" s="450" t="n"/>
      <c r="AG28" s="365" t="n"/>
      <c r="AH28" s="365" t="n"/>
      <c r="AI28" s="366" t="n"/>
    </row>
    <row r="29" ht="15" customFormat="1" customHeight="1" s="39">
      <c r="A29" s="41" t="n"/>
      <c r="B29" s="41" t="n"/>
      <c r="C29" s="366" t="n"/>
      <c r="D29" s="449" t="n"/>
      <c r="E29" s="365" t="n"/>
      <c r="F29" s="366" t="n"/>
      <c r="G29" s="41" t="n"/>
      <c r="H29" s="365" t="n"/>
      <c r="I29" s="366" t="n"/>
      <c r="J29" s="450" t="n"/>
      <c r="K29" s="365" t="n"/>
      <c r="L29" s="365" t="n"/>
      <c r="M29" s="365" t="n"/>
      <c r="N29" s="365" t="n"/>
      <c r="O29" s="365" t="n"/>
      <c r="P29" s="366" t="n"/>
      <c r="Q29" s="268" t="n"/>
      <c r="R29" s="365" t="n"/>
      <c r="S29" s="365" t="n"/>
      <c r="T29" s="365" t="n"/>
      <c r="U29" s="365" t="n"/>
      <c r="V29" s="365" t="n"/>
      <c r="W29" s="365" t="n"/>
      <c r="X29" s="365" t="n"/>
      <c r="Y29" s="365" t="n"/>
      <c r="Z29" s="365" t="n"/>
      <c r="AA29" s="365" t="n"/>
      <c r="AB29" s="365" t="n"/>
      <c r="AC29" s="365" t="n"/>
      <c r="AD29" s="365" t="n"/>
      <c r="AE29" s="366" t="n"/>
      <c r="AF29" s="450" t="n"/>
      <c r="AG29" s="365" t="n"/>
      <c r="AH29" s="365" t="n"/>
      <c r="AI29" s="366" t="n"/>
    </row>
    <row r="30" ht="15" customFormat="1" customHeight="1" s="39">
      <c r="A30" s="41" t="n"/>
      <c r="B30" s="41" t="n"/>
      <c r="C30" s="366" t="n"/>
      <c r="D30" s="449" t="n"/>
      <c r="E30" s="365" t="n"/>
      <c r="F30" s="366" t="n"/>
      <c r="G30" s="41" t="n"/>
      <c r="H30" s="365" t="n"/>
      <c r="I30" s="366" t="n"/>
      <c r="J30" s="450" t="n"/>
      <c r="K30" s="365" t="n"/>
      <c r="L30" s="365" t="n"/>
      <c r="M30" s="365" t="n"/>
      <c r="N30" s="365" t="n"/>
      <c r="O30" s="365" t="n"/>
      <c r="P30" s="366" t="n"/>
      <c r="Q30" s="268" t="n"/>
      <c r="R30" s="365" t="n"/>
      <c r="S30" s="365" t="n"/>
      <c r="T30" s="365" t="n"/>
      <c r="U30" s="365" t="n"/>
      <c r="V30" s="365" t="n"/>
      <c r="W30" s="365" t="n"/>
      <c r="X30" s="365" t="n"/>
      <c r="Y30" s="365" t="n"/>
      <c r="Z30" s="365" t="n"/>
      <c r="AA30" s="365" t="n"/>
      <c r="AB30" s="365" t="n"/>
      <c r="AC30" s="365" t="n"/>
      <c r="AD30" s="365" t="n"/>
      <c r="AE30" s="366" t="n"/>
      <c r="AF30" s="450" t="n"/>
      <c r="AG30" s="365" t="n"/>
      <c r="AH30" s="365" t="n"/>
      <c r="AI30" s="366" t="n"/>
    </row>
    <row r="31" ht="15" customFormat="1" customHeight="1" s="39">
      <c r="A31" s="41" t="n"/>
      <c r="B31" s="41" t="n"/>
      <c r="C31" s="366" t="n"/>
      <c r="D31" s="449" t="n"/>
      <c r="E31" s="365" t="n"/>
      <c r="F31" s="366" t="n"/>
      <c r="G31" s="41" t="n"/>
      <c r="H31" s="365" t="n"/>
      <c r="I31" s="366" t="n"/>
      <c r="J31" s="450" t="n"/>
      <c r="K31" s="365" t="n"/>
      <c r="L31" s="365" t="n"/>
      <c r="M31" s="365" t="n"/>
      <c r="N31" s="365" t="n"/>
      <c r="O31" s="365" t="n"/>
      <c r="P31" s="366" t="n"/>
      <c r="Q31" s="268" t="n"/>
      <c r="R31" s="365" t="n"/>
      <c r="S31" s="365" t="n"/>
      <c r="T31" s="365" t="n"/>
      <c r="U31" s="365" t="n"/>
      <c r="V31" s="365" t="n"/>
      <c r="W31" s="365" t="n"/>
      <c r="X31" s="365" t="n"/>
      <c r="Y31" s="365" t="n"/>
      <c r="Z31" s="365" t="n"/>
      <c r="AA31" s="365" t="n"/>
      <c r="AB31" s="365" t="n"/>
      <c r="AC31" s="365" t="n"/>
      <c r="AD31" s="365" t="n"/>
      <c r="AE31" s="366" t="n"/>
      <c r="AF31" s="450" t="n"/>
      <c r="AG31" s="365" t="n"/>
      <c r="AH31" s="365" t="n"/>
      <c r="AI31" s="366" t="n"/>
    </row>
    <row r="32" ht="15" customFormat="1" customHeight="1" s="39">
      <c r="A32" s="41" t="n"/>
      <c r="B32" s="41" t="n"/>
      <c r="C32" s="366" t="n"/>
      <c r="D32" s="449" t="n"/>
      <c r="E32" s="365" t="n"/>
      <c r="F32" s="366" t="n"/>
      <c r="G32" s="41" t="n"/>
      <c r="H32" s="365" t="n"/>
      <c r="I32" s="366" t="n"/>
      <c r="J32" s="450" t="n"/>
      <c r="K32" s="365" t="n"/>
      <c r="L32" s="365" t="n"/>
      <c r="M32" s="365" t="n"/>
      <c r="N32" s="365" t="n"/>
      <c r="O32" s="365" t="n"/>
      <c r="P32" s="366" t="n"/>
      <c r="Q32" s="268" t="n"/>
      <c r="R32" s="365" t="n"/>
      <c r="S32" s="365" t="n"/>
      <c r="T32" s="365" t="n"/>
      <c r="U32" s="365" t="n"/>
      <c r="V32" s="365" t="n"/>
      <c r="W32" s="365" t="n"/>
      <c r="X32" s="365" t="n"/>
      <c r="Y32" s="365" t="n"/>
      <c r="Z32" s="365" t="n"/>
      <c r="AA32" s="365" t="n"/>
      <c r="AB32" s="365" t="n"/>
      <c r="AC32" s="365" t="n"/>
      <c r="AD32" s="365" t="n"/>
      <c r="AE32" s="366" t="n"/>
      <c r="AF32" s="450" t="n"/>
      <c r="AG32" s="365" t="n"/>
      <c r="AH32" s="365" t="n"/>
      <c r="AI32" s="366" t="n"/>
    </row>
    <row r="33" ht="15" customFormat="1" customHeight="1" s="39">
      <c r="A33" s="41" t="n"/>
      <c r="B33" s="41" t="n"/>
      <c r="C33" s="366" t="n"/>
      <c r="D33" s="449" t="n"/>
      <c r="E33" s="365" t="n"/>
      <c r="F33" s="366" t="n"/>
      <c r="G33" s="41" t="n"/>
      <c r="H33" s="365" t="n"/>
      <c r="I33" s="366" t="n"/>
      <c r="J33" s="450" t="n"/>
      <c r="K33" s="365" t="n"/>
      <c r="L33" s="365" t="n"/>
      <c r="M33" s="365" t="n"/>
      <c r="N33" s="365" t="n"/>
      <c r="O33" s="365" t="n"/>
      <c r="P33" s="366" t="n"/>
      <c r="Q33" s="268" t="n"/>
      <c r="R33" s="365" t="n"/>
      <c r="S33" s="365" t="n"/>
      <c r="T33" s="365" t="n"/>
      <c r="U33" s="365" t="n"/>
      <c r="V33" s="365" t="n"/>
      <c r="W33" s="365" t="n"/>
      <c r="X33" s="365" t="n"/>
      <c r="Y33" s="365" t="n"/>
      <c r="Z33" s="365" t="n"/>
      <c r="AA33" s="365" t="n"/>
      <c r="AB33" s="365" t="n"/>
      <c r="AC33" s="365" t="n"/>
      <c r="AD33" s="365" t="n"/>
      <c r="AE33" s="366" t="n"/>
      <c r="AF33" s="450" t="n"/>
      <c r="AG33" s="365" t="n"/>
      <c r="AH33" s="365" t="n"/>
      <c r="AI33" s="366" t="n"/>
    </row>
    <row r="34" ht="15" customFormat="1" customHeight="1" s="39"/>
  </sheetData>
  <mergeCells count="179">
    <mergeCell ref="D11:F11"/>
    <mergeCell ref="J31:P31"/>
    <mergeCell ref="AF23:AI23"/>
    <mergeCell ref="G13:I13"/>
    <mergeCell ref="S1:Z3"/>
    <mergeCell ref="Q19:AE19"/>
    <mergeCell ref="B22:C22"/>
    <mergeCell ref="J21:P21"/>
    <mergeCell ref="AF7:AI7"/>
    <mergeCell ref="B31:C31"/>
    <mergeCell ref="G15:I15"/>
    <mergeCell ref="B12:C12"/>
    <mergeCell ref="G24:I24"/>
    <mergeCell ref="B21:C21"/>
    <mergeCell ref="D28:F28"/>
    <mergeCell ref="AF22:AI22"/>
    <mergeCell ref="J23:P23"/>
    <mergeCell ref="AF18:AI18"/>
    <mergeCell ref="Q22:AE22"/>
    <mergeCell ref="D12:F12"/>
    <mergeCell ref="B14:C14"/>
    <mergeCell ref="D9:F9"/>
    <mergeCell ref="G26:I26"/>
    <mergeCell ref="D30:F30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B24:C24"/>
    <mergeCell ref="J27:P27"/>
    <mergeCell ref="Q16:AE16"/>
    <mergeCell ref="B33:C33"/>
    <mergeCell ref="AA2:AB2"/>
    <mergeCell ref="AF15:AI15"/>
    <mergeCell ref="O1:R3"/>
    <mergeCell ref="Q24:AE24"/>
    <mergeCell ref="A2:D2"/>
    <mergeCell ref="B26:C26"/>
    <mergeCell ref="Q18:AE18"/>
    <mergeCell ref="B32:C32"/>
    <mergeCell ref="J20:P20"/>
    <mergeCell ref="AF12:AI12"/>
    <mergeCell ref="J11:P11"/>
    <mergeCell ref="Q8:AE8"/>
    <mergeCell ref="AG2:AI2"/>
    <mergeCell ref="B16:C16"/>
    <mergeCell ref="D27:F27"/>
    <mergeCell ref="G28:I28"/>
    <mergeCell ref="AF32:AI32"/>
    <mergeCell ref="B25:C25"/>
    <mergeCell ref="J22:P22"/>
    <mergeCell ref="AF26:AI26"/>
    <mergeCell ref="D17:F17"/>
    <mergeCell ref="Q10:AE10"/>
    <mergeCell ref="J12:P12"/>
    <mergeCell ref="B27:C27"/>
    <mergeCell ref="B18:C18"/>
    <mergeCell ref="G30:I30"/>
    <mergeCell ref="AC2:AF2"/>
    <mergeCell ref="G14:I14"/>
    <mergeCell ref="B11:C11"/>
    <mergeCell ref="AF27:AI27"/>
    <mergeCell ref="Q9:AE9"/>
    <mergeCell ref="Q27:AE27"/>
    <mergeCell ref="J29:P29"/>
    <mergeCell ref="D25:F25"/>
    <mergeCell ref="AF24:AI24"/>
    <mergeCell ref="Q30:AE30"/>
    <mergeCell ref="AF33:AI33"/>
    <mergeCell ref="Q17:AE17"/>
    <mergeCell ref="G32:I32"/>
    <mergeCell ref="Q11:AE11"/>
    <mergeCell ref="B29:C29"/>
    <mergeCell ref="J15:P15"/>
    <mergeCell ref="J24:P24"/>
    <mergeCell ref="AF16:AI16"/>
    <mergeCell ref="AF25:AI25"/>
    <mergeCell ref="AG1:AI1"/>
    <mergeCell ref="Q12:AE12"/>
    <mergeCell ref="B15:C15"/>
    <mergeCell ref="G27:I27"/>
    <mergeCell ref="Q21:AE21"/>
    <mergeCell ref="D31:F31"/>
    <mergeCell ref="AF9:AI9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D32:F32"/>
    <mergeCell ref="AF31:AI31"/>
    <mergeCell ref="D7:F7"/>
    <mergeCell ref="Q26:AE26"/>
    <mergeCell ref="D16:F16"/>
    <mergeCell ref="AF28:AI28"/>
    <mergeCell ref="AF13:AI13"/>
    <mergeCell ref="D18:F18"/>
    <mergeCell ref="G20:I20"/>
    <mergeCell ref="AG3:AI3"/>
    <mergeCell ref="B17:C17"/>
    <mergeCell ref="G29:I29"/>
    <mergeCell ref="D8:F8"/>
    <mergeCell ref="J14:P14"/>
    <mergeCell ref="D33:F33"/>
    <mergeCell ref="J28:P28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D20:F20"/>
    <mergeCell ref="AF10:AI10"/>
    <mergeCell ref="E1:N1"/>
    <mergeCell ref="B30:C30"/>
    <mergeCell ref="Q28:AE28"/>
    <mergeCell ref="B20:C20"/>
    <mergeCell ref="D22:F22"/>
    <mergeCell ref="G23:I23"/>
    <mergeCell ref="G7:I7"/>
    <mergeCell ref="J32:P32"/>
    <mergeCell ref="D13:F13"/>
    <mergeCell ref="Q20:AE20"/>
    <mergeCell ref="AF8:AI8"/>
    <mergeCell ref="Q14:AE14"/>
    <mergeCell ref="Q29:AE29"/>
    <mergeCell ref="AF17:AI17"/>
    <mergeCell ref="Q23:AE23"/>
    <mergeCell ref="AA1:AB1"/>
    <mergeCell ref="G18:I18"/>
    <mergeCell ref="G33:I33"/>
    <mergeCell ref="J18:P18"/>
    <mergeCell ref="Q31:AE31"/>
    <mergeCell ref="AF19:AI19"/>
    <mergeCell ref="J33:P33"/>
    <mergeCell ref="J8:P8"/>
    <mergeCell ref="Q15:AE15"/>
    <mergeCell ref="J17:P17"/>
    <mergeCell ref="B23:C23"/>
    <mergeCell ref="E3:N3"/>
    <mergeCell ref="B8:C8"/>
    <mergeCell ref="D15:F15"/>
    <mergeCell ref="J10:P10"/>
    <mergeCell ref="G25:I25"/>
    <mergeCell ref="D24:F24"/>
    <mergeCell ref="J19:P19"/>
    <mergeCell ref="B10:C10"/>
    <mergeCell ref="J9:P9"/>
    <mergeCell ref="AF29:AI29"/>
    <mergeCell ref="D26:F26"/>
    <mergeCell ref="G11:I11"/>
    <mergeCell ref="Q25:AE25"/>
    <mergeCell ref="D10:F10"/>
    <mergeCell ref="AA3:AB3"/>
    <mergeCell ref="D19:F19"/>
    <mergeCell ref="A3:D3"/>
    <mergeCell ref="Q33:AE33"/>
    <mergeCell ref="AF21:AI2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3.xml><?xml version="1.0" encoding="utf-8"?>
<worksheet xmlns="http://schemas.openxmlformats.org/spreadsheetml/2006/main">
  <sheetPr codeName="Sheet4">
    <outlinePr summaryBelow="1" summaryRight="1"/>
    <pageSetUpPr fitToPage="1"/>
  </sheetPr>
  <dimension ref="A1:AI49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5" customHeight="1"/>
  <cols>
    <col width="4.83203125" customWidth="1" style="159" min="1" max="16"/>
    <col width="4.83203125" customWidth="1" style="37" min="17" max="17"/>
    <col width="4.83203125" customWidth="1" style="159" min="18" max="33"/>
    <col width="4.83203125" customWidth="1" style="37" min="34" max="34"/>
    <col width="4.83203125" customWidth="1" style="159" min="35" max="256"/>
    <col width="4.83203125" customWidth="1" style="159" min="257" max="290"/>
    <col width="4.83203125" customWidth="1" style="159" min="291" max="512"/>
    <col width="4.83203125" customWidth="1" style="159" min="513" max="546"/>
    <col width="4.83203125" customWidth="1" style="159" min="547" max="768"/>
    <col width="4.83203125" customWidth="1" style="159" min="769" max="802"/>
    <col width="4.83203125" customWidth="1" style="159" min="803" max="1024"/>
    <col width="4.83203125" customWidth="1" style="159" min="1025" max="1058"/>
    <col width="4.83203125" customWidth="1" style="159" min="1059" max="1280"/>
    <col width="4.83203125" customWidth="1" style="159" min="1281" max="1314"/>
    <col width="4.83203125" customWidth="1" style="159" min="1315" max="1536"/>
    <col width="4.83203125" customWidth="1" style="159" min="1537" max="1570"/>
    <col width="4.83203125" customWidth="1" style="159" min="1571" max="1792"/>
    <col width="4.83203125" customWidth="1" style="159" min="1793" max="1826"/>
    <col width="4.83203125" customWidth="1" style="159" min="1827" max="2048"/>
    <col width="4.83203125" customWidth="1" style="159" min="2049" max="2082"/>
    <col width="4.83203125" customWidth="1" style="159" min="2083" max="2304"/>
    <col width="4.83203125" customWidth="1" style="159" min="2305" max="2338"/>
    <col width="4.83203125" customWidth="1" style="159" min="2339" max="2560"/>
    <col width="4.83203125" customWidth="1" style="159" min="2561" max="2594"/>
    <col width="4.83203125" customWidth="1" style="159" min="2595" max="2816"/>
    <col width="4.83203125" customWidth="1" style="159" min="2817" max="2850"/>
    <col width="4.83203125" customWidth="1" style="159" min="2851" max="3072"/>
    <col width="4.83203125" customWidth="1" style="159" min="3073" max="3106"/>
    <col width="4.83203125" customWidth="1" style="159" min="3107" max="3328"/>
    <col width="4.83203125" customWidth="1" style="159" min="3329" max="3362"/>
    <col width="4.83203125" customWidth="1" style="159" min="3363" max="3584"/>
    <col width="4.83203125" customWidth="1" style="159" min="3585" max="3618"/>
    <col width="4.83203125" customWidth="1" style="159" min="3619" max="3840"/>
    <col width="4.83203125" customWidth="1" style="159" min="3841" max="3874"/>
    <col width="4.83203125" customWidth="1" style="159" min="3875" max="4096"/>
    <col width="4.83203125" customWidth="1" style="159" min="4097" max="4130"/>
    <col width="4.83203125" customWidth="1" style="159" min="4131" max="4352"/>
    <col width="4.83203125" customWidth="1" style="159" min="4353" max="4386"/>
    <col width="4.83203125" customWidth="1" style="159" min="4387" max="4608"/>
    <col width="4.83203125" customWidth="1" style="159" min="4609" max="4642"/>
    <col width="4.83203125" customWidth="1" style="159" min="4643" max="4864"/>
    <col width="4.83203125" customWidth="1" style="159" min="4865" max="4898"/>
    <col width="4.83203125" customWidth="1" style="159" min="4899" max="5120"/>
    <col width="4.83203125" customWidth="1" style="159" min="5121" max="5154"/>
    <col width="4.83203125" customWidth="1" style="159" min="5155" max="5376"/>
    <col width="4.83203125" customWidth="1" style="159" min="5377" max="5410"/>
    <col width="4.83203125" customWidth="1" style="159" min="5411" max="5632"/>
    <col width="4.83203125" customWidth="1" style="159" min="5633" max="5666"/>
    <col width="4.83203125" customWidth="1" style="159" min="5667" max="5888"/>
    <col width="4.83203125" customWidth="1" style="159" min="5889" max="5922"/>
    <col width="4.83203125" customWidth="1" style="159" min="5923" max="6144"/>
    <col width="4.83203125" customWidth="1" style="159" min="6145" max="6178"/>
    <col width="4.83203125" customWidth="1" style="159" min="6179" max="6400"/>
    <col width="4.83203125" customWidth="1" style="159" min="6401" max="6434"/>
    <col width="4.83203125" customWidth="1" style="159" min="6435" max="6656"/>
    <col width="4.83203125" customWidth="1" style="159" min="6657" max="6690"/>
    <col width="4.83203125" customWidth="1" style="159" min="6691" max="6912"/>
    <col width="4.83203125" customWidth="1" style="159" min="6913" max="6946"/>
    <col width="4.83203125" customWidth="1" style="159" min="6947" max="7168"/>
    <col width="4.83203125" customWidth="1" style="159" min="7169" max="7202"/>
    <col width="4.83203125" customWidth="1" style="159" min="7203" max="7424"/>
    <col width="4.83203125" customWidth="1" style="159" min="7425" max="7458"/>
    <col width="4.83203125" customWidth="1" style="159" min="7459" max="7680"/>
    <col width="4.83203125" customWidth="1" style="159" min="7681" max="7714"/>
    <col width="4.83203125" customWidth="1" style="159" min="7715" max="7936"/>
    <col width="4.83203125" customWidth="1" style="159" min="7937" max="7970"/>
    <col width="4.83203125" customWidth="1" style="159" min="7971" max="8192"/>
    <col width="4.83203125" customWidth="1" style="159" min="8193" max="8226"/>
    <col width="4.83203125" customWidth="1" style="159" min="8227" max="8448"/>
    <col width="4.83203125" customWidth="1" style="159" min="8449" max="8482"/>
    <col width="4.83203125" customWidth="1" style="159" min="8483" max="8704"/>
    <col width="4.83203125" customWidth="1" style="159" min="8705" max="8738"/>
    <col width="4.83203125" customWidth="1" style="159" min="8739" max="8960"/>
    <col width="4.83203125" customWidth="1" style="159" min="8961" max="8994"/>
    <col width="4.83203125" customWidth="1" style="159" min="8995" max="9216"/>
    <col width="4.83203125" customWidth="1" style="159" min="9217" max="9250"/>
    <col width="4.83203125" customWidth="1" style="159" min="9251" max="9472"/>
    <col width="4.83203125" customWidth="1" style="159" min="9473" max="9506"/>
    <col width="4.83203125" customWidth="1" style="159" min="9507" max="9728"/>
    <col width="4.83203125" customWidth="1" style="159" min="9729" max="9762"/>
    <col width="4.83203125" customWidth="1" style="159" min="9763" max="9984"/>
    <col width="4.83203125" customWidth="1" style="159" min="9985" max="10018"/>
    <col width="4.83203125" customWidth="1" style="159" min="10019" max="10240"/>
    <col width="4.83203125" customWidth="1" style="159" min="10241" max="10274"/>
    <col width="4.83203125" customWidth="1" style="159" min="10275" max="10496"/>
    <col width="4.83203125" customWidth="1" style="159" min="10497" max="10530"/>
    <col width="4.83203125" customWidth="1" style="159" min="10531" max="10752"/>
    <col width="4.83203125" customWidth="1" style="159" min="10753" max="10786"/>
    <col width="4.83203125" customWidth="1" style="159" min="10787" max="11008"/>
    <col width="4.83203125" customWidth="1" style="159" min="11009" max="11042"/>
    <col width="4.83203125" customWidth="1" style="159" min="11043" max="11264"/>
    <col width="4.83203125" customWidth="1" style="159" min="11265" max="11298"/>
    <col width="4.83203125" customWidth="1" style="159" min="11299" max="11520"/>
    <col width="4.83203125" customWidth="1" style="159" min="11521" max="11554"/>
    <col width="4.83203125" customWidth="1" style="159" min="11555" max="11776"/>
    <col width="4.83203125" customWidth="1" style="159" min="11777" max="11810"/>
    <col width="4.83203125" customWidth="1" style="159" min="11811" max="12032"/>
    <col width="4.83203125" customWidth="1" style="159" min="12033" max="12066"/>
    <col width="4.83203125" customWidth="1" style="159" min="12067" max="12288"/>
    <col width="4.83203125" customWidth="1" style="159" min="12289" max="12322"/>
    <col width="4.83203125" customWidth="1" style="159" min="12323" max="12544"/>
    <col width="4.83203125" customWidth="1" style="159" min="12545" max="12578"/>
    <col width="4.83203125" customWidth="1" style="159" min="12579" max="12800"/>
    <col width="4.83203125" customWidth="1" style="159" min="12801" max="12834"/>
    <col width="4.83203125" customWidth="1" style="159" min="12835" max="13056"/>
    <col width="4.83203125" customWidth="1" style="159" min="13057" max="13090"/>
    <col width="4.83203125" customWidth="1" style="159" min="13091" max="13312"/>
    <col width="4.83203125" customWidth="1" style="159" min="13313" max="13346"/>
    <col width="4.83203125" customWidth="1" style="159" min="13347" max="13568"/>
    <col width="4.83203125" customWidth="1" style="159" min="13569" max="13602"/>
    <col width="4.83203125" customWidth="1" style="159" min="13603" max="13824"/>
    <col width="4.83203125" customWidth="1" style="159" min="13825" max="13858"/>
    <col width="4.83203125" customWidth="1" style="159" min="13859" max="14080"/>
    <col width="4.83203125" customWidth="1" style="159" min="14081" max="14114"/>
    <col width="4.83203125" customWidth="1" style="159" min="14115" max="14336"/>
    <col width="4.83203125" customWidth="1" style="159" min="14337" max="14370"/>
    <col width="4.83203125" customWidth="1" style="159" min="14371" max="14592"/>
    <col width="4.83203125" customWidth="1" style="159" min="14593" max="14626"/>
    <col width="4.83203125" customWidth="1" style="159" min="14627" max="14848"/>
    <col width="4.83203125" customWidth="1" style="159" min="14849" max="14882"/>
    <col width="4.83203125" customWidth="1" style="159" min="14883" max="15104"/>
    <col width="4.83203125" customWidth="1" style="159" min="15105" max="15138"/>
    <col width="4.83203125" customWidth="1" style="159" min="15139" max="15360"/>
    <col width="4.83203125" customWidth="1" style="159" min="15361" max="15394"/>
    <col width="4.83203125" customWidth="1" style="159" min="15395" max="15616"/>
    <col width="4.83203125" customWidth="1" style="159" min="15617" max="15650"/>
    <col width="4.83203125" customWidth="1" style="159" min="15651" max="15872"/>
    <col width="4.83203125" customWidth="1" style="159" min="15873" max="15906"/>
    <col width="4.83203125" customWidth="1" style="159" min="15907" max="16128"/>
    <col width="4.83203125" customWidth="1" style="159" min="16129" max="16162"/>
    <col width="4.83203125" customWidth="1" style="159" min="16163" max="16384"/>
  </cols>
  <sheetData>
    <row r="1" ht="11.25" customFormat="1" customHeight="1" s="11">
      <c r="A1" s="424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3">
        <f>IF(INDIRECT("変更履歴!AG1")&lt;&gt;"",INDIRECT("変更履歴!AG1"),"")</f>
        <v/>
      </c>
      <c r="AH1" s="365" t="n"/>
      <c r="AI1" s="366" t="n"/>
    </row>
    <row r="2" ht="11.25" customFormat="1" customHeight="1" s="11">
      <c r="A2" s="424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3">
        <f>IF(INDIRECT("変更履歴!AG2")&lt;&gt;"",INDIRECT("変更履歴!AG2"),"")</f>
        <v/>
      </c>
      <c r="AH2" s="365" t="n"/>
      <c r="AI2" s="366" t="n"/>
    </row>
    <row r="3" ht="11.25" customFormat="1" customHeight="1" s="11">
      <c r="A3" s="424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3">
        <f>IF(INDIRECT("変更履歴!AG3")&lt;&gt;"",INDIRECT("変更履歴!AG3"),"")</f>
        <v/>
      </c>
      <c r="AH3" s="365" t="n"/>
      <c r="AI3" s="366" t="n"/>
    </row>
    <row r="4" ht="19.5" customFormat="1" customHeight="1" s="29">
      <c r="A4" s="16" t="n"/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28" t="n"/>
      <c r="AD4" s="16" t="n"/>
      <c r="AE4" s="16" t="n"/>
      <c r="AF4" s="16" t="n"/>
      <c r="AG4" s="16" t="n"/>
      <c r="AH4" s="16" t="n"/>
      <c r="AI4" s="16" t="n"/>
    </row>
    <row r="5" ht="15" customFormat="1" customHeight="1" s="29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8" t="inlineStr">
        <is>
          <t>目次</t>
        </is>
      </c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  <c r="AA5" s="16" t="n"/>
      <c r="AB5" s="16" t="n"/>
      <c r="AC5" s="28" t="n"/>
      <c r="AD5" s="16" t="n"/>
      <c r="AE5" s="16" t="n"/>
      <c r="AF5" s="16" t="n"/>
      <c r="AG5" s="16" t="n"/>
      <c r="AH5" s="16" t="n"/>
      <c r="AI5" s="16" t="n"/>
    </row>
    <row r="6" ht="15" customFormat="1" customHeight="1" s="26">
      <c r="AC6" s="42" t="n"/>
    </row>
    <row r="7" ht="15" customHeight="1" s="160">
      <c r="B7" s="30" t="inlineStr">
        <is>
          <t>1. 画面取引定義</t>
        </is>
      </c>
      <c r="C7" s="30" t="n"/>
      <c r="N7" s="43" t="n"/>
      <c r="P7" s="42" t="n"/>
      <c r="R7" s="42" t="n"/>
      <c r="AG7" s="42" t="n"/>
      <c r="AH7" s="31" t="n"/>
    </row>
    <row r="8" ht="15" customHeight="1" s="160">
      <c r="B8" s="30" t="n"/>
      <c r="C8" s="30" t="inlineStr">
        <is>
          <t>1.1. 画面取引概要</t>
        </is>
      </c>
      <c r="N8" s="43" t="n"/>
      <c r="P8" s="42" t="n"/>
      <c r="R8" s="42" t="n"/>
      <c r="AF8" s="42" t="n"/>
      <c r="AG8" s="42" t="n"/>
      <c r="AH8" s="31" t="n"/>
    </row>
    <row r="9" ht="15" customHeight="1" s="160">
      <c r="C9" s="30" t="n"/>
      <c r="N9" s="43" t="n"/>
      <c r="P9" s="42" t="n"/>
      <c r="R9" s="42" t="n"/>
      <c r="AH9" s="31" t="n"/>
    </row>
    <row r="10" ht="15" customHeight="1" s="160">
      <c r="B10" s="30" t="inlineStr">
        <is>
          <t>2. WA1020101(プロジェクト登録画面)</t>
        </is>
      </c>
      <c r="N10" s="43" t="n"/>
      <c r="P10" s="42" t="n"/>
      <c r="R10" s="42" t="n"/>
      <c r="AG10" s="42" t="n"/>
      <c r="AH10" s="31" t="n"/>
    </row>
    <row r="11" ht="15" customHeight="1" s="160">
      <c r="C11" s="30" t="inlineStr">
        <is>
          <t>2.1. 画面レイアウト</t>
        </is>
      </c>
      <c r="N11" s="43" t="n"/>
      <c r="P11" s="42" t="n"/>
      <c r="R11" s="42" t="n"/>
      <c r="AG11" s="42" t="n"/>
      <c r="AH11" s="31" t="n"/>
    </row>
    <row r="12" ht="15" customHeight="1" s="160">
      <c r="C12" t="inlineStr">
        <is>
          <t>2.2. 一覧表示</t>
        </is>
      </c>
      <c r="N12" s="43" t="n"/>
      <c r="P12" s="42" t="n"/>
      <c r="R12" s="42" t="n"/>
      <c r="AG12" s="42" t="n"/>
      <c r="AH12" s="31" t="n"/>
    </row>
    <row r="13" ht="15" customHeight="1" s="160">
      <c r="C13" t="inlineStr">
        <is>
          <t>2.3. 画面項目定義</t>
        </is>
      </c>
      <c r="Q13" s="45" t="n"/>
      <c r="AG13" s="42" t="n"/>
      <c r="AH13" s="31" t="n"/>
    </row>
    <row r="14" ht="15" customHeight="1" s="160">
      <c r="B14" s="30" t="n"/>
      <c r="C14" t="inlineStr">
        <is>
          <t>2.4. 入出力一覧</t>
        </is>
      </c>
      <c r="Q14" s="45" t="n"/>
      <c r="AG14" s="42" t="n"/>
      <c r="AH14" s="31" t="n"/>
    </row>
    <row r="15" ht="15" customHeight="1" s="160">
      <c r="B15" s="30" t="n"/>
      <c r="C15" t="inlineStr">
        <is>
          <t>2.5. 画面イベント一覧</t>
        </is>
      </c>
      <c r="N15" s="43" t="n"/>
      <c r="P15" s="42" t="n"/>
      <c r="AG15" s="42" t="n"/>
      <c r="AH15" s="31" t="n"/>
    </row>
    <row r="16" ht="15" customHeight="1" s="160">
      <c r="C16" t="inlineStr">
        <is>
          <t>2.6. 画面イベント詳細</t>
        </is>
      </c>
      <c r="P16" s="42" t="n"/>
      <c r="AG16" s="42" t="n"/>
      <c r="AH16" s="31" t="n"/>
    </row>
    <row r="17" ht="15" customHeight="1" s="160">
      <c r="P17" s="42" t="n"/>
      <c r="AG17" s="42" t="n"/>
      <c r="AH17" s="31" t="n"/>
    </row>
    <row r="18" ht="15" customHeight="1" s="160">
      <c r="B18" s="30" t="inlineStr">
        <is>
          <t>3. WA1020102(プロジェクト登録確認画面)</t>
        </is>
      </c>
      <c r="P18" s="42" t="n"/>
      <c r="AG18" s="42" t="n"/>
      <c r="AH18" s="31" t="n"/>
    </row>
    <row r="19" ht="15" customHeight="1" s="160">
      <c r="C19" s="30" t="inlineStr">
        <is>
          <t>3.1. 画面レイアウト</t>
        </is>
      </c>
      <c r="P19" s="42" t="n"/>
      <c r="AG19" s="42" t="n"/>
      <c r="AH19" s="31" t="n"/>
    </row>
    <row r="20" ht="15" customHeight="1" s="160">
      <c r="C20" t="inlineStr">
        <is>
          <t>3.2. 一覧表示</t>
        </is>
      </c>
      <c r="P20" s="42" t="n"/>
      <c r="AG20" s="42" t="n"/>
      <c r="AH20" s="31" t="n"/>
    </row>
    <row r="21" ht="15" customHeight="1" s="160">
      <c r="C21" t="inlineStr">
        <is>
          <t>3.3. 画面項目定義</t>
        </is>
      </c>
      <c r="P21" s="42" t="n"/>
      <c r="AG21" s="42" t="n"/>
      <c r="AH21" s="31" t="n"/>
    </row>
    <row r="22" ht="15" customHeight="1" s="160">
      <c r="B22" s="30" t="n"/>
      <c r="C22" t="inlineStr">
        <is>
          <t>3.4. 入出力一覧</t>
        </is>
      </c>
      <c r="P22" s="42" t="n"/>
      <c r="AG22" s="42" t="n"/>
      <c r="AH22" s="31" t="n"/>
    </row>
    <row r="23" ht="15" customHeight="1" s="160">
      <c r="B23" s="30" t="n"/>
      <c r="C23" t="inlineStr">
        <is>
          <t>3.5. 画面イベント一覧</t>
        </is>
      </c>
      <c r="N23" s="43" t="n"/>
      <c r="P23" s="42" t="n"/>
      <c r="AG23" s="42" t="n"/>
      <c r="AH23" s="31" t="n"/>
    </row>
    <row r="24" ht="15" customHeight="1" s="160">
      <c r="C24" t="inlineStr">
        <is>
          <t>3.6. 画面イベント詳細</t>
        </is>
      </c>
      <c r="P24" s="42" t="n"/>
      <c r="AG24" s="42" t="n"/>
      <c r="AH24" s="31" t="n"/>
    </row>
    <row r="25" ht="15" customHeight="1" s="160">
      <c r="P25" s="42" t="n"/>
      <c r="AG25" s="42" t="n"/>
      <c r="AH25" s="31" t="n"/>
    </row>
    <row r="26" ht="15" customHeight="1" s="160">
      <c r="B26" s="30" t="inlineStr">
        <is>
          <t>4. WA1020103(プロジェクト登録完了画面)</t>
        </is>
      </c>
      <c r="P26" s="42" t="n"/>
      <c r="AG26" s="42" t="n"/>
      <c r="AH26" s="31" t="n"/>
    </row>
    <row r="27" ht="15" customHeight="1" s="160">
      <c r="A27" s="25" t="n"/>
      <c r="C27" s="30" t="inlineStr">
        <is>
          <t>4.1. 画面レイアウト</t>
        </is>
      </c>
      <c r="P27" s="42" t="n"/>
      <c r="AG27" s="42" t="n"/>
      <c r="AH27" s="31" t="n"/>
    </row>
    <row r="28" ht="15" customHeight="1" s="160">
      <c r="A28" s="25" t="n"/>
      <c r="C28" t="inlineStr">
        <is>
          <t>4.2. 一覧表示</t>
        </is>
      </c>
      <c r="N28" s="43" t="n"/>
      <c r="P28" s="42" t="n"/>
      <c r="AG28" s="42" t="n"/>
      <c r="AH28" s="31" t="n"/>
    </row>
    <row r="29" ht="15" customHeight="1" s="160">
      <c r="A29" s="25" t="n"/>
      <c r="C29" t="inlineStr">
        <is>
          <t>4.3. 画面項目定義</t>
        </is>
      </c>
      <c r="D29" s="25" t="n"/>
      <c r="E29" s="25" t="n"/>
      <c r="F29" s="25" t="n"/>
      <c r="G29" s="25" t="n"/>
      <c r="H29" s="25" t="n"/>
      <c r="I29" s="25" t="n"/>
      <c r="P29" s="42" t="n"/>
      <c r="AG29" s="42" t="n"/>
      <c r="AH29" s="31" t="n"/>
    </row>
    <row r="30" ht="15" customHeight="1" s="160">
      <c r="A30" s="25" t="n"/>
      <c r="B30" s="30" t="n"/>
      <c r="C30" t="inlineStr">
        <is>
          <t>4.4. 入出力一覧</t>
        </is>
      </c>
      <c r="D30" s="25" t="n"/>
      <c r="E30" s="25" t="n"/>
      <c r="F30" s="25" t="n"/>
      <c r="G30" s="25" t="n"/>
      <c r="H30" s="25" t="n"/>
      <c r="I30" s="25" t="n"/>
      <c r="J30" s="25" t="n"/>
      <c r="P30" s="42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  <c r="AD30" s="25" t="n"/>
      <c r="AE30" s="25" t="n"/>
      <c r="AF30" s="25" t="n"/>
      <c r="AG30" s="46" t="n"/>
      <c r="AH30" s="32" t="n"/>
      <c r="AI30" s="25" t="n"/>
    </row>
    <row r="31" ht="15" customHeight="1" s="160">
      <c r="A31" s="25" t="n"/>
      <c r="B31" s="30" t="n"/>
      <c r="C31" t="inlineStr">
        <is>
          <t>4.5. 画面イベント一覧</t>
        </is>
      </c>
      <c r="D31" s="25" t="n"/>
      <c r="E31" s="25" t="n"/>
      <c r="F31" s="25" t="n"/>
      <c r="G31" s="25" t="n"/>
      <c r="H31" s="25" t="n"/>
      <c r="I31" s="25" t="n"/>
      <c r="J31" s="25" t="n"/>
      <c r="P31" s="42" t="n"/>
      <c r="Q31" s="31" t="n"/>
      <c r="S31" s="33" t="n"/>
      <c r="U31" s="25" t="n"/>
      <c r="V31" s="25" t="n"/>
      <c r="W31" s="25" t="n"/>
      <c r="X31" s="25" t="n"/>
      <c r="Y31" s="25" t="n"/>
      <c r="Z31" s="25" t="n"/>
      <c r="AA31" s="25" t="n"/>
      <c r="AB31" s="25" t="n"/>
      <c r="AC31" s="25" t="n"/>
      <c r="AD31" s="25" t="n"/>
      <c r="AE31" s="25" t="n"/>
      <c r="AF31" s="25" t="n"/>
      <c r="AG31" s="46" t="n"/>
      <c r="AH31" s="32" t="n"/>
      <c r="AI31" s="25" t="n"/>
    </row>
    <row r="32" ht="15" customHeight="1" s="160">
      <c r="A32" s="25" t="n"/>
      <c r="C32" t="inlineStr">
        <is>
          <t>4.6. 画面イベント詳細</t>
        </is>
      </c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  <c r="O32" s="25" t="n"/>
      <c r="P32" s="34" t="n"/>
      <c r="Q32" s="31" t="n"/>
      <c r="R32" s="25" t="n"/>
      <c r="S32" s="35" t="n"/>
      <c r="T32" s="25" t="n"/>
      <c r="U32" s="25" t="n"/>
      <c r="V32" s="25" t="n"/>
      <c r="W32" s="25" t="n"/>
      <c r="X32" s="25" t="n"/>
      <c r="Y32" s="25" t="n"/>
      <c r="Z32" s="25" t="n"/>
      <c r="AA32" s="25" t="n"/>
      <c r="AB32" s="25" t="n"/>
      <c r="AC32" s="25" t="n"/>
      <c r="AD32" s="25" t="n"/>
      <c r="AE32" s="25" t="n"/>
      <c r="AF32" s="25" t="n"/>
      <c r="AG32" s="46" t="n"/>
      <c r="AH32" s="32" t="n"/>
      <c r="AI32" s="25" t="n"/>
    </row>
    <row r="33" ht="15" customHeight="1" s="160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25" t="n"/>
      <c r="O33" s="25" t="n"/>
      <c r="P33" s="34" t="n"/>
      <c r="Q33" s="31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  <c r="AB33" s="25" t="n"/>
      <c r="AC33" s="25" t="n"/>
      <c r="AD33" s="25" t="n"/>
      <c r="AE33" s="25" t="n"/>
      <c r="AF33" s="25" t="n"/>
      <c r="AG33" s="46" t="n"/>
      <c r="AH33" s="32" t="n"/>
      <c r="AI33" s="25" t="n"/>
    </row>
    <row r="34" ht="15" customHeight="1" s="160">
      <c r="J34" s="25" t="n"/>
      <c r="K34" s="25" t="n"/>
      <c r="L34" s="25" t="n"/>
      <c r="M34" s="25" t="n"/>
      <c r="N34" s="25" t="n"/>
      <c r="O34" s="25" t="n"/>
      <c r="P34" s="34" t="n"/>
      <c r="Q34" s="31" t="n"/>
      <c r="R34" s="25" t="n"/>
      <c r="S34" s="35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  <c r="AD34" s="25" t="n"/>
      <c r="AE34" s="25" t="n"/>
      <c r="AF34" s="25" t="n"/>
      <c r="AG34" s="46" t="n"/>
      <c r="AH34" s="32" t="n"/>
      <c r="AI34" s="25" t="n"/>
    </row>
    <row r="35" ht="15" customHeight="1" s="160">
      <c r="K35" s="25" t="n"/>
      <c r="L35" s="25" t="n"/>
      <c r="M35" s="25" t="n"/>
      <c r="N35" s="25" t="n"/>
      <c r="O35" s="25" t="n"/>
      <c r="P35" s="34" t="n"/>
      <c r="Q35" s="31" t="n"/>
      <c r="R35" s="25" t="n"/>
      <c r="S35" s="25" t="n"/>
      <c r="T35" s="25" t="n"/>
      <c r="U35" s="47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46" t="n"/>
      <c r="AH35" s="32" t="n"/>
      <c r="AI35" s="25" t="n"/>
    </row>
    <row r="36" ht="15" customHeight="1" s="160">
      <c r="K36" s="25" t="n"/>
      <c r="L36" s="25" t="n"/>
      <c r="M36" s="25" t="n"/>
      <c r="N36" s="25" t="n"/>
      <c r="O36" s="25" t="n"/>
      <c r="P36" s="34" t="n"/>
      <c r="Q36" s="32" t="n"/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  <c r="AD36" s="25" t="n"/>
      <c r="AE36" s="25" t="n"/>
      <c r="AF36" s="25" t="n"/>
      <c r="AG36" s="25" t="n"/>
      <c r="AH36" s="32" t="n"/>
      <c r="AI36" s="25" t="n"/>
    </row>
    <row r="37" ht="15" customHeight="1" s="160">
      <c r="P37" s="36" t="n"/>
      <c r="U37" s="48" t="n"/>
      <c r="AG37" s="49" t="n"/>
    </row>
    <row r="38" ht="15" customHeight="1" s="160">
      <c r="U38" s="48" t="n"/>
      <c r="AF38" s="49" t="n"/>
      <c r="AG38" s="36" t="n"/>
    </row>
    <row r="39" ht="15" customHeight="1" s="160">
      <c r="T39" s="48" t="n"/>
      <c r="AF39" s="49" t="n"/>
      <c r="AG39" s="49" t="n"/>
    </row>
    <row r="40" ht="15" customHeight="1" s="160">
      <c r="AG40" s="36" t="n"/>
    </row>
    <row r="41" ht="15" customHeight="1" s="160">
      <c r="AG41" s="36" t="n"/>
    </row>
    <row r="42" ht="15" customHeight="1" s="160">
      <c r="AF42" s="49" t="n"/>
      <c r="AG42" s="36" t="n"/>
    </row>
    <row r="43" ht="15" customHeight="1" s="160">
      <c r="AF43" s="49" t="n"/>
      <c r="AG43" s="49" t="n"/>
    </row>
    <row r="44" ht="15" customHeight="1" s="160">
      <c r="AF44" s="49" t="n"/>
      <c r="AG44" s="49" t="n"/>
    </row>
    <row r="45" ht="15" customHeight="1" s="160">
      <c r="AG45" s="49" t="n"/>
    </row>
    <row r="46" ht="15" customHeight="1" s="160">
      <c r="AF46" s="49" t="n"/>
      <c r="AG46" s="49" t="n"/>
    </row>
    <row r="47" ht="15" customHeight="1" s="160">
      <c r="AG47" s="49" t="n"/>
    </row>
    <row r="49" ht="15" customHeight="1" s="160">
      <c r="AG49" s="49" t="n"/>
    </row>
  </sheetData>
  <mergeCells count="17">
    <mergeCell ref="A1:D1"/>
    <mergeCell ref="AA3:AB3"/>
    <mergeCell ref="AG2:AI2"/>
    <mergeCell ref="AG1:AI1"/>
    <mergeCell ref="AA2:AB2"/>
    <mergeCell ref="S1:Z3"/>
    <mergeCell ref="A3:D3"/>
    <mergeCell ref="AC3:AF3"/>
    <mergeCell ref="E3:N3"/>
    <mergeCell ref="AA1:AB1"/>
    <mergeCell ref="O1:R3"/>
    <mergeCell ref="AG3:AI3"/>
    <mergeCell ref="A2:D2"/>
    <mergeCell ref="AC2:AF2"/>
    <mergeCell ref="AC1:AF1"/>
    <mergeCell ref="E2:N2"/>
    <mergeCell ref="E1:N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4.xml><?xml version="1.0" encoding="utf-8"?>
<worksheet xmlns="http://schemas.openxmlformats.org/spreadsheetml/2006/main">
  <sheetPr codeName="Sheet5">
    <outlinePr summaryBelow="1" summaryRight="1"/>
    <pageSetUpPr fitToPage="1"/>
  </sheetPr>
  <dimension ref="A1:AI14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16384"/>
  </cols>
  <sheetData>
    <row r="1" customFormat="1" s="11">
      <c r="A1" s="424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3">
        <f>IF(INDIRECT("変更履歴!AG1")&lt;&gt;"",INDIRECT("変更履歴!AG1"),"")</f>
        <v/>
      </c>
      <c r="AH1" s="365" t="n"/>
      <c r="AI1" s="366" t="n"/>
    </row>
    <row r="2" customFormat="1" s="11">
      <c r="A2" s="424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3">
        <f>IF(INDIRECT("変更履歴!AG2")&lt;&gt;"",INDIRECT("変更履歴!AG2"),"")</f>
        <v/>
      </c>
      <c r="AH2" s="365" t="n"/>
      <c r="AI2" s="366" t="n"/>
    </row>
    <row r="3" customFormat="1" s="11">
      <c r="A3" s="424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3">
        <f>IF(INDIRECT("変更履歴!AG3")&lt;&gt;"",INDIRECT("変更履歴!AG3"),"")</f>
        <v/>
      </c>
      <c r="AH3" s="365" t="n"/>
      <c r="AI3" s="366" t="n"/>
    </row>
    <row r="4" ht="12" customHeight="1" s="160">
      <c r="A4" t="n"/>
    </row>
    <row r="5" ht="12" customFormat="1" customHeight="1" s="63">
      <c r="B5" s="63" t="inlineStr">
        <is>
          <t>1. 画面取引定義</t>
        </is>
      </c>
    </row>
    <row r="6" ht="12" customFormat="1" customHeight="1" s="63">
      <c r="B6" t="n"/>
      <c r="C6" s="63" t="inlineStr">
        <is>
          <t>1.1. 取引概要</t>
        </is>
      </c>
    </row>
    <row r="7" ht="12" customFormat="1" customHeight="1" s="63">
      <c r="B7" t="n"/>
    </row>
    <row r="8" ht="12" customFormat="1" customHeight="1" s="63">
      <c r="B8" s="64" t="n"/>
      <c r="C8" s="115" t="inlineStr">
        <is>
          <t>取引ID</t>
        </is>
      </c>
      <c r="D8" s="365" t="n"/>
      <c r="E8" s="365" t="n"/>
      <c r="F8" s="366" t="n"/>
      <c r="G8" s="450" t="inlineStr">
        <is>
          <t>WA10201</t>
        </is>
      </c>
      <c r="H8" s="365" t="n"/>
      <c r="I8" s="365" t="n"/>
      <c r="J8" s="365" t="n"/>
      <c r="K8" s="365" t="n"/>
      <c r="L8" s="365" t="n"/>
      <c r="M8" s="365" t="n"/>
      <c r="N8" s="365" t="n"/>
      <c r="O8" s="365" t="n"/>
      <c r="P8" s="365" t="n"/>
      <c r="Q8" s="365" t="n"/>
      <c r="R8" s="365" t="n"/>
      <c r="S8" s="365" t="n"/>
      <c r="T8" s="365" t="n"/>
      <c r="U8" s="365" t="n"/>
      <c r="V8" s="365" t="n"/>
      <c r="W8" s="365" t="n"/>
      <c r="X8" s="365" t="n"/>
      <c r="Y8" s="365" t="n"/>
      <c r="Z8" s="365" t="n"/>
      <c r="AA8" s="365" t="n"/>
      <c r="AB8" s="365" t="n"/>
      <c r="AC8" s="365" t="n"/>
      <c r="AD8" s="365" t="n"/>
      <c r="AE8" s="365" t="n"/>
      <c r="AF8" s="365" t="n"/>
      <c r="AG8" s="366" t="n"/>
    </row>
    <row r="9" ht="12" customFormat="1" customHeight="1" s="63">
      <c r="B9" s="64" t="n"/>
      <c r="C9" s="454" t="inlineStr">
        <is>
          <t>取引名</t>
        </is>
      </c>
      <c r="D9" s="365" t="n"/>
      <c r="E9" s="365" t="n"/>
      <c r="F9" s="366" t="n"/>
      <c r="G9" s="450" t="inlineStr">
        <is>
          <t>プロジェクト登録</t>
        </is>
      </c>
      <c r="H9" s="365" t="n"/>
      <c r="I9" s="365" t="n"/>
      <c r="J9" s="365" t="n"/>
      <c r="K9" s="365" t="n"/>
      <c r="L9" s="365" t="n"/>
      <c r="M9" s="365" t="n"/>
      <c r="N9" s="365" t="n"/>
      <c r="O9" s="365" t="n"/>
      <c r="P9" s="365" t="n"/>
      <c r="Q9" s="365" t="n"/>
      <c r="R9" s="365" t="n"/>
      <c r="S9" s="365" t="n"/>
      <c r="T9" s="365" t="n"/>
      <c r="U9" s="365" t="n"/>
      <c r="V9" s="365" t="n"/>
      <c r="W9" s="365" t="n"/>
      <c r="X9" s="365" t="n"/>
      <c r="Y9" s="365" t="n"/>
      <c r="Z9" s="365" t="n"/>
      <c r="AA9" s="365" t="n"/>
      <c r="AB9" s="365" t="n"/>
      <c r="AC9" s="365" t="n"/>
      <c r="AD9" s="365" t="n"/>
      <c r="AE9" s="365" t="n"/>
      <c r="AF9" s="365" t="n"/>
      <c r="AG9" s="366" t="n"/>
    </row>
    <row r="10" ht="12" customFormat="1" customHeight="1" s="63">
      <c r="B10" s="64" t="n"/>
      <c r="C10" s="239" t="inlineStr">
        <is>
          <t>取引概要</t>
        </is>
      </c>
      <c r="D10" s="427" t="n"/>
      <c r="E10" s="427" t="n"/>
      <c r="F10" s="428" t="n"/>
      <c r="G10" s="129" t="inlineStr">
        <is>
          <t>プロジェクトのデータ1件を登録する。</t>
        </is>
      </c>
      <c r="H10" s="65" t="n"/>
      <c r="I10" s="65" t="n"/>
      <c r="J10" s="65" t="n"/>
      <c r="K10" s="65" t="n"/>
      <c r="L10" s="65" t="n"/>
      <c r="M10" s="65" t="n"/>
      <c r="N10" s="65" t="n"/>
      <c r="O10" s="65" t="n"/>
      <c r="P10" s="65" t="n"/>
      <c r="Q10" s="65" t="n"/>
      <c r="R10" s="65" t="n"/>
      <c r="S10" s="65" t="n"/>
      <c r="T10" s="65" t="n"/>
      <c r="U10" s="65" t="n"/>
      <c r="V10" s="65" t="n"/>
      <c r="W10" s="65" t="n"/>
      <c r="X10" s="65" t="n"/>
      <c r="Y10" s="65" t="n"/>
      <c r="Z10" s="65" t="n"/>
      <c r="AA10" s="65" t="n"/>
      <c r="AB10" s="65" t="n"/>
      <c r="AC10" s="65" t="n"/>
      <c r="AD10" s="65" t="n"/>
      <c r="AE10" s="65" t="n"/>
      <c r="AF10" s="65" t="n"/>
      <c r="AG10" s="66" t="n"/>
    </row>
    <row r="11" ht="12" customFormat="1" customHeight="1" s="63">
      <c r="B11" s="64" t="n"/>
      <c r="C11" s="432" t="n"/>
      <c r="F11" s="433" t="n"/>
      <c r="G11" s="67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29" t="n"/>
      <c r="R11" s="29" t="n"/>
      <c r="S11" s="29" t="n"/>
      <c r="T11" s="29" t="n"/>
      <c r="U11" s="29" t="n"/>
      <c r="V11" s="29" t="n"/>
      <c r="W11" s="29" t="n"/>
      <c r="X11" s="29" t="n"/>
      <c r="Y11" s="29" t="n"/>
      <c r="Z11" s="29" t="n"/>
      <c r="AA11" s="29" t="n"/>
      <c r="AB11" s="29" t="n"/>
      <c r="AC11" s="29" t="n"/>
      <c r="AD11" s="29" t="n"/>
      <c r="AE11" s="29" t="n"/>
      <c r="AF11" s="29" t="n"/>
      <c r="AG11" s="68" t="n"/>
    </row>
    <row r="12" ht="12" customFormat="1" customHeight="1" s="63">
      <c r="B12" s="64" t="n"/>
      <c r="C12" s="432" t="n"/>
      <c r="F12" s="433" t="n"/>
      <c r="G12" s="130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29" t="n"/>
      <c r="R12" s="29" t="n"/>
      <c r="S12" s="29" t="n"/>
      <c r="T12" s="29" t="n"/>
      <c r="U12" s="29" t="n"/>
      <c r="V12" s="29" t="n"/>
      <c r="W12" s="29" t="n"/>
      <c r="X12" s="29" t="n"/>
      <c r="Y12" s="29" t="n"/>
      <c r="Z12" s="29" t="n"/>
      <c r="AA12" s="29" t="n"/>
      <c r="AB12" s="29" t="n"/>
      <c r="AC12" s="29" t="n"/>
      <c r="AD12" s="29" t="n"/>
      <c r="AE12" s="29" t="n"/>
      <c r="AF12" s="29" t="n"/>
      <c r="AG12" s="68" t="n"/>
    </row>
    <row r="13" ht="12" customFormat="1" customHeight="1" s="63">
      <c r="B13" s="64" t="n"/>
      <c r="C13" s="435" t="n"/>
      <c r="D13" s="436" t="n"/>
      <c r="E13" s="436" t="n"/>
      <c r="F13" s="437" t="n"/>
      <c r="G13" s="69" t="n"/>
      <c r="H13" s="70" t="n"/>
      <c r="I13" s="70" t="n"/>
      <c r="J13" s="70" t="n"/>
      <c r="K13" s="70" t="n"/>
      <c r="L13" s="70" t="n"/>
      <c r="M13" s="70" t="n"/>
      <c r="N13" s="70" t="n"/>
      <c r="O13" s="70" t="n"/>
      <c r="P13" s="70" t="n"/>
      <c r="Q13" s="70" t="n"/>
      <c r="R13" s="70" t="n"/>
      <c r="S13" s="70" t="n"/>
      <c r="T13" s="70" t="n"/>
      <c r="U13" s="70" t="n"/>
      <c r="V13" s="70" t="n"/>
      <c r="W13" s="70" t="n"/>
      <c r="X13" s="70" t="n"/>
      <c r="Y13" s="70" t="n"/>
      <c r="Z13" s="70" t="n"/>
      <c r="AA13" s="70" t="n"/>
      <c r="AB13" s="70" t="n"/>
      <c r="AC13" s="70" t="n"/>
      <c r="AD13" s="70" t="n"/>
      <c r="AE13" s="70" t="n"/>
      <c r="AF13" s="70" t="n"/>
      <c r="AG13" s="71" t="n"/>
    </row>
    <row r="14" ht="12" customFormat="1" customHeight="1" s="63">
      <c r="B14" s="64" t="n"/>
      <c r="C14" s="239" t="inlineStr">
        <is>
          <t>想定利用ユーザ</t>
        </is>
      </c>
      <c r="D14" s="365" t="n"/>
      <c r="E14" s="365" t="n"/>
      <c r="F14" s="366" t="n"/>
      <c r="G14" s="72" t="inlineStr">
        <is>
          <t>マネージャーユーザ</t>
        </is>
      </c>
      <c r="H14" s="250" t="n"/>
      <c r="I14" s="250" t="n"/>
      <c r="J14" s="250" t="n"/>
      <c r="K14" s="250" t="n"/>
      <c r="L14" s="250" t="n"/>
      <c r="M14" s="250" t="n"/>
      <c r="N14" s="250" t="n"/>
      <c r="O14" s="250" t="n"/>
      <c r="P14" s="250" t="n"/>
      <c r="Q14" s="250" t="n"/>
      <c r="R14" s="250" t="n"/>
      <c r="S14" s="250" t="n"/>
      <c r="T14" s="250" t="n"/>
      <c r="U14" s="250" t="n"/>
      <c r="V14" s="250" t="n"/>
      <c r="W14" s="250" t="n"/>
      <c r="X14" s="250" t="n"/>
      <c r="Y14" s="250" t="n"/>
      <c r="Z14" s="250" t="n"/>
      <c r="AA14" s="250" t="n"/>
      <c r="AB14" s="250" t="n"/>
      <c r="AC14" s="250" t="n"/>
      <c r="AD14" s="250" t="n"/>
      <c r="AE14" s="250" t="n"/>
      <c r="AF14" s="250" t="n"/>
      <c r="AG14" s="251" t="n"/>
    </row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/>
    <row r="35" ht="12" customHeight="1" s="160"/>
    <row r="36" ht="12" customHeight="1" s="160"/>
    <row r="37" ht="12" customHeight="1" s="160"/>
    <row r="38" ht="12" customHeight="1" s="160"/>
    <row r="39" ht="12" customHeight="1" s="160"/>
    <row r="40" ht="12" customHeight="1" s="160"/>
    <row r="41" ht="12" customHeight="1" s="160"/>
    <row r="42" ht="12" customHeight="1" s="160"/>
    <row r="43" ht="12" customHeight="1" s="160"/>
    <row r="44" ht="12" customHeight="1" s="160"/>
    <row r="45" ht="12" customHeight="1" s="160"/>
    <row r="46" ht="12" customHeight="1" s="160"/>
    <row r="47" ht="12" customHeight="1" s="160"/>
    <row r="48" ht="12" customHeight="1" s="160"/>
    <row r="49" ht="12" customHeight="1" s="160"/>
    <row r="50" ht="12" customHeight="1" s="160"/>
    <row r="51" ht="12" customHeight="1" s="160"/>
    <row r="52" ht="12" customHeight="1" s="160"/>
  </sheetData>
  <mergeCells count="23">
    <mergeCell ref="AG2:AI2"/>
    <mergeCell ref="G8:AG8"/>
    <mergeCell ref="C8:F8"/>
    <mergeCell ref="S1:Z3"/>
    <mergeCell ref="AA1:AB1"/>
    <mergeCell ref="AC2:AF2"/>
    <mergeCell ref="C10:F13"/>
    <mergeCell ref="E3:N3"/>
    <mergeCell ref="AG3:AI3"/>
    <mergeCell ref="C14:F14"/>
    <mergeCell ref="A1:D1"/>
    <mergeCell ref="AC3:AF3"/>
    <mergeCell ref="G9:AG9"/>
    <mergeCell ref="E1:N1"/>
    <mergeCell ref="AA3:AB3"/>
    <mergeCell ref="C9:F9"/>
    <mergeCell ref="AG1:AI1"/>
    <mergeCell ref="AA2:AB2"/>
    <mergeCell ref="A3:D3"/>
    <mergeCell ref="O1:R3"/>
    <mergeCell ref="A2:D2"/>
    <mergeCell ref="AC1:AF1"/>
    <mergeCell ref="E2:N2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useFirstPageNumber="1"/>
  <headerFooter alignWithMargins="0">
    <oddHeader/>
    <oddFooter>&amp;C- &amp;P -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7">
    <outlinePr summaryBelow="1" summaryRight="1"/>
    <pageSetUpPr fitToPage="1"/>
  </sheetPr>
  <dimension ref="A1:BF179"/>
  <sheetViews>
    <sheetView showGridLines="0" tabSelected="1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7"/>
    <col width="4.83203125" customWidth="1" style="16" min="8" max="9"/>
    <col width="4.83203125" customWidth="1" style="16" min="10" max="16384"/>
  </cols>
  <sheetData>
    <row r="1" customFormat="1" s="11">
      <c r="A1" s="455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6">
        <f>IF(INDIRECT("変更履歴!AG1")&lt;&gt;"",INDIRECT("変更履歴!AG1"),"")</f>
        <v/>
      </c>
      <c r="AH1" s="365" t="n"/>
      <c r="AI1" s="366" t="n"/>
      <c r="AJ1" s="457" t="n"/>
    </row>
    <row r="2" customFormat="1" s="11">
      <c r="A2" s="455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6">
        <f>IF(INDIRECT("変更履歴!AG2")&lt;&gt;"",INDIRECT("変更履歴!AG2"),"")</f>
        <v/>
      </c>
      <c r="AH2" s="365" t="n"/>
      <c r="AI2" s="366" t="n"/>
      <c r="AJ2" s="457" t="n"/>
    </row>
    <row r="3" customFormat="1" s="11">
      <c r="A3" s="455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6">
        <f>IF(INDIRECT("変更履歴!AG3")&lt;&gt;"",INDIRECT("変更履歴!AG3"),"")</f>
        <v/>
      </c>
      <c r="AH3" s="365" t="n"/>
      <c r="AI3" s="366" t="n"/>
      <c r="AJ3" s="457" t="n"/>
    </row>
    <row r="4" ht="12" customHeight="1" s="160"/>
    <row r="5" ht="12" customHeight="1" s="160">
      <c r="B5" s="26" t="inlineStr">
        <is>
          <t>2. WA1020101(プロジェクト登録画面)</t>
        </is>
      </c>
      <c r="AM5" s="140" t="n"/>
    </row>
    <row r="6" ht="12" customHeight="1" s="160">
      <c r="B6" t="n"/>
      <c r="C6" t="inlineStr">
        <is>
          <t>2.1. 画面レイアウト</t>
        </is>
      </c>
    </row>
    <row r="7" ht="12" customHeight="1" s="160">
      <c r="B7" t="n"/>
    </row>
    <row r="8" ht="12" customHeight="1" s="160">
      <c r="B8" t="n"/>
    </row>
    <row r="9" ht="12" customHeight="1" s="160">
      <c r="B9" t="n"/>
    </row>
    <row r="10" ht="12" customHeight="1" s="160">
      <c r="B10" t="n"/>
    </row>
    <row r="11" ht="12" customHeight="1" s="160">
      <c r="B11" t="n"/>
    </row>
    <row r="12" ht="12" customHeight="1" s="160">
      <c r="B12" t="n"/>
    </row>
    <row r="13" ht="12" customHeight="1" s="160"/>
    <row r="14" ht="12" customHeight="1" s="160"/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/>
    <row r="35" ht="12" customHeight="1" s="160"/>
    <row r="36" ht="12" customHeight="1" s="160"/>
    <row r="37" ht="12" customHeight="1" s="160"/>
    <row r="38" ht="12" customHeight="1" s="160"/>
    <row r="39" ht="12" customHeight="1" s="160"/>
    <row r="40" ht="12" customHeight="1" s="160"/>
    <row r="41" ht="12" customHeight="1" s="160"/>
    <row r="42" ht="12" customHeight="1" s="160"/>
    <row r="43" ht="12" customHeight="1" s="160"/>
    <row r="44" ht="12" customHeight="1" s="160"/>
    <row r="45" ht="12" customHeight="1" s="160"/>
    <row r="46" ht="12" customHeight="1" s="160"/>
    <row r="47" ht="12" customHeight="1" s="160"/>
    <row r="48">
      <c r="C48" s="26" t="inlineStr">
        <is>
          <t>2.2. 一覧表示</t>
        </is>
      </c>
      <c r="D48" s="103" t="n"/>
      <c r="E48" s="103" t="n"/>
      <c r="G48" s="103" t="n"/>
      <c r="H48" s="103" t="n"/>
      <c r="I48" s="103" t="n"/>
      <c r="J48" s="103" t="n"/>
      <c r="K48" s="103" t="n"/>
      <c r="L48" s="103" t="n"/>
      <c r="M48" s="103" t="n"/>
      <c r="N48" s="103" t="n"/>
      <c r="O48" s="103" t="n"/>
      <c r="P48" s="103" t="n"/>
      <c r="Q48" s="103" t="n"/>
      <c r="R48" s="103" t="n"/>
      <c r="S48" s="103" t="n"/>
      <c r="T48" s="103" t="n"/>
      <c r="U48" s="103" t="n"/>
      <c r="V48" s="103" t="n"/>
      <c r="W48" s="103" t="n"/>
      <c r="X48" s="103" t="n"/>
      <c r="Y48" s="103" t="n"/>
      <c r="Z48" s="103" t="n"/>
      <c r="AA48" s="103" t="n"/>
      <c r="AB48" s="103" t="n"/>
      <c r="AC48" s="103" t="n"/>
      <c r="AD48" s="103" t="n"/>
      <c r="AE48" s="103" t="n"/>
      <c r="AF48" s="103" t="n"/>
      <c r="AG48" s="103" t="n"/>
      <c r="AH48" s="103" t="n"/>
    </row>
    <row r="49">
      <c r="C49" s="29" t="n"/>
      <c r="D49" s="103" t="n"/>
      <c r="E49" s="103" t="n"/>
      <c r="G49" s="103" t="n"/>
      <c r="H49" s="103" t="n"/>
      <c r="I49" s="103" t="n"/>
      <c r="J49" s="103" t="n"/>
      <c r="K49" s="103" t="n"/>
      <c r="L49" s="103" t="n"/>
      <c r="M49" s="103" t="n"/>
      <c r="N49" s="103" t="n"/>
      <c r="O49" s="103" t="n"/>
      <c r="P49" s="103" t="n"/>
      <c r="Q49" s="103" t="n"/>
      <c r="R49" s="103" t="n"/>
      <c r="S49" s="103" t="n"/>
      <c r="T49" s="103" t="n"/>
      <c r="U49" s="103" t="n"/>
      <c r="V49" s="103" t="n"/>
      <c r="W49" s="103" t="n"/>
      <c r="X49" s="103" t="n"/>
      <c r="Y49" s="103" t="n"/>
      <c r="Z49" s="103" t="n"/>
      <c r="AA49" s="103" t="n"/>
      <c r="AB49" s="103" t="n"/>
      <c r="AC49" s="103" t="n"/>
      <c r="AD49" s="103" t="n"/>
      <c r="AE49" s="103" t="n"/>
      <c r="AF49" s="103" t="n"/>
      <c r="AG49" s="103" t="n"/>
      <c r="AH49" s="103" t="n"/>
    </row>
    <row r="50">
      <c r="D50" s="97" t="inlineStr">
        <is>
          <t>No.</t>
        </is>
      </c>
      <c r="E50" s="344" t="inlineStr">
        <is>
          <t>領域名</t>
        </is>
      </c>
      <c r="F50" s="458" t="n"/>
      <c r="G50" s="458" t="n"/>
      <c r="H50" s="458" t="n"/>
      <c r="I50" s="458" t="n"/>
      <c r="J50" s="458" t="n"/>
      <c r="K50" s="458" t="n"/>
      <c r="L50" s="458" t="n"/>
      <c r="M50" s="459" t="n"/>
      <c r="N50" s="344" t="inlineStr">
        <is>
          <t>ページング有無</t>
        </is>
      </c>
      <c r="O50" s="458" t="n"/>
      <c r="P50" s="459" t="n"/>
      <c r="Q50" s="344" t="inlineStr">
        <is>
          <t>ソート条件</t>
        </is>
      </c>
      <c r="R50" s="458" t="n"/>
      <c r="S50" s="458" t="n"/>
      <c r="T50" s="458" t="n"/>
      <c r="U50" s="459" t="n"/>
      <c r="V50" s="344" t="inlineStr">
        <is>
          <t>備考</t>
        </is>
      </c>
      <c r="W50" s="458" t="n"/>
      <c r="X50" s="458" t="n"/>
      <c r="Y50" s="458" t="n"/>
      <c r="Z50" s="458" t="n"/>
      <c r="AA50" s="458" t="n"/>
      <c r="AB50" s="458" t="n"/>
      <c r="AC50" s="459" t="n"/>
      <c r="AD50" s="103" t="n"/>
      <c r="AE50" s="103" t="n"/>
      <c r="AF50" s="103" t="n"/>
      <c r="AG50" s="103" t="n"/>
      <c r="AH50" s="103" t="n"/>
    </row>
    <row r="51" ht="11.25" customHeight="1" s="160">
      <c r="D51" s="121" t="n">
        <v>1</v>
      </c>
      <c r="E51" s="345" t="inlineStr">
        <is>
          <t>-</t>
        </is>
      </c>
      <c r="F51" s="460" t="n"/>
      <c r="G51" s="460" t="n"/>
      <c r="H51" s="460" t="n"/>
      <c r="I51" s="460" t="n"/>
      <c r="J51" s="460" t="n"/>
      <c r="K51" s="460" t="n"/>
      <c r="L51" s="460" t="n"/>
      <c r="M51" s="461" t="n"/>
      <c r="N51" s="346" t="inlineStr">
        <is>
          <t>-</t>
        </is>
      </c>
      <c r="O51" s="460" t="n"/>
      <c r="P51" s="461" t="n"/>
      <c r="Q51" s="354" t="inlineStr">
        <is>
          <t>-</t>
        </is>
      </c>
      <c r="R51" s="460" t="n"/>
      <c r="S51" s="460" t="n"/>
      <c r="T51" s="460" t="n"/>
      <c r="U51" s="461" t="n"/>
      <c r="V51" s="355" t="inlineStr">
        <is>
          <t>-</t>
        </is>
      </c>
      <c r="W51" s="460" t="n"/>
      <c r="X51" s="460" t="n"/>
      <c r="Y51" s="460" t="n"/>
      <c r="Z51" s="460" t="n"/>
      <c r="AA51" s="460" t="n"/>
      <c r="AB51" s="460" t="n"/>
      <c r="AC51" s="461" t="n"/>
      <c r="AM51" s="29" t="n"/>
    </row>
    <row r="52" ht="11.25" customHeight="1" s="160">
      <c r="D52" s="123" t="n"/>
      <c r="E52" s="114" t="n"/>
      <c r="F52" s="122" t="n"/>
      <c r="G52" s="122" t="n"/>
      <c r="H52" s="122" t="n"/>
      <c r="I52" s="122" t="n"/>
      <c r="J52" s="122" t="n"/>
      <c r="K52" s="122" t="n"/>
      <c r="L52" s="122" t="n"/>
      <c r="M52" s="122" t="n"/>
      <c r="N52" s="122" t="n"/>
      <c r="O52" s="122" t="n"/>
      <c r="P52" s="122" t="n"/>
      <c r="Q52" s="122" t="n"/>
      <c r="R52" s="103" t="n"/>
      <c r="S52" s="103" t="n"/>
      <c r="T52" s="103" t="n"/>
      <c r="U52" s="103" t="n"/>
      <c r="V52" s="51" t="n"/>
      <c r="W52" s="103" t="n"/>
      <c r="X52" s="103" t="n"/>
      <c r="Y52" s="103" t="n"/>
      <c r="Z52" s="103" t="n"/>
      <c r="AA52" s="103" t="n"/>
      <c r="AB52" s="103" t="n"/>
      <c r="AC52" s="103" t="n"/>
      <c r="AM52" s="29" t="n"/>
    </row>
    <row r="53" ht="11.25" customHeight="1" s="160">
      <c r="L53" s="1" t="n"/>
      <c r="O53" s="122" t="n"/>
    </row>
    <row r="54">
      <c r="C54" t="inlineStr">
        <is>
          <t>2.3. 画面項目定義</t>
        </is>
      </c>
      <c r="AK54" s="64" t="n"/>
      <c r="AL54" s="64" t="n"/>
      <c r="AM54" s="64" t="n"/>
      <c r="AN54" s="64" t="n"/>
      <c r="AO54" s="64" t="n"/>
      <c r="AP54" s="64" t="n"/>
      <c r="AQ54" s="64" t="n"/>
      <c r="AR54" s="64" t="n"/>
      <c r="AS54" s="64" t="n"/>
      <c r="AT54" s="64" t="n"/>
      <c r="AU54" s="64" t="n"/>
      <c r="AV54" s="64" t="n"/>
      <c r="AW54" s="64" t="n"/>
      <c r="AX54" s="64" t="n"/>
      <c r="AY54" s="64" t="n"/>
      <c r="AZ54" s="64" t="n"/>
      <c r="BA54" s="64" t="n"/>
    </row>
    <row r="55" customFormat="1" s="63">
      <c r="AJ55" s="92" t="n"/>
      <c r="AK55" s="92" t="n"/>
      <c r="AL55" s="92" t="n"/>
      <c r="AM55" s="92" t="n"/>
      <c r="AN55" s="92" t="n"/>
      <c r="AO55" s="92" t="n"/>
      <c r="AP55" s="92" t="n"/>
      <c r="AQ55" s="92" t="n"/>
      <c r="AR55" s="92" t="n"/>
      <c r="AS55" s="92" t="n"/>
      <c r="AT55" s="92" t="n"/>
      <c r="AU55" s="92" t="n"/>
      <c r="AV55" s="92" t="n"/>
      <c r="AW55" s="92" t="n"/>
      <c r="AX55" s="92" t="n"/>
      <c r="AY55" s="92" t="n"/>
      <c r="AZ55" s="92" t="n"/>
    </row>
    <row r="56" customFormat="1" s="63">
      <c r="D56" s="239" t="inlineStr">
        <is>
          <t>No.</t>
        </is>
      </c>
      <c r="E56" s="239" t="inlineStr">
        <is>
          <t>表示情報</t>
        </is>
      </c>
      <c r="F56" s="365" t="n"/>
      <c r="G56" s="365" t="n"/>
      <c r="H56" s="365" t="n"/>
      <c r="I56" s="365" t="n"/>
      <c r="J56" s="365" t="n"/>
      <c r="K56" s="365" t="n"/>
      <c r="L56" s="365" t="n"/>
      <c r="M56" s="365" t="n"/>
      <c r="N56" s="365" t="n"/>
      <c r="O56" s="365" t="n"/>
      <c r="P56" s="365" t="n"/>
      <c r="Q56" s="365" t="n"/>
      <c r="R56" s="365" t="n"/>
      <c r="S56" s="365" t="n"/>
      <c r="T56" s="365" t="n"/>
      <c r="U56" s="365" t="n"/>
      <c r="V56" s="365" t="n"/>
      <c r="W56" s="365" t="n"/>
      <c r="X56" s="365" t="n"/>
      <c r="Y56" s="365" t="n"/>
      <c r="Z56" s="365" t="n"/>
      <c r="AA56" s="365" t="n"/>
      <c r="AB56" s="365" t="n"/>
      <c r="AC56" s="366" t="n"/>
      <c r="AD56" s="239" t="inlineStr">
        <is>
          <t>ドメイン名</t>
        </is>
      </c>
      <c r="AE56" s="427" t="n"/>
      <c r="AF56" s="427" t="n"/>
      <c r="AG56" s="428" t="n"/>
      <c r="AH56" s="92" t="n"/>
      <c r="AI56" s="92" t="n"/>
      <c r="AJ56" s="92" t="n"/>
      <c r="AK56" s="159" t="inlineStr">
        <is>
          <t>【内部設計情報】 画面項目名（物理）</t>
        </is>
      </c>
      <c r="AL56" s="92" t="n"/>
      <c r="AM56" s="92" t="n"/>
      <c r="AN56" s="92" t="n"/>
    </row>
    <row r="57" ht="11.25" customFormat="1" customHeight="1" s="63">
      <c r="D57" s="462" t="n"/>
      <c r="E57" s="239" t="inlineStr">
        <is>
          <t>画面項目名</t>
        </is>
      </c>
      <c r="F57" s="427" t="n"/>
      <c r="G57" s="427" t="n"/>
      <c r="H57" s="428" t="n"/>
      <c r="I57" s="463" t="inlineStr">
        <is>
          <t>画面項目種別</t>
        </is>
      </c>
      <c r="J57" s="427" t="n"/>
      <c r="K57" s="427" t="n"/>
      <c r="L57" s="428" t="n"/>
      <c r="M57" s="464" t="inlineStr">
        <is>
          <t>情報取得元</t>
        </is>
      </c>
      <c r="N57" s="427" t="n"/>
      <c r="O57" s="427" t="n"/>
      <c r="P57" s="427" t="n"/>
      <c r="Q57" s="427" t="n"/>
      <c r="R57" s="427" t="n"/>
      <c r="S57" s="427" t="n"/>
      <c r="T57" s="428" t="n"/>
      <c r="U57" s="239" t="inlineStr">
        <is>
          <t>編集仕様</t>
        </is>
      </c>
      <c r="V57" s="427" t="n"/>
      <c r="W57" s="427" t="n"/>
      <c r="X57" s="427" t="n"/>
      <c r="Y57" s="428" t="n"/>
      <c r="Z57" s="239" t="inlineStr">
        <is>
          <t>初期値</t>
        </is>
      </c>
      <c r="AA57" s="427" t="n"/>
      <c r="AB57" s="428" t="n"/>
      <c r="AC57" s="239" t="inlineStr">
        <is>
          <t>必須</t>
        </is>
      </c>
      <c r="AD57" s="432" t="n"/>
      <c r="AG57" s="433" t="n"/>
      <c r="AH57" s="92" t="n"/>
      <c r="AI57" s="92" t="n"/>
      <c r="AJ57" s="92" t="n"/>
      <c r="AK57" s="92" t="n"/>
      <c r="AL57" s="92" t="n"/>
      <c r="AM57" s="92" t="n"/>
      <c r="AN57" s="92" t="n"/>
      <c r="AO57" s="92" t="n"/>
      <c r="AP57" s="92" t="n"/>
      <c r="AQ57" s="92" t="n"/>
      <c r="AR57" s="92" t="n"/>
      <c r="AS57" s="92" t="n"/>
      <c r="AT57" s="92" t="n"/>
    </row>
    <row r="58" customFormat="1" s="63">
      <c r="D58" s="465" t="n"/>
      <c r="E58" s="435" t="n"/>
      <c r="F58" s="436" t="n"/>
      <c r="G58" s="436" t="n"/>
      <c r="H58" s="437" t="n"/>
      <c r="I58" s="435" t="n"/>
      <c r="J58" s="436" t="n"/>
      <c r="K58" s="436" t="n"/>
      <c r="L58" s="437" t="n"/>
      <c r="M58" s="435" t="n"/>
      <c r="N58" s="436" t="n"/>
      <c r="O58" s="436" t="n"/>
      <c r="P58" s="436" t="n"/>
      <c r="Q58" s="436" t="n"/>
      <c r="R58" s="436" t="n"/>
      <c r="S58" s="436" t="n"/>
      <c r="T58" s="437" t="n"/>
      <c r="U58" s="435" t="n"/>
      <c r="V58" s="436" t="n"/>
      <c r="W58" s="436" t="n"/>
      <c r="X58" s="436" t="n"/>
      <c r="Y58" s="437" t="n"/>
      <c r="Z58" s="435" t="n"/>
      <c r="AA58" s="436" t="n"/>
      <c r="AB58" s="437" t="n"/>
      <c r="AC58" s="465" t="n"/>
      <c r="AD58" s="435" t="n"/>
      <c r="AE58" s="436" t="n"/>
      <c r="AF58" s="436" t="n"/>
      <c r="AG58" s="437" t="n"/>
      <c r="AH58" s="92" t="n"/>
      <c r="AI58" s="92" t="n"/>
      <c r="AJ58" s="92" t="n"/>
      <c r="AK58" s="92" t="n"/>
      <c r="AL58" s="466" t="inlineStr">
        <is>
          <t>画面項目名
（物理）</t>
        </is>
      </c>
      <c r="AM58" s="365" t="n"/>
      <c r="AN58" s="365" t="n"/>
      <c r="AO58" s="365" t="n"/>
      <c r="AP58" s="366" t="n"/>
      <c r="AQ58" s="92" t="n"/>
      <c r="AR58" s="92" t="n"/>
      <c r="AS58" s="92" t="n"/>
      <c r="AT58" s="92" t="n"/>
    </row>
    <row r="59" customFormat="1" s="63">
      <c r="D59" s="467" t="inlineStr">
        <is>
          <t>領域名：プロジェクト情報入力</t>
        </is>
      </c>
      <c r="E59" s="365" t="n"/>
      <c r="F59" s="365" t="n"/>
      <c r="G59" s="365" t="n"/>
      <c r="H59" s="365" t="n"/>
      <c r="I59" s="365" t="n"/>
      <c r="J59" s="365" t="n"/>
      <c r="K59" s="365" t="n"/>
      <c r="L59" s="365" t="n"/>
      <c r="M59" s="365" t="n"/>
      <c r="N59" s="365" t="n"/>
      <c r="O59" s="365" t="n"/>
      <c r="P59" s="365" t="n"/>
      <c r="Q59" s="365" t="n"/>
      <c r="R59" s="365" t="n"/>
      <c r="S59" s="365" t="n"/>
      <c r="T59" s="365" t="n"/>
      <c r="U59" s="365" t="n"/>
      <c r="V59" s="365" t="n"/>
      <c r="W59" s="365" t="n"/>
      <c r="X59" s="365" t="n"/>
      <c r="Y59" s="365" t="n"/>
      <c r="Z59" s="365" t="n"/>
      <c r="AA59" s="365" t="n"/>
      <c r="AB59" s="365" t="n"/>
      <c r="AC59" s="365" t="n"/>
      <c r="AD59" s="365" t="n"/>
      <c r="AE59" s="365" t="n"/>
      <c r="AF59" s="365" t="n"/>
      <c r="AG59" s="366" t="n"/>
      <c r="AH59" s="92" t="n"/>
      <c r="AI59" s="92" t="n"/>
      <c r="AJ59" s="92" t="n"/>
      <c r="AK59" s="92" t="n"/>
      <c r="AL59" s="357" t="inlineStr">
        <is>
          <t>-</t>
        </is>
      </c>
      <c r="AM59" s="279" t="n"/>
      <c r="AN59" s="279" t="n"/>
      <c r="AO59" s="279" t="n"/>
      <c r="AP59" s="280" t="n"/>
      <c r="AQ59" s="92" t="n"/>
      <c r="AR59" s="92" t="n"/>
      <c r="AS59" s="92" t="n"/>
      <c r="AT59" s="92" t="n"/>
    </row>
    <row r="60" ht="11.25" customFormat="1" customHeight="1" s="64">
      <c r="D60" s="106" t="n">
        <v>1</v>
      </c>
      <c r="E60" s="450" t="inlineStr">
        <is>
          <t>事業部</t>
        </is>
      </c>
      <c r="F60" s="365" t="n"/>
      <c r="G60" s="365" t="n"/>
      <c r="H60" s="366" t="n"/>
      <c r="I60" s="262" t="inlineStr">
        <is>
          <t>select(pulldown)</t>
        </is>
      </c>
      <c r="J60" s="365" t="n"/>
      <c r="K60" s="365" t="n"/>
      <c r="L60" s="366" t="n"/>
      <c r="M60" s="347" t="inlineStr">
        <is>
          <t>-</t>
        </is>
      </c>
      <c r="N60" s="365" t="n"/>
      <c r="O60" s="365" t="n"/>
      <c r="P60" s="365" t="n"/>
      <c r="Q60" s="365" t="n"/>
      <c r="R60" s="365" t="n"/>
      <c r="S60" s="365" t="n"/>
      <c r="T60" s="366" t="n"/>
      <c r="U60" s="268" t="inlineStr">
        <is>
          <t>-</t>
        </is>
      </c>
      <c r="V60" s="365" t="n"/>
      <c r="W60" s="365" t="n"/>
      <c r="X60" s="365" t="n"/>
      <c r="Y60" s="366" t="n"/>
      <c r="Z60" s="268" t="inlineStr">
        <is>
          <t>-</t>
        </is>
      </c>
      <c r="AA60" s="365" t="n"/>
      <c r="AB60" s="366" t="n"/>
      <c r="AC60" s="142" t="inlineStr">
        <is>
          <t>○</t>
        </is>
      </c>
      <c r="AD60" s="268" t="inlineStr">
        <is>
          <t>組織ID</t>
        </is>
      </c>
      <c r="AE60" s="365" t="n"/>
      <c r="AF60" s="365" t="n"/>
      <c r="AG60" s="366" t="n"/>
      <c r="AL60" s="450" t="inlineStr">
        <is>
          <t>divisionId</t>
        </is>
      </c>
      <c r="AM60" s="365" t="n"/>
      <c r="AN60" s="365" t="n"/>
      <c r="AO60" s="365" t="n"/>
      <c r="AP60" s="366" t="n"/>
    </row>
    <row r="61" ht="11.25" customFormat="1" customHeight="1" s="64">
      <c r="D61" s="106" t="n">
        <v>2</v>
      </c>
      <c r="E61" s="450" t="inlineStr">
        <is>
          <t>部門</t>
        </is>
      </c>
      <c r="F61" s="365" t="n"/>
      <c r="G61" s="365" t="n"/>
      <c r="H61" s="366" t="n"/>
      <c r="I61" s="262" t="inlineStr">
        <is>
          <t>select(pulldown)</t>
        </is>
      </c>
      <c r="J61" s="365" t="n"/>
      <c r="K61" s="365" t="n"/>
      <c r="L61" s="366" t="n"/>
      <c r="M61" s="347" t="inlineStr">
        <is>
          <t>-</t>
        </is>
      </c>
      <c r="N61" s="365" t="n"/>
      <c r="O61" s="365" t="n"/>
      <c r="P61" s="365" t="n"/>
      <c r="Q61" s="365" t="n"/>
      <c r="R61" s="365" t="n"/>
      <c r="S61" s="365" t="n"/>
      <c r="T61" s="366" t="n"/>
      <c r="U61" s="268" t="inlineStr">
        <is>
          <t>-</t>
        </is>
      </c>
      <c r="V61" s="365" t="n"/>
      <c r="W61" s="365" t="n"/>
      <c r="X61" s="365" t="n"/>
      <c r="Y61" s="366" t="n"/>
      <c r="Z61" s="268" t="inlineStr">
        <is>
          <t>-</t>
        </is>
      </c>
      <c r="AA61" s="365" t="n"/>
      <c r="AB61" s="366" t="n"/>
      <c r="AC61" s="142" t="inlineStr">
        <is>
          <t>○</t>
        </is>
      </c>
      <c r="AD61" s="268" t="inlineStr">
        <is>
          <t>組織ID</t>
        </is>
      </c>
      <c r="AE61" s="365" t="n"/>
      <c r="AF61" s="365" t="n"/>
      <c r="AG61" s="366" t="n"/>
      <c r="AL61" s="450" t="inlineStr">
        <is>
          <t>organizationId</t>
        </is>
      </c>
      <c r="AM61" s="365" t="n"/>
      <c r="AN61" s="365" t="n"/>
      <c r="AO61" s="365" t="n"/>
      <c r="AP61" s="366" t="n"/>
    </row>
    <row r="62" ht="11.25" customFormat="1" customHeight="1" s="63">
      <c r="D62" s="106" t="n">
        <v>3</v>
      </c>
      <c r="E62" s="450" t="inlineStr">
        <is>
          <t>PJ名</t>
        </is>
      </c>
      <c r="F62" s="365" t="n"/>
      <c r="G62" s="365" t="n"/>
      <c r="H62" s="366" t="n"/>
      <c r="I62" s="262" t="inlineStr">
        <is>
          <t>text</t>
        </is>
      </c>
      <c r="J62" s="365" t="n"/>
      <c r="K62" s="365" t="n"/>
      <c r="L62" s="366" t="n"/>
      <c r="M62" s="347" t="inlineStr">
        <is>
          <t>-</t>
        </is>
      </c>
      <c r="N62" s="365" t="n"/>
      <c r="O62" s="365" t="n"/>
      <c r="P62" s="365" t="n"/>
      <c r="Q62" s="365" t="n"/>
      <c r="R62" s="365" t="n"/>
      <c r="S62" s="365" t="n"/>
      <c r="T62" s="366" t="n"/>
      <c r="U62" s="268" t="inlineStr">
        <is>
          <t>-</t>
        </is>
      </c>
      <c r="V62" s="365" t="n"/>
      <c r="W62" s="365" t="n"/>
      <c r="X62" s="365" t="n"/>
      <c r="Y62" s="366" t="n"/>
      <c r="Z62" s="268" t="inlineStr">
        <is>
          <t>-</t>
        </is>
      </c>
      <c r="AA62" s="365" t="n"/>
      <c r="AB62" s="366" t="n"/>
      <c r="AC62" s="142" t="inlineStr">
        <is>
          <t>○</t>
        </is>
      </c>
      <c r="AD62" s="268" t="inlineStr">
        <is>
          <t>プロジェクト名</t>
        </is>
      </c>
      <c r="AE62" s="365" t="n"/>
      <c r="AF62" s="365" t="n"/>
      <c r="AG62" s="366" t="n"/>
      <c r="AH62" s="92" t="n"/>
      <c r="AI62" s="92" t="n"/>
      <c r="AJ62" s="92" t="n"/>
      <c r="AK62" s="92" t="n"/>
      <c r="AL62" s="450" t="inlineStr">
        <is>
          <t>projectName</t>
        </is>
      </c>
      <c r="AM62" s="365" t="n"/>
      <c r="AN62" s="365" t="n"/>
      <c r="AO62" s="365" t="n"/>
      <c r="AP62" s="366" t="n"/>
      <c r="AQ62" s="92" t="n"/>
      <c r="AR62" s="92" t="n"/>
      <c r="AS62" s="92" t="n"/>
      <c r="AT62" s="92" t="n"/>
    </row>
    <row r="63" ht="95.25" customFormat="1" customHeight="1" s="63">
      <c r="D63" s="106" t="n">
        <v>4</v>
      </c>
      <c r="E63" s="450" t="inlineStr">
        <is>
          <t>PJ種別</t>
        </is>
      </c>
      <c r="F63" s="365" t="n"/>
      <c r="G63" s="365" t="n"/>
      <c r="H63" s="366" t="n"/>
      <c r="I63" s="262" t="inlineStr">
        <is>
          <t>select(pulldown)</t>
        </is>
      </c>
      <c r="J63" s="365" t="n"/>
      <c r="K63" s="365" t="n"/>
      <c r="L63" s="366" t="n"/>
      <c r="M63" s="347" t="inlineStr">
        <is>
          <t>-</t>
        </is>
      </c>
      <c r="N63" s="365" t="n"/>
      <c r="O63" s="365" t="n"/>
      <c r="P63" s="365" t="n"/>
      <c r="Q63" s="365" t="n"/>
      <c r="R63" s="365" t="n"/>
      <c r="S63" s="365" t="n"/>
      <c r="T63" s="366" t="n"/>
      <c r="U63" s="268" t="inlineStr">
        <is>
          <t>＜コード値取得情報＞
ｺｰﾄﾞID　  ：C0200001
ｺｰﾄﾞ名称　：プロジェクト種別
ｺｰﾄﾞﾊﾟﾀｰﾝ ：1
表示名称 ：コード値名称
選択なしのオプション ：なし</t>
        </is>
      </c>
      <c r="V63" s="365" t="n"/>
      <c r="W63" s="365" t="n"/>
      <c r="X63" s="365" t="n"/>
      <c r="Y63" s="366" t="n"/>
      <c r="Z63" s="268" t="inlineStr">
        <is>
          <t>-</t>
        </is>
      </c>
      <c r="AA63" s="365" t="n"/>
      <c r="AB63" s="366" t="n"/>
      <c r="AC63" s="142" t="inlineStr">
        <is>
          <t>○</t>
        </is>
      </c>
      <c r="AD63" s="268" t="inlineStr">
        <is>
          <t>プロジェクト種別</t>
        </is>
      </c>
      <c r="AE63" s="365" t="n"/>
      <c r="AF63" s="365" t="n"/>
      <c r="AG63" s="366" t="n"/>
      <c r="AH63" s="92" t="n"/>
      <c r="AI63" s="92" t="n"/>
      <c r="AJ63" s="92" t="n"/>
      <c r="AK63" s="92" t="n"/>
      <c r="AL63" s="450" t="inlineStr">
        <is>
          <t>projectType</t>
        </is>
      </c>
      <c r="AM63" s="365" t="n"/>
      <c r="AN63" s="365" t="n"/>
      <c r="AO63" s="365" t="n"/>
      <c r="AP63" s="366" t="n"/>
      <c r="AQ63" s="92" t="n"/>
      <c r="AR63" s="92" t="n"/>
      <c r="AS63" s="92" t="n"/>
      <c r="AT63" s="92" t="n"/>
    </row>
    <row r="64" ht="95.25" customFormat="1" customHeight="1" s="63">
      <c r="D64" s="106" t="n">
        <v>5</v>
      </c>
      <c r="E64" s="450" t="inlineStr">
        <is>
          <t>PJ分類</t>
        </is>
      </c>
      <c r="F64" s="365" t="n"/>
      <c r="G64" s="365" t="n"/>
      <c r="H64" s="366" t="n"/>
      <c r="I64" s="262" t="inlineStr">
        <is>
          <t>radio</t>
        </is>
      </c>
      <c r="J64" s="365" t="n"/>
      <c r="K64" s="365" t="n"/>
      <c r="L64" s="366" t="n"/>
      <c r="M64" s="347" t="inlineStr">
        <is>
          <t>-</t>
        </is>
      </c>
      <c r="N64" s="365" t="n"/>
      <c r="O64" s="365" t="n"/>
      <c r="P64" s="365" t="n"/>
      <c r="Q64" s="365" t="n"/>
      <c r="R64" s="365" t="n"/>
      <c r="S64" s="365" t="n"/>
      <c r="T64" s="366" t="n"/>
      <c r="U64" s="268" t="inlineStr">
        <is>
          <t>＜コード値取得情報＞
ｺｰﾄﾞID　  ：C0300001
ｺｰﾄﾞ名称　：プロジェクト分類
ｺｰﾄﾞﾊﾟﾀｰﾝ ：1
表示名称 ：コード値名称
選択なしのオプション ：なし</t>
        </is>
      </c>
      <c r="V64" s="365" t="n"/>
      <c r="W64" s="365" t="n"/>
      <c r="X64" s="365" t="n"/>
      <c r="Y64" s="366" t="n"/>
      <c r="Z64" s="268" t="inlineStr">
        <is>
          <t>-</t>
        </is>
      </c>
      <c r="AA64" s="365" t="n"/>
      <c r="AB64" s="366" t="n"/>
      <c r="AC64" s="142" t="inlineStr">
        <is>
          <t>○</t>
        </is>
      </c>
      <c r="AD64" s="268" t="inlineStr">
        <is>
          <t>プロジェクト分類</t>
        </is>
      </c>
      <c r="AE64" s="365" t="n"/>
      <c r="AF64" s="365" t="n"/>
      <c r="AG64" s="366" t="n"/>
      <c r="AH64" s="92" t="n"/>
      <c r="AI64" s="92" t="n"/>
      <c r="AJ64" s="92" t="n"/>
      <c r="AK64" s="92" t="n"/>
      <c r="AL64" s="450" t="inlineStr">
        <is>
          <t>projectClass</t>
        </is>
      </c>
      <c r="AM64" s="365" t="n"/>
      <c r="AN64" s="365" t="n"/>
      <c r="AO64" s="365" t="n"/>
      <c r="AP64" s="366" t="n"/>
      <c r="AQ64" s="92" t="n"/>
      <c r="AR64" s="92" t="n"/>
      <c r="AS64" s="92" t="n"/>
      <c r="AT64" s="92" t="n"/>
    </row>
    <row r="65" ht="11.25" customHeight="1" s="160">
      <c r="D65" s="106" t="n">
        <v>6</v>
      </c>
      <c r="E65" s="450" t="inlineStr">
        <is>
          <t>売上高(千円)</t>
        </is>
      </c>
      <c r="F65" s="365" t="n"/>
      <c r="G65" s="365" t="n"/>
      <c r="H65" s="366" t="n"/>
      <c r="I65" s="267" t="inlineStr">
        <is>
          <t>text</t>
        </is>
      </c>
      <c r="J65" s="365" t="n"/>
      <c r="K65" s="365" t="n"/>
      <c r="L65" s="366" t="n"/>
      <c r="M65" s="347" t="inlineStr">
        <is>
          <t>-</t>
        </is>
      </c>
      <c r="N65" s="365" t="n"/>
      <c r="O65" s="365" t="n"/>
      <c r="P65" s="365" t="n"/>
      <c r="Q65" s="365" t="n"/>
      <c r="R65" s="365" t="n"/>
      <c r="S65" s="365" t="n"/>
      <c r="T65" s="366" t="n"/>
      <c r="U65" s="268" t="inlineStr">
        <is>
          <t>-</t>
        </is>
      </c>
      <c r="V65" s="365" t="n"/>
      <c r="W65" s="365" t="n"/>
      <c r="X65" s="365" t="n"/>
      <c r="Y65" s="366" t="n"/>
      <c r="Z65" s="268" t="inlineStr">
        <is>
          <t>-</t>
        </is>
      </c>
      <c r="AA65" s="365" t="n"/>
      <c r="AB65" s="366" t="n"/>
      <c r="AC65" s="142" t="inlineStr">
        <is>
          <t>-</t>
        </is>
      </c>
      <c r="AD65" s="268" t="inlineStr">
        <is>
          <t>金額</t>
        </is>
      </c>
      <c r="AE65" s="365" t="n"/>
      <c r="AF65" s="365" t="n"/>
      <c r="AG65" s="366" t="n"/>
      <c r="AL65" s="450" t="inlineStr">
        <is>
          <t>sales</t>
        </is>
      </c>
      <c r="AM65" s="365" t="n"/>
      <c r="AN65" s="365" t="n"/>
      <c r="AO65" s="365" t="n"/>
      <c r="AP65" s="366" t="n"/>
    </row>
    <row r="66" ht="24.75" customFormat="1" customHeight="1" s="64">
      <c r="D66" s="106" t="n">
        <v>7</v>
      </c>
      <c r="E66" s="450" t="inlineStr">
        <is>
          <t>顧客</t>
        </is>
      </c>
      <c r="F66" s="365" t="n"/>
      <c r="G66" s="365" t="n"/>
      <c r="H66" s="366" t="n"/>
      <c r="I66" s="262" t="inlineStr">
        <is>
          <t>label</t>
        </is>
      </c>
      <c r="J66" s="365" t="n"/>
      <c r="K66" s="365" t="n"/>
      <c r="L66" s="366" t="n"/>
      <c r="M66" s="347" t="inlineStr">
        <is>
          <t>-</t>
        </is>
      </c>
      <c r="N66" s="365" t="n"/>
      <c r="O66" s="365" t="n"/>
      <c r="P66" s="365" t="n"/>
      <c r="Q66" s="365" t="n"/>
      <c r="R66" s="365" t="n"/>
      <c r="S66" s="365" t="n"/>
      <c r="T66" s="366" t="n"/>
      <c r="U66" s="268" t="inlineStr">
        <is>
          <t>顧客検索画面で選択した顧客の顧客名</t>
        </is>
      </c>
      <c r="V66" s="365" t="n"/>
      <c r="W66" s="365" t="n"/>
      <c r="X66" s="365" t="n"/>
      <c r="Y66" s="366" t="n"/>
      <c r="Z66" s="268" t="inlineStr">
        <is>
          <t>-</t>
        </is>
      </c>
      <c r="AA66" s="365" t="n"/>
      <c r="AB66" s="366" t="n"/>
      <c r="AC66" s="142" t="inlineStr">
        <is>
          <t>○</t>
        </is>
      </c>
      <c r="AD66" s="268" t="inlineStr">
        <is>
          <t>顧客ID</t>
        </is>
      </c>
      <c r="AE66" s="365" t="n"/>
      <c r="AF66" s="365" t="n"/>
      <c r="AG66" s="366" t="n"/>
      <c r="AL66" s="450" t="inlineStr">
        <is>
          <t>clientId</t>
        </is>
      </c>
      <c r="AM66" s="365" t="n"/>
      <c r="AN66" s="365" t="n"/>
      <c r="AO66" s="365" t="n"/>
      <c r="AP66" s="366" t="n"/>
    </row>
    <row r="67" ht="11.25" customFormat="1" customHeight="1" s="64">
      <c r="D67" s="106" t="n">
        <v>8</v>
      </c>
      <c r="E67" s="450" t="inlineStr">
        <is>
          <t>PM</t>
        </is>
      </c>
      <c r="F67" s="365" t="n"/>
      <c r="G67" s="365" t="n"/>
      <c r="H67" s="366" t="n"/>
      <c r="I67" s="262" t="inlineStr">
        <is>
          <t>text</t>
        </is>
      </c>
      <c r="J67" s="365" t="n"/>
      <c r="K67" s="365" t="n"/>
      <c r="L67" s="366" t="n"/>
      <c r="M67" s="347" t="inlineStr">
        <is>
          <t>-</t>
        </is>
      </c>
      <c r="N67" s="365" t="n"/>
      <c r="O67" s="365" t="n"/>
      <c r="P67" s="365" t="n"/>
      <c r="Q67" s="365" t="n"/>
      <c r="R67" s="365" t="n"/>
      <c r="S67" s="365" t="n"/>
      <c r="T67" s="366" t="n"/>
      <c r="U67" s="268" t="inlineStr">
        <is>
          <t>-</t>
        </is>
      </c>
      <c r="V67" s="365" t="n"/>
      <c r="W67" s="365" t="n"/>
      <c r="X67" s="365" t="n"/>
      <c r="Y67" s="366" t="n"/>
      <c r="Z67" s="268" t="inlineStr">
        <is>
          <t>-</t>
        </is>
      </c>
      <c r="AA67" s="365" t="n"/>
      <c r="AB67" s="366" t="n"/>
      <c r="AC67" s="142" t="inlineStr">
        <is>
          <t>○</t>
        </is>
      </c>
      <c r="AD67" s="268" t="inlineStr">
        <is>
          <t>ユーザ氏名（漢字）</t>
        </is>
      </c>
      <c r="AE67" s="365" t="n"/>
      <c r="AF67" s="365" t="n"/>
      <c r="AG67" s="366" t="n"/>
      <c r="AL67" s="450" t="inlineStr">
        <is>
          <t>projectManager</t>
        </is>
      </c>
      <c r="AM67" s="365" t="n"/>
      <c r="AN67" s="365" t="n"/>
      <c r="AO67" s="365" t="n"/>
      <c r="AP67" s="366" t="n"/>
      <c r="AV67" s="75" t="n"/>
    </row>
    <row r="68" ht="11.25" customFormat="1" customHeight="1" s="64">
      <c r="D68" s="106" t="n">
        <v>9</v>
      </c>
      <c r="E68" s="450" t="inlineStr">
        <is>
          <t>PL</t>
        </is>
      </c>
      <c r="F68" s="365" t="n"/>
      <c r="G68" s="365" t="n"/>
      <c r="H68" s="366" t="n"/>
      <c r="I68" s="262" t="inlineStr">
        <is>
          <t>text</t>
        </is>
      </c>
      <c r="J68" s="365" t="n"/>
      <c r="K68" s="365" t="n"/>
      <c r="L68" s="366" t="n"/>
      <c r="M68" s="347" t="inlineStr">
        <is>
          <t>-</t>
        </is>
      </c>
      <c r="N68" s="365" t="n"/>
      <c r="O68" s="365" t="n"/>
      <c r="P68" s="365" t="n"/>
      <c r="Q68" s="365" t="n"/>
      <c r="R68" s="365" t="n"/>
      <c r="S68" s="365" t="n"/>
      <c r="T68" s="366" t="n"/>
      <c r="U68" s="268" t="inlineStr">
        <is>
          <t>-</t>
        </is>
      </c>
      <c r="V68" s="365" t="n"/>
      <c r="W68" s="365" t="n"/>
      <c r="X68" s="365" t="n"/>
      <c r="Y68" s="366" t="n"/>
      <c r="Z68" s="268" t="inlineStr">
        <is>
          <t>-</t>
        </is>
      </c>
      <c r="AA68" s="365" t="n"/>
      <c r="AB68" s="366" t="n"/>
      <c r="AC68" s="142" t="inlineStr">
        <is>
          <t>○</t>
        </is>
      </c>
      <c r="AD68" s="268" t="inlineStr">
        <is>
          <t>ユーザ氏名（漢字）</t>
        </is>
      </c>
      <c r="AE68" s="365" t="n"/>
      <c r="AF68" s="365" t="n"/>
      <c r="AG68" s="366" t="n"/>
      <c r="AL68" s="268" t="inlineStr">
        <is>
          <t>projectLeader</t>
        </is>
      </c>
      <c r="AM68" s="365" t="n"/>
      <c r="AN68" s="365" t="n"/>
      <c r="AO68" s="365" t="n"/>
      <c r="AP68" s="366" t="n"/>
      <c r="AR68" s="92" t="n"/>
      <c r="AS68" s="92" t="n"/>
    </row>
    <row r="69" ht="22.5" customFormat="1" customHeight="1" s="63">
      <c r="D69" s="106" t="n">
        <v>10</v>
      </c>
      <c r="E69" s="268" t="inlineStr">
        <is>
          <t>開始日</t>
        </is>
      </c>
      <c r="F69" s="365" t="n"/>
      <c r="G69" s="365" t="n"/>
      <c r="H69" s="366" t="n"/>
      <c r="I69" s="262" t="inlineStr">
        <is>
          <t>calendar</t>
        </is>
      </c>
      <c r="J69" s="365" t="n"/>
      <c r="K69" s="365" t="n"/>
      <c r="L69" s="366" t="n"/>
      <c r="M69" s="347" t="inlineStr">
        <is>
          <t>-</t>
        </is>
      </c>
      <c r="N69" s="365" t="n"/>
      <c r="O69" s="365" t="n"/>
      <c r="P69" s="365" t="n"/>
      <c r="Q69" s="365" t="n"/>
      <c r="R69" s="365" t="n"/>
      <c r="S69" s="365" t="n"/>
      <c r="T69" s="366" t="n"/>
      <c r="U69" s="268" t="inlineStr">
        <is>
          <t>＜表示変換:日付変換＞
yyyy/MM/dd</t>
        </is>
      </c>
      <c r="V69" s="365" t="n"/>
      <c r="W69" s="365" t="n"/>
      <c r="X69" s="365" t="n"/>
      <c r="Y69" s="366" t="n"/>
      <c r="Z69" s="268" t="inlineStr">
        <is>
          <t>-</t>
        </is>
      </c>
      <c r="AA69" s="365" t="n"/>
      <c r="AB69" s="366" t="n"/>
      <c r="AC69" s="142" t="inlineStr">
        <is>
          <t>○</t>
        </is>
      </c>
      <c r="AD69" s="268" t="inlineStr">
        <is>
          <t>日付</t>
        </is>
      </c>
      <c r="AE69" s="365" t="n"/>
      <c r="AF69" s="365" t="n"/>
      <c r="AG69" s="366" t="n"/>
      <c r="AH69" s="92" t="n"/>
      <c r="AI69" s="92" t="n"/>
      <c r="AJ69" s="92" t="n"/>
      <c r="AK69" s="92" t="n"/>
      <c r="AL69" s="450" t="inlineStr">
        <is>
          <t>projectStartDate</t>
        </is>
      </c>
      <c r="AM69" s="365" t="n"/>
      <c r="AN69" s="365" t="n"/>
      <c r="AO69" s="365" t="n"/>
      <c r="AP69" s="366" t="n"/>
      <c r="AQ69" s="92" t="n"/>
      <c r="AR69" s="92" t="n"/>
    </row>
    <row r="70" ht="22.5" customFormat="1" customHeight="1" s="64">
      <c r="D70" s="106" t="n">
        <v>11</v>
      </c>
      <c r="E70" s="268" t="inlineStr">
        <is>
          <t>終了日</t>
        </is>
      </c>
      <c r="F70" s="365" t="n"/>
      <c r="G70" s="365" t="n"/>
      <c r="H70" s="366" t="n"/>
      <c r="I70" s="262" t="inlineStr">
        <is>
          <t>calendar</t>
        </is>
      </c>
      <c r="J70" s="365" t="n"/>
      <c r="K70" s="365" t="n"/>
      <c r="L70" s="366" t="n"/>
      <c r="M70" s="347" t="inlineStr">
        <is>
          <t>-</t>
        </is>
      </c>
      <c r="N70" s="365" t="n"/>
      <c r="O70" s="365" t="n"/>
      <c r="P70" s="365" t="n"/>
      <c r="Q70" s="365" t="n"/>
      <c r="R70" s="365" t="n"/>
      <c r="S70" s="365" t="n"/>
      <c r="T70" s="366" t="n"/>
      <c r="U70" s="268" t="inlineStr">
        <is>
          <t>＜表示変換:日付変換＞
yyyy/MM/dd</t>
        </is>
      </c>
      <c r="V70" s="365" t="n"/>
      <c r="W70" s="365" t="n"/>
      <c r="X70" s="365" t="n"/>
      <c r="Y70" s="366" t="n"/>
      <c r="Z70" s="268" t="inlineStr">
        <is>
          <t>-</t>
        </is>
      </c>
      <c r="AA70" s="365" t="n"/>
      <c r="AB70" s="366" t="n"/>
      <c r="AC70" s="142" t="inlineStr">
        <is>
          <t>○</t>
        </is>
      </c>
      <c r="AD70" s="268" t="inlineStr">
        <is>
          <t>日付</t>
        </is>
      </c>
      <c r="AE70" s="365" t="n"/>
      <c r="AF70" s="365" t="n"/>
      <c r="AG70" s="366" t="n"/>
      <c r="AL70" s="450" t="inlineStr">
        <is>
          <t>projectEndDate</t>
        </is>
      </c>
      <c r="AM70" s="365" t="n"/>
      <c r="AN70" s="365" t="n"/>
      <c r="AO70" s="365" t="n"/>
      <c r="AP70" s="366" t="n"/>
    </row>
    <row r="71">
      <c r="D71" s="106" t="n">
        <v>12</v>
      </c>
      <c r="E71" s="450" t="inlineStr">
        <is>
          <t>備考</t>
        </is>
      </c>
      <c r="F71" s="365" t="n"/>
      <c r="G71" s="365" t="n"/>
      <c r="H71" s="366" t="n"/>
      <c r="I71" s="262" t="inlineStr">
        <is>
          <t>textarea</t>
        </is>
      </c>
      <c r="J71" s="365" t="n"/>
      <c r="K71" s="365" t="n"/>
      <c r="L71" s="366" t="n"/>
      <c r="M71" s="347" t="inlineStr">
        <is>
          <t>-</t>
        </is>
      </c>
      <c r="N71" s="365" t="n"/>
      <c r="O71" s="365" t="n"/>
      <c r="P71" s="365" t="n"/>
      <c r="Q71" s="365" t="n"/>
      <c r="R71" s="365" t="n"/>
      <c r="S71" s="365" t="n"/>
      <c r="T71" s="366" t="n"/>
      <c r="U71" s="268" t="inlineStr">
        <is>
          <t>-</t>
        </is>
      </c>
      <c r="V71" s="365" t="n"/>
      <c r="W71" s="365" t="n"/>
      <c r="X71" s="365" t="n"/>
      <c r="Y71" s="366" t="n"/>
      <c r="Z71" s="268" t="inlineStr">
        <is>
          <t>-</t>
        </is>
      </c>
      <c r="AA71" s="365" t="n"/>
      <c r="AB71" s="366" t="n"/>
      <c r="AC71" s="142" t="inlineStr">
        <is>
          <t>-</t>
        </is>
      </c>
      <c r="AD71" s="268" t="inlineStr">
        <is>
          <t>備考</t>
        </is>
      </c>
      <c r="AE71" s="365" t="n"/>
      <c r="AF71" s="365" t="n"/>
      <c r="AG71" s="366" t="n"/>
      <c r="AL71" s="468" t="inlineStr">
        <is>
          <t>note</t>
        </is>
      </c>
      <c r="AM71" s="365" t="n"/>
      <c r="AN71" s="365" t="n"/>
      <c r="AO71" s="365" t="n"/>
      <c r="AP71" s="366" t="n"/>
    </row>
    <row r="72" ht="11.25" customHeight="1" s="160"/>
    <row r="73">
      <c r="D73" s="64" t="n"/>
      <c r="E73" s="96" t="n"/>
      <c r="F73" s="96" t="n"/>
      <c r="G73" s="96" t="n"/>
      <c r="H73" s="96" t="n"/>
      <c r="I73" s="96" t="n"/>
      <c r="J73" s="96" t="n"/>
      <c r="K73" s="96" t="n"/>
      <c r="L73" s="96" t="n"/>
      <c r="M73" s="96" t="n"/>
      <c r="N73" s="96" t="n"/>
      <c r="O73" s="96" t="n"/>
      <c r="P73" s="96" t="n"/>
      <c r="Q73" s="96" t="n"/>
      <c r="R73" s="96" t="n"/>
      <c r="S73" s="96" t="n"/>
      <c r="T73" s="96" t="n"/>
      <c r="U73" s="96" t="n"/>
      <c r="V73" s="96" t="n"/>
      <c r="W73" s="96" t="n"/>
      <c r="X73" s="100" t="n"/>
      <c r="Y73" s="100" t="n"/>
      <c r="Z73" s="100" t="n"/>
      <c r="AA73" s="100" t="n"/>
      <c r="AB73" s="96" t="n"/>
      <c r="AC73" s="96" t="n"/>
      <c r="AD73" s="96" t="n"/>
      <c r="AE73" s="96" t="n"/>
      <c r="AF73" s="96" t="n"/>
      <c r="AG73" s="96" t="n"/>
      <c r="AH73" s="96" t="n"/>
      <c r="AI73" s="96" t="n"/>
      <c r="AJ73" s="96" t="n"/>
      <c r="AK73" s="96" t="n"/>
    </row>
    <row r="74">
      <c r="C74" s="16" t="inlineStr">
        <is>
          <t>2.4. 入出力一覧</t>
        </is>
      </c>
      <c r="D74" s="64" t="n"/>
      <c r="E74" s="96" t="n"/>
      <c r="F74" s="96" t="n"/>
      <c r="G74" s="96" t="n"/>
      <c r="H74" s="96" t="n"/>
      <c r="I74" s="96" t="n"/>
      <c r="J74" s="96" t="n"/>
      <c r="K74" s="96" t="n"/>
      <c r="L74" s="96" t="n"/>
      <c r="M74" s="96" t="n"/>
      <c r="N74" s="96" t="n"/>
      <c r="O74" s="96" t="n"/>
      <c r="P74" s="96" t="n"/>
      <c r="Q74" s="96" t="n"/>
      <c r="R74" s="96" t="n"/>
      <c r="S74" s="96" t="n"/>
      <c r="T74" s="96" t="n"/>
      <c r="U74" s="96" t="n"/>
      <c r="V74" s="96" t="n"/>
      <c r="W74" s="96" t="n"/>
      <c r="X74" s="100" t="n"/>
      <c r="Y74" s="100" t="n"/>
      <c r="Z74" s="100" t="n"/>
      <c r="AA74" s="100" t="n"/>
      <c r="AB74" s="96" t="n"/>
      <c r="AC74" s="96" t="n"/>
      <c r="AD74" s="96" t="n"/>
      <c r="AE74" s="96" t="n"/>
      <c r="AF74" s="96" t="n"/>
      <c r="AG74" s="96" t="n"/>
      <c r="AH74" s="96" t="n"/>
      <c r="AI74" s="96" t="n"/>
      <c r="AJ74" s="96" t="n"/>
      <c r="AK74" s="96" t="n"/>
    </row>
    <row r="75" ht="11.25" customHeight="1" s="160">
      <c r="AI75" s="96" t="n"/>
      <c r="AJ75" s="96" t="n"/>
    </row>
    <row r="76">
      <c r="D76" s="469" t="inlineStr">
        <is>
          <t>No.</t>
        </is>
      </c>
      <c r="E76" s="454" t="inlineStr">
        <is>
          <t>入出力名</t>
        </is>
      </c>
      <c r="F76" s="427" t="n"/>
      <c r="G76" s="427" t="n"/>
      <c r="H76" s="427" t="n"/>
      <c r="I76" s="427" t="n"/>
      <c r="J76" s="428" t="n"/>
      <c r="K76" s="454" t="inlineStr">
        <is>
          <t>種別</t>
        </is>
      </c>
      <c r="L76" s="427" t="n"/>
      <c r="M76" s="427" t="n"/>
      <c r="N76" s="428" t="n"/>
      <c r="O76" s="470" t="inlineStr">
        <is>
          <t>I/O</t>
        </is>
      </c>
      <c r="P76" s="108" t="inlineStr">
        <is>
          <t>DBアクセス種別</t>
        </is>
      </c>
      <c r="Q76" s="109" t="n"/>
      <c r="R76" s="109" t="n"/>
      <c r="S76" s="109" t="n"/>
      <c r="T76" s="109" t="n"/>
      <c r="U76" s="109" t="n"/>
      <c r="V76" s="454" t="inlineStr">
        <is>
          <t>備考</t>
        </is>
      </c>
      <c r="W76" s="427" t="n"/>
      <c r="X76" s="427" t="n"/>
      <c r="Y76" s="427" t="n"/>
      <c r="Z76" s="427" t="n"/>
      <c r="AA76" s="427" t="n"/>
      <c r="AB76" s="427" t="n"/>
      <c r="AC76" s="427" t="n"/>
      <c r="AD76" s="427" t="n"/>
      <c r="AE76" s="427" t="n"/>
      <c r="AF76" s="427" t="n"/>
      <c r="AG76" s="427" t="n"/>
      <c r="AH76" s="428" t="n"/>
    </row>
    <row r="77">
      <c r="D77" s="465" t="n"/>
      <c r="E77" s="435" t="n"/>
      <c r="F77" s="436" t="n"/>
      <c r="G77" s="436" t="n"/>
      <c r="H77" s="436" t="n"/>
      <c r="I77" s="436" t="n"/>
      <c r="J77" s="437" t="n"/>
      <c r="K77" s="435" t="n"/>
      <c r="L77" s="436" t="n"/>
      <c r="M77" s="436" t="n"/>
      <c r="N77" s="437" t="n"/>
      <c r="O77" s="465" t="n"/>
      <c r="P77" s="110" t="inlineStr">
        <is>
          <t>C</t>
        </is>
      </c>
      <c r="Q77" s="110" t="inlineStr">
        <is>
          <t>R</t>
        </is>
      </c>
      <c r="R77" s="110" t="inlineStr">
        <is>
          <t>U</t>
        </is>
      </c>
      <c r="S77" s="110" t="inlineStr">
        <is>
          <t>D</t>
        </is>
      </c>
      <c r="T77" s="110" t="inlineStr">
        <is>
          <t>ﾛｯｸ対象</t>
        </is>
      </c>
      <c r="U77" s="366" t="n"/>
      <c r="V77" s="435" t="n"/>
      <c r="W77" s="436" t="n"/>
      <c r="X77" s="436" t="n"/>
      <c r="Y77" s="436" t="n"/>
      <c r="Z77" s="436" t="n"/>
      <c r="AA77" s="436" t="n"/>
      <c r="AB77" s="436" t="n"/>
      <c r="AC77" s="436" t="n"/>
      <c r="AD77" s="436" t="n"/>
      <c r="AE77" s="436" t="n"/>
      <c r="AF77" s="436" t="n"/>
      <c r="AG77" s="436" t="n"/>
      <c r="AH77" s="437" t="n"/>
    </row>
    <row r="78">
      <c r="D78" s="111" t="n">
        <v>1</v>
      </c>
      <c r="E78" s="52" t="inlineStr">
        <is>
          <t>組織</t>
        </is>
      </c>
      <c r="F78" s="365" t="n"/>
      <c r="G78" s="365" t="n"/>
      <c r="H78" s="365" t="n"/>
      <c r="I78" s="365" t="n"/>
      <c r="J78" s="366" t="n"/>
      <c r="K78" s="406" t="inlineStr">
        <is>
          <t>テーブル</t>
        </is>
      </c>
      <c r="L78" s="365" t="n"/>
      <c r="M78" s="365" t="n"/>
      <c r="N78" s="366" t="n"/>
      <c r="O78" s="105" t="inlineStr">
        <is>
          <t>I</t>
        </is>
      </c>
      <c r="P78" s="370" t="inlineStr">
        <is>
          <t>-</t>
        </is>
      </c>
      <c r="Q78" s="370" t="inlineStr">
        <is>
          <t>○</t>
        </is>
      </c>
      <c r="R78" s="370" t="inlineStr">
        <is>
          <t>-</t>
        </is>
      </c>
      <c r="S78" s="370" t="inlineStr">
        <is>
          <t>-</t>
        </is>
      </c>
      <c r="T78" s="471" t="inlineStr">
        <is>
          <t>-</t>
        </is>
      </c>
      <c r="U78" s="366" t="n"/>
      <c r="V78" s="406" t="inlineStr">
        <is>
          <t>-</t>
        </is>
      </c>
      <c r="W78" s="365" t="n"/>
      <c r="X78" s="365" t="n"/>
      <c r="Y78" s="365" t="n"/>
      <c r="Z78" s="365" t="n"/>
      <c r="AA78" s="365" t="n"/>
      <c r="AB78" s="365" t="n"/>
      <c r="AC78" s="365" t="n"/>
      <c r="AD78" s="365" t="n"/>
      <c r="AE78" s="365" t="n"/>
      <c r="AF78" s="365" t="n"/>
      <c r="AG78" s="365" t="n"/>
      <c r="AH78" s="366" t="n"/>
    </row>
    <row r="79">
      <c r="D79" s="101" t="n"/>
      <c r="E79" s="104" t="n"/>
      <c r="F79" s="104" t="n"/>
      <c r="G79" s="104" t="n"/>
      <c r="H79" s="104" t="n"/>
      <c r="I79" s="104" t="n"/>
      <c r="J79" s="104" t="n"/>
      <c r="K79" s="104" t="n"/>
      <c r="L79" s="104" t="n"/>
      <c r="M79" s="104" t="n"/>
      <c r="N79" s="104" t="n"/>
      <c r="O79" s="104" t="n"/>
      <c r="P79" s="104" t="n"/>
      <c r="Q79" s="104" t="n"/>
      <c r="R79" s="104" t="n"/>
      <c r="S79" s="104" t="n"/>
      <c r="T79" s="104" t="n"/>
      <c r="U79" s="104" t="n"/>
      <c r="V79" s="318" t="n"/>
      <c r="W79" s="318" t="n"/>
      <c r="X79" s="318" t="n"/>
      <c r="Y79" s="318" t="n"/>
      <c r="Z79" s="318" t="n"/>
      <c r="AA79" s="318" t="n"/>
      <c r="AB79" s="318" t="n"/>
      <c r="AC79" s="318" t="n"/>
      <c r="AD79" s="318" t="n"/>
      <c r="AE79" s="318" t="n"/>
      <c r="AF79" s="318" t="n"/>
      <c r="AG79" s="318" t="n"/>
      <c r="AH79" s="318" t="n"/>
    </row>
    <row r="80">
      <c r="D80" s="64" t="n"/>
      <c r="E80" s="96" t="n"/>
      <c r="F80" s="96" t="n"/>
      <c r="G80" s="96" t="n"/>
      <c r="H80" s="96" t="n"/>
      <c r="I80" s="96" t="n"/>
      <c r="J80" s="96" t="n"/>
      <c r="K80" s="96" t="n"/>
      <c r="L80" s="96" t="n"/>
      <c r="M80" s="96" t="n"/>
      <c r="N80" s="96" t="n"/>
      <c r="O80" s="96" t="n"/>
      <c r="R80" s="96" t="n"/>
      <c r="S80" s="96" t="n"/>
      <c r="T80" s="96" t="n"/>
      <c r="U80" s="96" t="n"/>
      <c r="V80" s="96" t="n"/>
      <c r="W80" s="96" t="n"/>
      <c r="X80" s="100" t="n"/>
      <c r="Y80" s="100" t="n"/>
      <c r="Z80" s="100" t="n"/>
      <c r="AA80" s="100" t="n"/>
      <c r="AB80" s="96" t="n"/>
      <c r="AC80" s="96" t="n"/>
      <c r="AD80" s="96" t="n"/>
      <c r="AE80" s="96" t="n"/>
      <c r="AF80" s="96" t="n"/>
      <c r="AG80" s="96" t="n"/>
      <c r="AH80" s="96" t="n"/>
      <c r="AI80" s="96" t="n"/>
      <c r="AJ80" s="96" t="n"/>
    </row>
    <row r="81">
      <c r="C81" s="16" t="inlineStr">
        <is>
          <t>2.5. 画面イベント一覧</t>
        </is>
      </c>
    </row>
    <row r="82"/>
    <row r="83" ht="11.25" customHeight="1" s="160">
      <c r="C83" s="75" t="n"/>
      <c r="D83" s="113" t="inlineStr">
        <is>
          <t>No.</t>
        </is>
      </c>
      <c r="E83" s="472" t="inlineStr">
        <is>
          <t>画面イベント名</t>
        </is>
      </c>
      <c r="F83" s="365" t="n"/>
      <c r="G83" s="365" t="n"/>
      <c r="H83" s="365" t="n"/>
      <c r="I83" s="365" t="n"/>
      <c r="J83" s="473" t="n"/>
      <c r="K83" s="474" t="inlineStr">
        <is>
          <t>発生タイミング</t>
        </is>
      </c>
      <c r="L83" s="365" t="n"/>
      <c r="M83" s="365" t="n"/>
      <c r="N83" s="365" t="n"/>
      <c r="O83" s="365" t="n"/>
      <c r="P83" s="365" t="n"/>
      <c r="Q83" s="366" t="n"/>
      <c r="R83" s="115" t="inlineStr">
        <is>
          <t>画面イベント概要</t>
        </is>
      </c>
      <c r="S83" s="365" t="n"/>
      <c r="T83" s="365" t="n"/>
      <c r="U83" s="365" t="n"/>
      <c r="V83" s="365" t="n"/>
      <c r="W83" s="365" t="n"/>
      <c r="X83" s="365" t="n"/>
      <c r="Y83" s="366" t="n"/>
      <c r="Z83" s="239" t="inlineStr">
        <is>
          <t>正常時遷移先画面</t>
        </is>
      </c>
      <c r="AA83" s="365" t="n"/>
      <c r="AB83" s="365" t="n"/>
      <c r="AC83" s="365" t="n"/>
      <c r="AD83" s="366" t="n"/>
      <c r="AE83" s="475" t="inlineStr">
        <is>
          <t>サーバ通信有無</t>
        </is>
      </c>
      <c r="AF83" s="458" t="n"/>
      <c r="AG83" s="458" t="n"/>
      <c r="AH83" s="459" t="n"/>
    </row>
    <row r="84" ht="27" customHeight="1" s="160">
      <c r="D84" s="106" t="n">
        <v>1</v>
      </c>
      <c r="E84" s="406" t="inlineStr">
        <is>
          <t>初期表示</t>
        </is>
      </c>
      <c r="F84" s="365" t="n"/>
      <c r="G84" s="365" t="n"/>
      <c r="H84" s="365" t="n"/>
      <c r="I84" s="365" t="n"/>
      <c r="J84" s="366" t="n"/>
      <c r="K84" s="406" t="inlineStr">
        <is>
          <t>‐</t>
        </is>
      </c>
      <c r="L84" s="365" t="n"/>
      <c r="M84" s="365" t="n"/>
      <c r="N84" s="365" t="n"/>
      <c r="O84" s="365" t="n"/>
      <c r="P84" s="365" t="n"/>
      <c r="Q84" s="366" t="n"/>
      <c r="R84" s="268" t="inlineStr">
        <is>
          <t>プロジェクト登録画面を表示する。</t>
        </is>
      </c>
      <c r="S84" s="365" t="n"/>
      <c r="T84" s="365" t="n"/>
      <c r="U84" s="365" t="n"/>
      <c r="V84" s="365" t="n"/>
      <c r="W84" s="365" t="n"/>
      <c r="X84" s="365" t="n"/>
      <c r="Y84" s="366" t="n"/>
      <c r="Z84" s="406" t="inlineStr">
        <is>
          <t>-</t>
        </is>
      </c>
      <c r="AA84" s="365" t="n"/>
      <c r="AB84" s="365" t="n"/>
      <c r="AC84" s="365" t="n"/>
      <c r="AD84" s="366" t="n"/>
      <c r="AE84" s="476" t="inlineStr">
        <is>
          <t>あり(同期)</t>
        </is>
      </c>
      <c r="AF84" s="460" t="n"/>
      <c r="AG84" s="460" t="n"/>
      <c r="AH84" s="461" t="n"/>
    </row>
    <row r="85" ht="27" customHeight="1" s="160">
      <c r="D85" s="139" t="n">
        <v>2</v>
      </c>
      <c r="E85" s="477" t="inlineStr">
        <is>
          <t>部門リスト取得</t>
        </is>
      </c>
      <c r="F85" s="365" t="n"/>
      <c r="G85" s="365" t="n"/>
      <c r="H85" s="365" t="n"/>
      <c r="I85" s="365" t="n"/>
      <c r="J85" s="366" t="n"/>
      <c r="K85" s="477" t="inlineStr">
        <is>
          <t>「事業部」プルダウン選択</t>
        </is>
      </c>
      <c r="L85" s="365" t="n"/>
      <c r="M85" s="365" t="n"/>
      <c r="N85" s="365" t="n"/>
      <c r="O85" s="365" t="n"/>
      <c r="P85" s="365" t="n"/>
      <c r="Q85" s="366" t="n"/>
      <c r="R85" s="477" t="inlineStr">
        <is>
          <t>選択された事業部をもとに、配下部門リストを「部門」プルダウンに設定する。</t>
        </is>
      </c>
      <c r="S85" s="365" t="n"/>
      <c r="T85" s="365" t="n"/>
      <c r="U85" s="365" t="n"/>
      <c r="V85" s="365" t="n"/>
      <c r="W85" s="365" t="n"/>
      <c r="X85" s="365" t="n"/>
      <c r="Y85" s="366" t="n"/>
      <c r="Z85" s="477" t="inlineStr">
        <is>
          <t>-</t>
        </is>
      </c>
      <c r="AA85" s="365" t="n"/>
      <c r="AB85" s="365" t="n"/>
      <c r="AC85" s="365" t="n"/>
      <c r="AD85" s="366" t="n"/>
      <c r="AE85" s="478" t="inlineStr">
        <is>
          <t>あり(非同期)</t>
        </is>
      </c>
      <c r="AF85" s="460" t="n"/>
      <c r="AG85" s="460" t="n"/>
      <c r="AH85" s="461" t="n"/>
    </row>
    <row r="86" ht="27" customHeight="1" s="160">
      <c r="D86" s="106" t="n">
        <v>3</v>
      </c>
      <c r="E86" s="268" t="inlineStr">
        <is>
          <t>顧客検索</t>
        </is>
      </c>
      <c r="F86" s="365" t="n"/>
      <c r="G86" s="365" t="n"/>
      <c r="H86" s="365" t="n"/>
      <c r="I86" s="365" t="n"/>
      <c r="J86" s="366" t="n"/>
      <c r="K86" s="268" t="inlineStr">
        <is>
          <t>「顧客選択」ボタン押下</t>
        </is>
      </c>
      <c r="L86" s="365" t="n"/>
      <c r="M86" s="365" t="n"/>
      <c r="N86" s="365" t="n"/>
      <c r="O86" s="365" t="n"/>
      <c r="P86" s="365" t="n"/>
      <c r="Q86" s="366" t="n"/>
      <c r="R86" s="268" t="inlineStr">
        <is>
          <t>顧客検索画面を開く。</t>
        </is>
      </c>
      <c r="S86" s="365" t="n"/>
      <c r="T86" s="365" t="n"/>
      <c r="U86" s="365" t="n"/>
      <c r="V86" s="365" t="n"/>
      <c r="W86" s="365" t="n"/>
      <c r="X86" s="365" t="n"/>
      <c r="Y86" s="366" t="n"/>
      <c r="Z86" s="268" t="inlineStr">
        <is>
          <t>顧客検索画面</t>
        </is>
      </c>
      <c r="AA86" s="365" t="n"/>
      <c r="AB86" s="365" t="n"/>
      <c r="AC86" s="365" t="n"/>
      <c r="AD86" s="366" t="n"/>
      <c r="AE86" s="476" t="inlineStr">
        <is>
          <t>あり(同期)</t>
        </is>
      </c>
      <c r="AF86" s="460" t="n"/>
      <c r="AG86" s="460" t="n"/>
      <c r="AH86" s="461" t="n"/>
    </row>
    <row r="87" ht="27" customHeight="1" s="160">
      <c r="D87" s="106" t="n">
        <v>4</v>
      </c>
      <c r="E87" s="268" t="inlineStr">
        <is>
          <t>確認</t>
        </is>
      </c>
      <c r="F87" s="365" t="n"/>
      <c r="G87" s="365" t="n"/>
      <c r="H87" s="365" t="n"/>
      <c r="I87" s="365" t="n"/>
      <c r="J87" s="366" t="n"/>
      <c r="K87" s="268" t="inlineStr">
        <is>
          <t>「確認」ボタン押下</t>
        </is>
      </c>
      <c r="L87" s="365" t="n"/>
      <c r="M87" s="365" t="n"/>
      <c r="N87" s="365" t="n"/>
      <c r="O87" s="365" t="n"/>
      <c r="P87" s="365" t="n"/>
      <c r="Q87" s="366" t="n"/>
      <c r="R87" s="268" t="inlineStr">
        <is>
          <t>入力内容のバリデーション処理を行い、プロジェクト登録確認を表示する。</t>
        </is>
      </c>
      <c r="S87" s="365" t="n"/>
      <c r="T87" s="365" t="n"/>
      <c r="U87" s="365" t="n"/>
      <c r="V87" s="365" t="n"/>
      <c r="W87" s="365" t="n"/>
      <c r="X87" s="365" t="n"/>
      <c r="Y87" s="366" t="n"/>
      <c r="Z87" s="268" t="inlineStr">
        <is>
          <t>プロジェクト登録確認</t>
        </is>
      </c>
      <c r="AA87" s="365" t="n"/>
      <c r="AB87" s="365" t="n"/>
      <c r="AC87" s="365" t="n"/>
      <c r="AD87" s="366" t="n"/>
      <c r="AE87" s="476" t="inlineStr">
        <is>
          <t>あり(同期)</t>
        </is>
      </c>
      <c r="AF87" s="460" t="n"/>
      <c r="AG87" s="460" t="n"/>
      <c r="AH87" s="461" t="n"/>
    </row>
    <row r="88">
      <c r="D88" s="95" t="n"/>
      <c r="E88" s="104" t="n"/>
      <c r="F88" s="104" t="n"/>
      <c r="G88" s="104" t="n"/>
      <c r="H88" s="104" t="n"/>
      <c r="I88" s="104" t="n"/>
      <c r="J88" s="104" t="n"/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  <c r="U88" s="104" t="n"/>
      <c r="V88" s="104" t="n"/>
      <c r="W88" s="104" t="n"/>
      <c r="X88" s="104" t="n"/>
      <c r="Y88" s="104" t="n"/>
      <c r="Z88" s="104" t="n"/>
      <c r="AA88" s="104" t="n"/>
      <c r="AB88" s="104" t="n"/>
      <c r="AC88" s="104" t="n"/>
      <c r="AD88" s="104" t="n"/>
      <c r="AE88" s="104" t="n"/>
      <c r="AF88" s="104" t="n"/>
      <c r="AG88" s="104" t="n"/>
      <c r="AH88" s="103" t="n"/>
    </row>
    <row r="89">
      <c r="AE89" s="104" t="n"/>
      <c r="AF89" s="104" t="n"/>
      <c r="AG89" s="104" t="n"/>
    </row>
    <row r="90">
      <c r="C90" s="16" t="inlineStr">
        <is>
          <t>2.6. 画面イベント詳細</t>
        </is>
      </c>
      <c r="D90" s="29" t="n"/>
      <c r="E90" s="29" t="n"/>
      <c r="AE90" s="104" t="n"/>
      <c r="AG90" s="104" t="n"/>
    </row>
    <row r="91" ht="11.25" customHeight="1" s="160">
      <c r="D91" s="26" t="inlineStr">
        <is>
          <t>2.6.1.初期表示イベント</t>
        </is>
      </c>
      <c r="E91" s="29" t="n"/>
    </row>
    <row r="92" ht="11.25" customHeight="1" s="160">
      <c r="D92" s="29" t="n"/>
      <c r="E92" s="29" t="n"/>
    </row>
    <row r="93" ht="11.25" customHeight="1" s="160">
      <c r="D93" s="29" t="n"/>
      <c r="E93" s="29" t="inlineStr">
        <is>
          <t>(1) バリデーション処理</t>
        </is>
      </c>
    </row>
    <row r="94">
      <c r="D94" s="29" t="n"/>
      <c r="E94" s="29" t="n"/>
      <c r="F94" s="29" t="n"/>
    </row>
    <row r="95" ht="11.25" customHeight="1" s="160">
      <c r="D95" s="29" t="n"/>
      <c r="E95" s="29" t="n"/>
      <c r="F95" s="16" t="inlineStr">
        <is>
          <t>なし。</t>
        </is>
      </c>
    </row>
    <row r="96">
      <c r="G96" s="117" t="n"/>
      <c r="H96" s="117" t="n"/>
      <c r="I96" s="117" t="n"/>
      <c r="J96" s="117" t="n"/>
      <c r="K96" s="117" t="n"/>
      <c r="L96" s="117" t="n"/>
      <c r="M96" s="117" t="n"/>
      <c r="N96" s="117" t="n"/>
      <c r="O96" s="117" t="n"/>
      <c r="P96" s="117" t="n"/>
      <c r="Q96" s="117" t="n"/>
      <c r="R96" s="117" t="n"/>
      <c r="S96" s="117" t="n"/>
      <c r="T96" s="117" t="n"/>
      <c r="U96" s="117" t="n"/>
      <c r="V96" s="117" t="n"/>
      <c r="W96" s="117" t="n"/>
      <c r="X96" s="117" t="n"/>
      <c r="Y96" s="117" t="n"/>
      <c r="Z96" s="117" t="n"/>
      <c r="AA96" s="117" t="n"/>
      <c r="AB96" s="117" t="n"/>
      <c r="AC96" s="117" t="n"/>
      <c r="AD96" s="117" t="n"/>
      <c r="AE96" s="117" t="n"/>
      <c r="AF96" s="117" t="n"/>
      <c r="AG96" s="117" t="n"/>
      <c r="AH96" s="117" t="n"/>
      <c r="AI96" s="117" t="n"/>
      <c r="AJ96" s="96" t="n"/>
    </row>
    <row r="97" ht="11.25" customHeight="1" s="160">
      <c r="D97" s="29" t="n"/>
      <c r="E97" s="29" t="n"/>
    </row>
    <row r="98">
      <c r="E98" t="inlineStr">
        <is>
          <t>(2) DBアクセス（検索処理）</t>
        </is>
      </c>
    </row>
    <row r="99">
      <c r="F99" t="inlineStr">
        <is>
          <t>(a) 組織検索条件</t>
        </is>
      </c>
    </row>
    <row r="100"/>
    <row r="101">
      <c r="G101" s="466" t="inlineStr">
        <is>
          <t>取得テーブル名</t>
        </is>
      </c>
      <c r="H101" s="365" t="n"/>
      <c r="I101" s="365" t="n"/>
      <c r="J101" s="365" t="n"/>
      <c r="K101" s="365" t="n"/>
      <c r="L101" s="365" t="n"/>
      <c r="M101" s="365" t="n"/>
      <c r="N101" s="365" t="n"/>
      <c r="O101" s="365" t="n"/>
      <c r="P101" s="366" t="n"/>
      <c r="Q101" s="479" t="inlineStr">
        <is>
          <t>取得カラム名</t>
        </is>
      </c>
      <c r="R101" s="365" t="n"/>
      <c r="S101" s="365" t="n"/>
      <c r="T101" s="365" t="n"/>
      <c r="U101" s="365" t="n"/>
      <c r="V101" s="365" t="n"/>
      <c r="W101" s="365" t="n"/>
      <c r="X101" s="365" t="n"/>
      <c r="Y101" s="365" t="n"/>
      <c r="Z101" s="366" t="n"/>
    </row>
    <row r="102" ht="11.25" customHeight="1" s="160">
      <c r="G102" s="480" t="inlineStr">
        <is>
          <t>組織</t>
        </is>
      </c>
      <c r="H102" s="427" t="n"/>
      <c r="I102" s="427" t="n"/>
      <c r="J102" s="427" t="n"/>
      <c r="K102" s="427" t="n"/>
      <c r="L102" s="427" t="n"/>
      <c r="M102" s="427" t="n"/>
      <c r="N102" s="427" t="n"/>
      <c r="O102" s="427" t="n"/>
      <c r="P102" s="428" t="n"/>
      <c r="Q102" s="52" t="inlineStr">
        <is>
          <t>組織ID</t>
        </is>
      </c>
      <c r="R102" s="365" t="n"/>
      <c r="S102" s="365" t="n"/>
      <c r="T102" s="365" t="n"/>
      <c r="U102" s="365" t="n"/>
      <c r="V102" s="365" t="n"/>
      <c r="W102" s="365" t="n"/>
      <c r="X102" s="365" t="n"/>
      <c r="Y102" s="365" t="n"/>
      <c r="Z102" s="366" t="n"/>
      <c r="AG102" s="76" t="n"/>
      <c r="AH102" s="76" t="n"/>
    </row>
    <row r="103">
      <c r="G103" s="432" t="n"/>
      <c r="P103" s="433" t="n"/>
      <c r="Q103" s="52" t="inlineStr">
        <is>
          <t>組織名</t>
        </is>
      </c>
      <c r="R103" s="365" t="n"/>
      <c r="S103" s="365" t="n"/>
      <c r="T103" s="365" t="n"/>
      <c r="U103" s="365" t="n"/>
      <c r="V103" s="365" t="n"/>
      <c r="W103" s="365" t="n"/>
      <c r="X103" s="365" t="n"/>
      <c r="Y103" s="365" t="n"/>
      <c r="Z103" s="366" t="n"/>
      <c r="AC103" s="77" t="n"/>
      <c r="AD103" s="77" t="n"/>
      <c r="AE103" s="77" t="n"/>
      <c r="AF103" s="77" t="n"/>
      <c r="AG103" s="76" t="n"/>
      <c r="AH103" s="76" t="n"/>
      <c r="AP103" s="77" t="n"/>
      <c r="AQ103" s="77" t="n"/>
      <c r="AR103" s="77" t="n"/>
      <c r="AS103" s="77" t="n"/>
      <c r="AT103" s="77" t="n"/>
      <c r="AU103" s="77" t="n"/>
      <c r="AV103" s="77" t="n"/>
      <c r="AW103" s="77" t="n"/>
      <c r="AX103" s="77" t="n"/>
      <c r="AY103" s="77" t="n"/>
    </row>
    <row r="104">
      <c r="G104" s="481" t="inlineStr">
        <is>
          <t>検索条件</t>
        </is>
      </c>
      <c r="H104" s="365" t="n"/>
      <c r="I104" s="365" t="n"/>
      <c r="J104" s="365" t="n"/>
      <c r="K104" s="365" t="n"/>
      <c r="L104" s="365" t="n"/>
      <c r="M104" s="365" t="n"/>
      <c r="N104" s="365" t="n"/>
      <c r="O104" s="365" t="n"/>
      <c r="P104" s="365" t="n"/>
      <c r="Q104" s="365" t="n"/>
      <c r="R104" s="365" t="n"/>
      <c r="S104" s="365" t="n"/>
      <c r="T104" s="365" t="n"/>
      <c r="U104" s="365" t="n"/>
      <c r="V104" s="365" t="n"/>
      <c r="W104" s="365" t="n"/>
      <c r="X104" s="365" t="n"/>
      <c r="Y104" s="365" t="n"/>
      <c r="Z104" s="366" t="n"/>
      <c r="AJ104" s="77" t="n"/>
      <c r="AK104" s="77" t="n"/>
      <c r="AL104" s="77" t="n"/>
      <c r="AM104" s="77" t="n"/>
      <c r="AN104" s="77" t="n"/>
      <c r="AO104" s="77" t="n"/>
      <c r="AP104" s="77" t="n"/>
      <c r="AQ104" s="77" t="n"/>
      <c r="AR104" s="77" t="n"/>
      <c r="AS104" s="77" t="n"/>
      <c r="AT104" s="77" t="n"/>
      <c r="AU104" s="77" t="n"/>
      <c r="AV104" s="77" t="n"/>
      <c r="AW104" s="77" t="n"/>
      <c r="AX104" s="77" t="n"/>
      <c r="AY104" s="77" t="n"/>
      <c r="AZ104" s="77" t="n"/>
      <c r="BA104" s="77" t="n"/>
      <c r="BB104" s="77" t="n"/>
      <c r="BC104" s="77" t="n"/>
      <c r="BD104" s="77" t="n"/>
      <c r="BE104" s="77" t="n"/>
      <c r="BF104" s="77" t="n"/>
    </row>
    <row r="105">
      <c r="G105" s="78" t="n"/>
      <c r="H105" s="79" t="n"/>
      <c r="I105" s="79" t="n"/>
      <c r="J105" s="79" t="n"/>
      <c r="K105" s="79" t="n"/>
      <c r="L105" s="79" t="n"/>
      <c r="M105" s="79" t="n"/>
      <c r="N105" s="79" t="n"/>
      <c r="O105" s="79" t="n"/>
      <c r="P105" s="79" t="n"/>
      <c r="Q105" s="79" t="n"/>
      <c r="R105" s="79" t="n"/>
      <c r="S105" s="79" t="n"/>
      <c r="T105" s="79" t="n"/>
      <c r="U105" s="79" t="n"/>
      <c r="V105" s="79" t="n"/>
      <c r="W105" s="79" t="n"/>
      <c r="X105" s="79" t="n"/>
      <c r="Y105" s="79" t="n"/>
      <c r="Z105" s="80" t="n"/>
      <c r="AJ105" s="77" t="n"/>
      <c r="AK105" s="77" t="n"/>
      <c r="AL105" s="77" t="n"/>
      <c r="AM105" s="77" t="n"/>
      <c r="AN105" s="77" t="n"/>
      <c r="AO105" s="77" t="n"/>
      <c r="AP105" s="77" t="n"/>
      <c r="AQ105" s="77" t="n"/>
      <c r="AR105" s="77" t="n"/>
      <c r="AS105" s="77" t="n"/>
      <c r="AT105" s="77" t="n"/>
      <c r="AU105" s="77" t="n"/>
      <c r="AV105" s="77" t="n"/>
      <c r="AW105" s="77" t="n"/>
      <c r="AX105" s="77" t="n"/>
      <c r="AY105" s="77" t="n"/>
      <c r="AZ105" s="77" t="n"/>
      <c r="BA105" s="77" t="n"/>
      <c r="BB105" s="77" t="n"/>
      <c r="BC105" s="77" t="n"/>
      <c r="BD105" s="77" t="n"/>
      <c r="BE105" s="77" t="n"/>
      <c r="BF105" s="77" t="n"/>
    </row>
    <row r="106">
      <c r="G106" s="81" t="n"/>
      <c r="H106" s="132" t="inlineStr">
        <is>
          <t>組織.上位組織ID</t>
        </is>
      </c>
      <c r="I106" s="82" t="n"/>
      <c r="J106" s="82" t="n"/>
      <c r="K106" s="82" t="n"/>
      <c r="L106" s="83" t="n"/>
      <c r="M106" s="83" t="inlineStr">
        <is>
          <t>=</t>
        </is>
      </c>
      <c r="N106" s="82" t="n"/>
      <c r="O106" s="82" t="n"/>
      <c r="P106" s="132" t="inlineStr">
        <is>
          <t>NULL</t>
        </is>
      </c>
      <c r="Q106" s="82" t="n"/>
      <c r="R106" s="82" t="n"/>
      <c r="S106" s="82" t="n"/>
      <c r="T106" s="82" t="n"/>
      <c r="U106" s="82" t="n"/>
      <c r="V106" s="84" t="n"/>
      <c r="W106" s="82" t="n"/>
      <c r="X106" s="82" t="n"/>
      <c r="Y106" s="82" t="n"/>
      <c r="Z106" s="85" t="n"/>
      <c r="AJ106" s="77" t="n"/>
      <c r="AK106" s="77" t="n"/>
      <c r="AL106" s="77" t="n"/>
      <c r="AM106" s="77" t="n"/>
      <c r="AN106" s="77" t="n"/>
      <c r="AO106" s="77" t="n"/>
      <c r="AP106" s="77" t="n"/>
      <c r="AQ106" s="77" t="n"/>
      <c r="AR106" s="77" t="n"/>
      <c r="AS106" s="77" t="n"/>
      <c r="AT106" s="77" t="n"/>
      <c r="AU106" s="77" t="n"/>
      <c r="AV106" s="77" t="n"/>
      <c r="AW106" s="77" t="n"/>
      <c r="AX106" s="77" t="n"/>
      <c r="AY106" s="77" t="n"/>
      <c r="AZ106" s="77" t="n"/>
      <c r="BA106" s="77" t="n"/>
      <c r="BB106" s="77" t="n"/>
      <c r="BC106" s="77" t="n"/>
      <c r="BD106" s="77" t="n"/>
      <c r="BE106" s="77" t="n"/>
      <c r="BF106" s="77" t="n"/>
    </row>
    <row r="107">
      <c r="G107" s="86" t="n"/>
      <c r="H107" s="87" t="n"/>
      <c r="I107" s="87" t="n"/>
      <c r="J107" s="87" t="n"/>
      <c r="K107" s="87" t="n"/>
      <c r="L107" s="88" t="n"/>
      <c r="M107" s="88" t="n"/>
      <c r="N107" s="87" t="n"/>
      <c r="O107" s="87" t="n"/>
      <c r="P107" s="87" t="n"/>
      <c r="Q107" s="87" t="n"/>
      <c r="R107" s="87" t="n"/>
      <c r="S107" s="87" t="n"/>
      <c r="T107" s="87" t="n"/>
      <c r="U107" s="87" t="n"/>
      <c r="V107" s="89" t="n"/>
      <c r="W107" s="87" t="n"/>
      <c r="X107" s="87" t="n"/>
      <c r="Y107" s="87" t="n"/>
      <c r="Z107" s="90" t="n"/>
      <c r="AJ107" s="77" t="n"/>
      <c r="AK107" s="77" t="n"/>
      <c r="AL107" s="77" t="n"/>
      <c r="AM107" s="77" t="n"/>
      <c r="AN107" s="77" t="n"/>
      <c r="AO107" s="77" t="n"/>
      <c r="AP107" s="77" t="n"/>
      <c r="AQ107" s="77" t="n"/>
      <c r="AR107" s="77" t="n"/>
      <c r="AS107" s="77" t="n"/>
      <c r="AT107" s="77" t="n"/>
      <c r="AU107" s="77" t="n"/>
      <c r="AV107" s="77" t="n"/>
      <c r="AW107" s="77" t="n"/>
      <c r="AX107" s="77" t="n"/>
      <c r="AY107" s="77" t="n"/>
      <c r="AZ107" s="77" t="n"/>
      <c r="BA107" s="77" t="n"/>
      <c r="BB107" s="77" t="n"/>
      <c r="BC107" s="77" t="n"/>
      <c r="BD107" s="77" t="n"/>
      <c r="BE107" s="77" t="n"/>
      <c r="BF107" s="77" t="n"/>
    </row>
    <row r="108">
      <c r="G108" s="82" t="n"/>
      <c r="H108" s="82" t="n"/>
      <c r="I108" s="82" t="n"/>
      <c r="J108" s="82" t="n"/>
      <c r="K108" s="82" t="n"/>
      <c r="L108" s="83" t="n"/>
      <c r="M108" s="83" t="n"/>
      <c r="N108" s="82" t="n"/>
      <c r="O108" s="82" t="n"/>
      <c r="P108" s="82" t="n"/>
      <c r="Q108" s="82" t="n"/>
      <c r="R108" s="82" t="n"/>
      <c r="S108" s="82" t="n"/>
      <c r="T108" s="82" t="n"/>
      <c r="U108" s="82" t="n"/>
      <c r="V108" s="84" t="n"/>
      <c r="W108" s="82" t="n"/>
      <c r="X108" s="82" t="n"/>
      <c r="Y108" s="82" t="n"/>
      <c r="Z108" s="91" t="n"/>
      <c r="AJ108" s="77" t="n"/>
      <c r="AK108" s="77" t="n"/>
      <c r="AL108" s="77" t="n"/>
      <c r="AM108" s="77" t="n"/>
      <c r="AN108" s="77" t="n"/>
      <c r="AO108" s="77" t="n"/>
      <c r="AP108" s="77" t="n"/>
      <c r="AQ108" s="77" t="n"/>
      <c r="AR108" s="77" t="n"/>
      <c r="AS108" s="77" t="n"/>
      <c r="AT108" s="77" t="n"/>
      <c r="AU108" s="77" t="n"/>
      <c r="AV108" s="77" t="n"/>
      <c r="AW108" s="77" t="n"/>
      <c r="AX108" s="77" t="n"/>
      <c r="AY108" s="77" t="n"/>
      <c r="AZ108" s="77" t="n"/>
      <c r="BA108" s="77" t="n"/>
      <c r="BB108" s="77" t="n"/>
      <c r="BC108" s="77" t="n"/>
      <c r="BD108" s="77" t="n"/>
      <c r="BE108" s="77" t="n"/>
      <c r="BF108" s="77" t="n"/>
    </row>
    <row r="109">
      <c r="AI109" s="77" t="n"/>
      <c r="AJ109" s="77" t="n"/>
      <c r="AK109" s="77" t="n"/>
      <c r="AL109" s="77" t="n"/>
      <c r="AM109" s="77" t="n"/>
      <c r="AN109" s="77" t="n"/>
      <c r="AO109" s="77" t="n"/>
      <c r="AP109" s="77" t="n"/>
      <c r="AQ109" s="77" t="n"/>
      <c r="AR109" s="77" t="n"/>
      <c r="AS109" s="77" t="n"/>
      <c r="AT109" s="77" t="n"/>
      <c r="AU109" s="77" t="n"/>
      <c r="AV109" s="77" t="n"/>
      <c r="AW109" s="77" t="n"/>
      <c r="AX109" s="77" t="n"/>
      <c r="AY109" s="77" t="n"/>
      <c r="AZ109" s="77" t="n"/>
      <c r="BA109" s="77" t="n"/>
      <c r="BB109" s="77" t="n"/>
      <c r="BC109" s="77" t="n"/>
      <c r="BD109" s="77" t="n"/>
      <c r="BE109" s="77" t="n"/>
    </row>
    <row r="110">
      <c r="E110" s="16" t="inlineStr">
        <is>
          <t>(3)　表示処理</t>
        </is>
      </c>
      <c r="AJ110" s="77" t="n"/>
      <c r="AK110" s="77" t="n"/>
      <c r="AL110" s="77" t="n"/>
      <c r="AM110" s="77" t="n"/>
      <c r="AN110" s="77" t="n"/>
      <c r="AO110" s="77" t="n"/>
      <c r="AP110" s="77" t="n"/>
      <c r="AQ110" s="77" t="n"/>
      <c r="AR110" s="77" t="n"/>
      <c r="AS110" s="77" t="n"/>
      <c r="AT110" s="77" t="n"/>
      <c r="AU110" s="77" t="n"/>
      <c r="AV110" s="77" t="n"/>
      <c r="AW110" s="77" t="n"/>
      <c r="AX110" s="77" t="n"/>
      <c r="AY110" s="77" t="n"/>
      <c r="AZ110" s="77" t="n"/>
      <c r="BA110" s="77" t="n"/>
      <c r="BB110" s="77" t="n"/>
      <c r="BC110" s="77" t="n"/>
      <c r="BD110" s="77" t="n"/>
      <c r="BE110" s="77" t="n"/>
      <c r="BF110" s="77" t="n"/>
    </row>
    <row r="111">
      <c r="AJ111" s="77" t="n"/>
      <c r="AK111" s="77" t="n"/>
      <c r="AL111" s="77" t="n"/>
      <c r="AM111" s="77" t="n"/>
      <c r="AN111" s="77" t="n"/>
      <c r="AO111" s="77" t="n"/>
      <c r="AP111" s="77" t="n"/>
      <c r="AQ111" s="77" t="n"/>
      <c r="AR111" s="77" t="n"/>
      <c r="AS111" s="77" t="n"/>
      <c r="AT111" s="77" t="n"/>
      <c r="AU111" s="77" t="n"/>
      <c r="AV111" s="77" t="n"/>
      <c r="AW111" s="77" t="n"/>
      <c r="AX111" s="77" t="n"/>
      <c r="AY111" s="77" t="n"/>
      <c r="AZ111" s="77" t="n"/>
      <c r="BA111" s="77" t="n"/>
      <c r="BB111" s="77" t="n"/>
      <c r="BC111" s="77" t="n"/>
      <c r="BD111" s="77" t="n"/>
      <c r="BE111" s="77" t="n"/>
      <c r="BF111" s="77" t="n"/>
    </row>
    <row r="112">
      <c r="E112" s="92" t="n"/>
      <c r="F112" s="159" t="inlineStr">
        <is>
          <t>(a)「事業部」プルダウンを初期化する。</t>
        </is>
      </c>
      <c r="AJ112" s="77" t="n"/>
      <c r="AK112" s="77" t="n"/>
      <c r="AL112" s="77" t="n"/>
      <c r="AM112" s="77" t="n"/>
      <c r="AN112" s="77" t="n"/>
      <c r="AO112" s="77" t="n"/>
      <c r="AP112" s="77" t="n"/>
      <c r="AQ112" s="77" t="n"/>
      <c r="AR112" s="77" t="n"/>
      <c r="AS112" s="77" t="n"/>
      <c r="AT112" s="77" t="n"/>
      <c r="AU112" s="77" t="n"/>
      <c r="AV112" s="77" t="n"/>
      <c r="AW112" s="77" t="n"/>
      <c r="AX112" s="77" t="n"/>
      <c r="AY112" s="77" t="n"/>
      <c r="AZ112" s="77" t="n"/>
      <c r="BA112" s="77" t="n"/>
      <c r="BB112" s="77" t="n"/>
      <c r="BC112" s="77" t="n"/>
      <c r="BD112" s="77" t="n"/>
      <c r="BE112" s="77" t="n"/>
      <c r="BF112" s="77" t="n"/>
    </row>
    <row r="113">
      <c r="E113" s="92" t="n"/>
      <c r="F113" s="93" t="n"/>
      <c r="G113" s="159" t="inlineStr">
        <is>
          <t>・「(2) 検索処理」の検索結果の先頭にブランクオプションを追加して、「事業部」に設定する。</t>
        </is>
      </c>
      <c r="AJ113" s="77" t="n"/>
      <c r="AK113" s="77" t="n"/>
      <c r="AL113" s="77" t="n"/>
      <c r="AM113" s="77" t="n"/>
      <c r="AN113" s="77" t="n"/>
      <c r="AO113" s="77" t="n"/>
      <c r="AP113" s="77" t="n"/>
      <c r="AQ113" s="77" t="n"/>
      <c r="AR113" s="77" t="n"/>
      <c r="AS113" s="77" t="n"/>
      <c r="AT113" s="77" t="n"/>
      <c r="AU113" s="77" t="n"/>
      <c r="AV113" s="77" t="n"/>
      <c r="AW113" s="77" t="n"/>
      <c r="AX113" s="77" t="n"/>
      <c r="AY113" s="77" t="n"/>
      <c r="AZ113" s="77" t="n"/>
      <c r="BA113" s="77" t="n"/>
      <c r="BB113" s="77" t="n"/>
      <c r="BC113" s="77" t="n"/>
      <c r="BD113" s="77" t="n"/>
      <c r="BE113" s="77" t="n"/>
      <c r="BF113" s="77" t="n"/>
    </row>
    <row r="114" s="160">
      <c r="E114" s="159" t="n"/>
      <c r="G114" s="159" t="inlineStr">
        <is>
          <t>・プルダウンの表示項目には組織名を、値には組織IDを使用する。</t>
        </is>
      </c>
      <c r="AJ114" s="143" t="n"/>
      <c r="AK114" s="143" t="n"/>
      <c r="AL114" s="143" t="n"/>
      <c r="AM114" s="143" t="n"/>
      <c r="AN114" s="143" t="n"/>
      <c r="AO114" s="143" t="n"/>
      <c r="AP114" s="143" t="n"/>
      <c r="AQ114" s="143" t="n"/>
      <c r="AR114" s="143" t="n"/>
      <c r="AS114" s="143" t="n"/>
      <c r="AT114" s="143" t="n"/>
      <c r="AU114" s="143" t="n"/>
      <c r="AV114" s="143" t="n"/>
      <c r="AW114" s="143" t="n"/>
      <c r="AX114" s="143" t="n"/>
      <c r="AY114" s="143" t="n"/>
      <c r="AZ114" s="143" t="n"/>
      <c r="BA114" s="143" t="n"/>
      <c r="BB114" s="143" t="n"/>
      <c r="BC114" s="143" t="n"/>
      <c r="BD114" s="143" t="n"/>
      <c r="BE114" s="143" t="n"/>
      <c r="BF114" s="143" t="n"/>
    </row>
    <row r="115">
      <c r="E115" s="92" t="n"/>
      <c r="F115" s="93" t="n"/>
      <c r="G115" s="159" t="n"/>
      <c r="AJ115" s="77" t="n"/>
      <c r="AK115" s="77" t="n"/>
      <c r="AL115" s="77" t="n"/>
      <c r="AM115" s="77" t="n"/>
      <c r="AN115" s="77" t="n"/>
      <c r="AO115" s="77" t="n"/>
      <c r="AP115" s="77" t="n"/>
      <c r="AQ115" s="77" t="n"/>
      <c r="AR115" s="77" t="n"/>
      <c r="AS115" s="77" t="n"/>
      <c r="AT115" s="77" t="n"/>
      <c r="AU115" s="77" t="n"/>
      <c r="AV115" s="77" t="n"/>
      <c r="AW115" s="77" t="n"/>
      <c r="AX115" s="77" t="n"/>
      <c r="AY115" s="77" t="n"/>
      <c r="AZ115" s="77" t="n"/>
      <c r="BA115" s="77" t="n"/>
      <c r="BB115" s="77" t="n"/>
      <c r="BC115" s="77" t="n"/>
      <c r="BD115" s="77" t="n"/>
      <c r="BE115" s="77" t="n"/>
      <c r="BF115" s="77" t="n"/>
    </row>
    <row r="116">
      <c r="E116" s="92" t="n"/>
      <c r="AJ116" s="77" t="n"/>
      <c r="AK116" s="77" t="n"/>
      <c r="AL116" s="77" t="n"/>
      <c r="AM116" s="77" t="n"/>
      <c r="AN116" s="77" t="n"/>
      <c r="AO116" s="77" t="n"/>
      <c r="AP116" s="77" t="n"/>
      <c r="AQ116" s="77" t="n"/>
      <c r="AR116" s="77" t="n"/>
      <c r="AS116" s="77" t="n"/>
      <c r="AT116" s="77" t="n"/>
      <c r="AU116" s="77" t="n"/>
      <c r="AV116" s="77" t="n"/>
      <c r="AW116" s="77" t="n"/>
      <c r="AX116" s="77" t="n"/>
      <c r="AY116" s="77" t="n"/>
      <c r="AZ116" s="77" t="n"/>
      <c r="BA116" s="77" t="n"/>
      <c r="BB116" s="77" t="n"/>
      <c r="BC116" s="77" t="n"/>
      <c r="BD116" s="77" t="n"/>
      <c r="BE116" s="77" t="n"/>
      <c r="BF116" s="77" t="n"/>
    </row>
    <row r="117" ht="11.25" customHeight="1" s="160">
      <c r="D117" s="26" t="inlineStr">
        <is>
          <t>2.6.2.部門リスト取得イベント</t>
        </is>
      </c>
      <c r="E117" s="29" t="n"/>
    </row>
    <row r="118" ht="11.25" customHeight="1" s="160">
      <c r="D118" s="29" t="n"/>
      <c r="E118" s="29" t="n"/>
    </row>
    <row r="119" ht="11.25" customHeight="1" s="160">
      <c r="D119" s="29" t="n"/>
      <c r="E119" s="29" t="inlineStr">
        <is>
          <t>(1) バリデーション処理</t>
        </is>
      </c>
    </row>
    <row r="120">
      <c r="D120" s="29" t="n"/>
      <c r="E120" s="29" t="n"/>
      <c r="F120" s="29" t="n"/>
    </row>
    <row r="121" ht="11.25" customHeight="1" s="160">
      <c r="D121" s="29" t="n"/>
      <c r="E121" s="29" t="n"/>
      <c r="F121" s="16" t="inlineStr">
        <is>
          <t>なし。</t>
        </is>
      </c>
    </row>
    <row r="122">
      <c r="G122" s="117" t="n"/>
      <c r="H122" s="117" t="n"/>
      <c r="I122" s="117" t="n"/>
      <c r="J122" s="117" t="n"/>
      <c r="K122" s="117" t="n"/>
      <c r="L122" s="117" t="n"/>
      <c r="M122" s="117" t="n"/>
      <c r="N122" s="117" t="n"/>
      <c r="O122" s="117" t="n"/>
      <c r="P122" s="117" t="n"/>
      <c r="Q122" s="117" t="n"/>
      <c r="R122" s="117" t="n"/>
      <c r="S122" s="117" t="n"/>
      <c r="T122" s="117" t="n"/>
      <c r="U122" s="117" t="n"/>
      <c r="V122" s="117" t="n"/>
      <c r="W122" s="117" t="n"/>
      <c r="X122" s="117" t="n"/>
      <c r="Y122" s="117" t="n"/>
      <c r="Z122" s="117" t="n"/>
      <c r="AA122" s="117" t="n"/>
      <c r="AB122" s="117" t="n"/>
      <c r="AC122" s="117" t="n"/>
      <c r="AD122" s="117" t="n"/>
      <c r="AE122" s="117" t="n"/>
      <c r="AF122" s="117" t="n"/>
      <c r="AG122" s="117" t="n"/>
      <c r="AH122" s="117" t="n"/>
      <c r="AI122" s="117" t="n"/>
      <c r="AJ122" s="96" t="n"/>
    </row>
    <row r="123" ht="11.25" customHeight="1" s="160">
      <c r="D123" s="29" t="n"/>
      <c r="E123" s="29" t="n"/>
    </row>
    <row r="124">
      <c r="E124" t="inlineStr">
        <is>
          <t>(2) DBアクセス（検索処理）</t>
        </is>
      </c>
    </row>
    <row r="125">
      <c r="F125" t="inlineStr">
        <is>
          <t>(a) 組織検索条件</t>
        </is>
      </c>
    </row>
    <row r="126"/>
    <row r="127">
      <c r="G127" s="466" t="inlineStr">
        <is>
          <t>取得テーブル名</t>
        </is>
      </c>
      <c r="H127" s="365" t="n"/>
      <c r="I127" s="365" t="n"/>
      <c r="J127" s="365" t="n"/>
      <c r="K127" s="365" t="n"/>
      <c r="L127" s="365" t="n"/>
      <c r="M127" s="365" t="n"/>
      <c r="N127" s="365" t="n"/>
      <c r="O127" s="365" t="n"/>
      <c r="P127" s="366" t="n"/>
      <c r="Q127" s="479" t="inlineStr">
        <is>
          <t>取得カラム名</t>
        </is>
      </c>
      <c r="R127" s="365" t="n"/>
      <c r="S127" s="365" t="n"/>
      <c r="T127" s="365" t="n"/>
      <c r="U127" s="365" t="n"/>
      <c r="V127" s="365" t="n"/>
      <c r="W127" s="365" t="n"/>
      <c r="X127" s="365" t="n"/>
      <c r="Y127" s="365" t="n"/>
      <c r="Z127" s="366" t="n"/>
    </row>
    <row r="128" ht="11.25" customHeight="1" s="160">
      <c r="G128" s="480" t="inlineStr">
        <is>
          <t>組織</t>
        </is>
      </c>
      <c r="H128" s="427" t="n"/>
      <c r="I128" s="427" t="n"/>
      <c r="J128" s="427" t="n"/>
      <c r="K128" s="427" t="n"/>
      <c r="L128" s="427" t="n"/>
      <c r="M128" s="427" t="n"/>
      <c r="N128" s="427" t="n"/>
      <c r="O128" s="427" t="n"/>
      <c r="P128" s="428" t="n"/>
      <c r="Q128" s="52" t="inlineStr">
        <is>
          <t>組織ID</t>
        </is>
      </c>
      <c r="R128" s="365" t="n"/>
      <c r="S128" s="365" t="n"/>
      <c r="T128" s="365" t="n"/>
      <c r="U128" s="365" t="n"/>
      <c r="V128" s="365" t="n"/>
      <c r="W128" s="365" t="n"/>
      <c r="X128" s="365" t="n"/>
      <c r="Y128" s="365" t="n"/>
      <c r="Z128" s="366" t="n"/>
      <c r="AG128" s="76" t="n"/>
      <c r="AH128" s="76" t="n"/>
    </row>
    <row r="129">
      <c r="G129" s="432" t="n"/>
      <c r="P129" s="433" t="n"/>
      <c r="Q129" s="52" t="inlineStr">
        <is>
          <t>組織名</t>
        </is>
      </c>
      <c r="R129" s="365" t="n"/>
      <c r="S129" s="365" t="n"/>
      <c r="T129" s="365" t="n"/>
      <c r="U129" s="365" t="n"/>
      <c r="V129" s="365" t="n"/>
      <c r="W129" s="365" t="n"/>
      <c r="X129" s="365" t="n"/>
      <c r="Y129" s="365" t="n"/>
      <c r="Z129" s="366" t="n"/>
      <c r="AC129" s="77" t="n"/>
      <c r="AD129" s="77" t="n"/>
      <c r="AE129" s="77" t="n"/>
      <c r="AF129" s="77" t="n"/>
      <c r="AG129" s="76" t="n"/>
      <c r="AH129" s="76" t="n"/>
      <c r="AP129" s="77" t="n"/>
      <c r="AQ129" s="77" t="n"/>
      <c r="AR129" s="77" t="n"/>
      <c r="AS129" s="77" t="n"/>
      <c r="AT129" s="77" t="n"/>
      <c r="AU129" s="77" t="n"/>
      <c r="AV129" s="77" t="n"/>
      <c r="AW129" s="77" t="n"/>
      <c r="AX129" s="77" t="n"/>
      <c r="AY129" s="77" t="n"/>
    </row>
    <row r="130">
      <c r="G130" s="481" t="inlineStr">
        <is>
          <t>検索条件</t>
        </is>
      </c>
      <c r="H130" s="365" t="n"/>
      <c r="I130" s="365" t="n"/>
      <c r="J130" s="365" t="n"/>
      <c r="K130" s="365" t="n"/>
      <c r="L130" s="365" t="n"/>
      <c r="M130" s="365" t="n"/>
      <c r="N130" s="365" t="n"/>
      <c r="O130" s="365" t="n"/>
      <c r="P130" s="365" t="n"/>
      <c r="Q130" s="365" t="n"/>
      <c r="R130" s="365" t="n"/>
      <c r="S130" s="365" t="n"/>
      <c r="T130" s="365" t="n"/>
      <c r="U130" s="365" t="n"/>
      <c r="V130" s="365" t="n"/>
      <c r="W130" s="365" t="n"/>
      <c r="X130" s="365" t="n"/>
      <c r="Y130" s="365" t="n"/>
      <c r="Z130" s="366" t="n"/>
      <c r="AJ130" s="77" t="n"/>
      <c r="AK130" s="77" t="n"/>
      <c r="AL130" s="77" t="n"/>
      <c r="AM130" s="77" t="n"/>
      <c r="AN130" s="77" t="n"/>
      <c r="AO130" s="77" t="n"/>
      <c r="AP130" s="77" t="n"/>
      <c r="AQ130" s="77" t="n"/>
      <c r="AR130" s="77" t="n"/>
      <c r="AS130" s="77" t="n"/>
      <c r="AT130" s="77" t="n"/>
      <c r="AU130" s="77" t="n"/>
      <c r="AV130" s="77" t="n"/>
      <c r="AW130" s="77" t="n"/>
      <c r="AX130" s="77" t="n"/>
      <c r="AY130" s="77" t="n"/>
      <c r="AZ130" s="77" t="n"/>
      <c r="BA130" s="77" t="n"/>
      <c r="BB130" s="77" t="n"/>
      <c r="BC130" s="77" t="n"/>
      <c r="BD130" s="77" t="n"/>
      <c r="BE130" s="77" t="n"/>
      <c r="BF130" s="77" t="n"/>
    </row>
    <row r="131">
      <c r="G131" s="78" t="n"/>
      <c r="H131" s="79" t="n"/>
      <c r="I131" s="79" t="n"/>
      <c r="J131" s="79" t="n"/>
      <c r="K131" s="79" t="n"/>
      <c r="L131" s="79" t="n"/>
      <c r="M131" s="79" t="n"/>
      <c r="N131" s="79" t="n"/>
      <c r="O131" s="79" t="n"/>
      <c r="P131" s="79" t="n"/>
      <c r="Q131" s="79" t="n"/>
      <c r="R131" s="79" t="n"/>
      <c r="S131" s="79" t="n"/>
      <c r="T131" s="79" t="n"/>
      <c r="U131" s="79" t="n"/>
      <c r="V131" s="79" t="n"/>
      <c r="W131" s="79" t="n"/>
      <c r="X131" s="79" t="n"/>
      <c r="Y131" s="79" t="n"/>
      <c r="Z131" s="80" t="n"/>
      <c r="AJ131" s="77" t="n"/>
      <c r="AK131" s="77" t="n"/>
      <c r="AL131" s="77" t="n"/>
      <c r="AM131" s="77" t="n"/>
      <c r="AN131" s="77" t="n"/>
      <c r="AO131" s="77" t="n"/>
      <c r="AP131" s="77" t="n"/>
      <c r="AQ131" s="77" t="n"/>
      <c r="AR131" s="77" t="n"/>
      <c r="AS131" s="77" t="n"/>
      <c r="AT131" s="77" t="n"/>
      <c r="AU131" s="77" t="n"/>
      <c r="AV131" s="77" t="n"/>
      <c r="AW131" s="77" t="n"/>
      <c r="AX131" s="77" t="n"/>
      <c r="AY131" s="77" t="n"/>
      <c r="AZ131" s="77" t="n"/>
      <c r="BA131" s="77" t="n"/>
      <c r="BB131" s="77" t="n"/>
      <c r="BC131" s="77" t="n"/>
      <c r="BD131" s="77" t="n"/>
      <c r="BE131" s="77" t="n"/>
      <c r="BF131" s="77" t="n"/>
    </row>
    <row r="132">
      <c r="G132" s="81" t="n"/>
      <c r="H132" s="132" t="inlineStr">
        <is>
          <t>組織.上位組織ID</t>
        </is>
      </c>
      <c r="I132" s="82" t="n"/>
      <c r="J132" s="82" t="n"/>
      <c r="K132" s="82" t="n"/>
      <c r="L132" s="83" t="n"/>
      <c r="M132" s="83" t="inlineStr">
        <is>
          <t>=</t>
        </is>
      </c>
      <c r="N132" s="82" t="n"/>
      <c r="O132" s="82" t="n"/>
      <c r="P132" s="132" t="inlineStr">
        <is>
          <t>事業部（入力値）</t>
        </is>
      </c>
      <c r="Q132" s="82" t="n"/>
      <c r="R132" s="82" t="n"/>
      <c r="S132" s="82" t="n"/>
      <c r="T132" s="82" t="n"/>
      <c r="U132" s="82" t="n"/>
      <c r="V132" s="84" t="n"/>
      <c r="W132" s="82" t="n"/>
      <c r="X132" s="82" t="n"/>
      <c r="Y132" s="82" t="n"/>
      <c r="Z132" s="85" t="n"/>
      <c r="AJ132" s="77" t="n"/>
      <c r="AK132" s="77" t="n"/>
      <c r="AL132" s="77" t="n"/>
      <c r="AM132" s="77" t="n"/>
      <c r="AN132" s="77" t="n"/>
      <c r="AO132" s="77" t="n"/>
      <c r="AP132" s="77" t="n"/>
      <c r="AQ132" s="77" t="n"/>
      <c r="AR132" s="77" t="n"/>
      <c r="AS132" s="77" t="n"/>
      <c r="AT132" s="77" t="n"/>
      <c r="AU132" s="77" t="n"/>
      <c r="AV132" s="77" t="n"/>
      <c r="AW132" s="77" t="n"/>
      <c r="AX132" s="77" t="n"/>
      <c r="AY132" s="77" t="n"/>
      <c r="AZ132" s="77" t="n"/>
      <c r="BA132" s="77" t="n"/>
      <c r="BB132" s="77" t="n"/>
      <c r="BC132" s="77" t="n"/>
      <c r="BD132" s="77" t="n"/>
      <c r="BE132" s="77" t="n"/>
      <c r="BF132" s="77" t="n"/>
    </row>
    <row r="133">
      <c r="G133" s="86" t="n"/>
      <c r="H133" s="87" t="n"/>
      <c r="I133" s="87" t="n"/>
      <c r="J133" s="87" t="n"/>
      <c r="K133" s="87" t="n"/>
      <c r="L133" s="88" t="n"/>
      <c r="M133" s="88" t="n"/>
      <c r="N133" s="87" t="n"/>
      <c r="O133" s="87" t="n"/>
      <c r="P133" s="87" t="n"/>
      <c r="Q133" s="87" t="n"/>
      <c r="R133" s="87" t="n"/>
      <c r="S133" s="87" t="n"/>
      <c r="T133" s="87" t="n"/>
      <c r="U133" s="87" t="n"/>
      <c r="V133" s="89" t="n"/>
      <c r="W133" s="87" t="n"/>
      <c r="X133" s="87" t="n"/>
      <c r="Y133" s="87" t="n"/>
      <c r="Z133" s="90" t="n"/>
      <c r="AJ133" s="77" t="n"/>
      <c r="AK133" s="77" t="n"/>
      <c r="AL133" s="77" t="n"/>
      <c r="AM133" s="77" t="n"/>
      <c r="AN133" s="77" t="n"/>
      <c r="AO133" s="77" t="n"/>
      <c r="AP133" s="77" t="n"/>
      <c r="AQ133" s="77" t="n"/>
      <c r="AR133" s="77" t="n"/>
      <c r="AS133" s="77" t="n"/>
      <c r="AT133" s="77" t="n"/>
      <c r="AU133" s="77" t="n"/>
      <c r="AV133" s="77" t="n"/>
      <c r="AW133" s="77" t="n"/>
      <c r="AX133" s="77" t="n"/>
      <c r="AY133" s="77" t="n"/>
      <c r="AZ133" s="77" t="n"/>
      <c r="BA133" s="77" t="n"/>
      <c r="BB133" s="77" t="n"/>
      <c r="BC133" s="77" t="n"/>
      <c r="BD133" s="77" t="n"/>
      <c r="BE133" s="77" t="n"/>
      <c r="BF133" s="77" t="n"/>
    </row>
    <row r="134">
      <c r="G134" s="82" t="n"/>
      <c r="H134" s="82" t="n"/>
      <c r="I134" s="82" t="n"/>
      <c r="J134" s="82" t="n"/>
      <c r="K134" s="82" t="n"/>
      <c r="L134" s="83" t="n"/>
      <c r="M134" s="83" t="n"/>
      <c r="N134" s="82" t="n"/>
      <c r="O134" s="82" t="n"/>
      <c r="P134" s="82" t="n"/>
      <c r="Q134" s="82" t="n"/>
      <c r="R134" s="82" t="n"/>
      <c r="S134" s="82" t="n"/>
      <c r="T134" s="82" t="n"/>
      <c r="U134" s="82" t="n"/>
      <c r="V134" s="84" t="n"/>
      <c r="W134" s="82" t="n"/>
      <c r="X134" s="82" t="n"/>
      <c r="Y134" s="82" t="n"/>
      <c r="Z134" s="91" t="n"/>
      <c r="AJ134" s="77" t="n"/>
      <c r="AK134" s="77" t="n"/>
      <c r="AL134" s="77" t="n"/>
      <c r="AM134" s="77" t="n"/>
      <c r="AN134" s="77" t="n"/>
      <c r="AO134" s="77" t="n"/>
      <c r="AP134" s="77" t="n"/>
      <c r="AQ134" s="77" t="n"/>
      <c r="AR134" s="77" t="n"/>
      <c r="AS134" s="77" t="n"/>
      <c r="AT134" s="77" t="n"/>
      <c r="AU134" s="77" t="n"/>
      <c r="AV134" s="77" t="n"/>
      <c r="AW134" s="77" t="n"/>
      <c r="AX134" s="77" t="n"/>
      <c r="AY134" s="77" t="n"/>
      <c r="AZ134" s="77" t="n"/>
      <c r="BA134" s="77" t="n"/>
      <c r="BB134" s="77" t="n"/>
      <c r="BC134" s="77" t="n"/>
      <c r="BD134" s="77" t="n"/>
      <c r="BE134" s="77" t="n"/>
      <c r="BF134" s="77" t="n"/>
    </row>
    <row r="135">
      <c r="AI135" s="77" t="n"/>
      <c r="AJ135" s="77" t="n"/>
      <c r="AK135" s="77" t="n"/>
      <c r="AL135" s="77" t="n"/>
      <c r="AM135" s="77" t="n"/>
      <c r="AN135" s="77" t="n"/>
      <c r="AO135" s="77" t="n"/>
      <c r="AP135" s="77" t="n"/>
      <c r="AQ135" s="77" t="n"/>
      <c r="AR135" s="77" t="n"/>
      <c r="AS135" s="77" t="n"/>
      <c r="AT135" s="77" t="n"/>
      <c r="AU135" s="77" t="n"/>
      <c r="AV135" s="77" t="n"/>
      <c r="AW135" s="77" t="n"/>
      <c r="AX135" s="77" t="n"/>
      <c r="AY135" s="77" t="n"/>
      <c r="AZ135" s="77" t="n"/>
      <c r="BA135" s="77" t="n"/>
      <c r="BB135" s="77" t="n"/>
      <c r="BC135" s="77" t="n"/>
      <c r="BD135" s="77" t="n"/>
      <c r="BE135" s="77" t="n"/>
    </row>
    <row r="136">
      <c r="E136" s="16" t="inlineStr">
        <is>
          <t>(3)　表示処理</t>
        </is>
      </c>
      <c r="AJ136" s="77" t="n"/>
      <c r="AK136" s="77" t="n"/>
      <c r="AL136" s="77" t="n"/>
      <c r="AM136" s="77" t="n"/>
      <c r="AN136" s="77" t="n"/>
      <c r="AO136" s="77" t="n"/>
      <c r="AP136" s="77" t="n"/>
      <c r="AQ136" s="77" t="n"/>
      <c r="AR136" s="77" t="n"/>
      <c r="AS136" s="77" t="n"/>
      <c r="AT136" s="77" t="n"/>
      <c r="AU136" s="77" t="n"/>
      <c r="AV136" s="77" t="n"/>
      <c r="AW136" s="77" t="n"/>
      <c r="AX136" s="77" t="n"/>
      <c r="AY136" s="77" t="n"/>
      <c r="AZ136" s="77" t="n"/>
      <c r="BA136" s="77" t="n"/>
      <c r="BB136" s="77" t="n"/>
      <c r="BC136" s="77" t="n"/>
      <c r="BD136" s="77" t="n"/>
      <c r="BE136" s="77" t="n"/>
      <c r="BF136" s="77" t="n"/>
    </row>
    <row r="137">
      <c r="AJ137" s="77" t="n"/>
      <c r="AK137" s="77" t="n"/>
      <c r="AL137" s="77" t="n"/>
      <c r="AM137" s="77" t="n"/>
      <c r="AN137" s="77" t="n"/>
      <c r="AO137" s="77" t="n"/>
      <c r="AP137" s="77" t="n"/>
      <c r="AQ137" s="77" t="n"/>
      <c r="AR137" s="77" t="n"/>
      <c r="AS137" s="77" t="n"/>
      <c r="AT137" s="77" t="n"/>
      <c r="AU137" s="77" t="n"/>
      <c r="AV137" s="77" t="n"/>
      <c r="AW137" s="77" t="n"/>
      <c r="AX137" s="77" t="n"/>
      <c r="AY137" s="77" t="n"/>
      <c r="AZ137" s="77" t="n"/>
      <c r="BA137" s="77" t="n"/>
      <c r="BB137" s="77" t="n"/>
      <c r="BC137" s="77" t="n"/>
      <c r="BD137" s="77" t="n"/>
      <c r="BE137" s="77" t="n"/>
      <c r="BF137" s="77" t="n"/>
    </row>
    <row r="138">
      <c r="E138" s="92" t="n"/>
      <c r="F138" s="159" t="inlineStr">
        <is>
          <t>(a)「部門」プルダウンを初期化する。</t>
        </is>
      </c>
      <c r="AJ138" s="77" t="n"/>
      <c r="AK138" s="77" t="n"/>
      <c r="AL138" s="77" t="n"/>
      <c r="AM138" s="77" t="n"/>
      <c r="AN138" s="77" t="n"/>
      <c r="AO138" s="77" t="n"/>
      <c r="AP138" s="77" t="n"/>
      <c r="AQ138" s="77" t="n"/>
      <c r="AR138" s="77" t="n"/>
      <c r="AS138" s="77" t="n"/>
      <c r="AT138" s="77" t="n"/>
      <c r="AU138" s="77" t="n"/>
      <c r="AV138" s="77" t="n"/>
      <c r="AW138" s="77" t="n"/>
      <c r="AX138" s="77" t="n"/>
      <c r="AY138" s="77" t="n"/>
      <c r="AZ138" s="77" t="n"/>
      <c r="BA138" s="77" t="n"/>
      <c r="BB138" s="77" t="n"/>
      <c r="BC138" s="77" t="n"/>
      <c r="BD138" s="77" t="n"/>
      <c r="BE138" s="77" t="n"/>
      <c r="BF138" s="77" t="n"/>
    </row>
    <row r="139">
      <c r="E139" s="92" t="n"/>
      <c r="F139" s="93" t="n"/>
      <c r="G139" s="159" t="inlineStr">
        <is>
          <t>・「(2) 検索処理」の検索結果の先頭にブランクオプションを追加して、「部門」に設定する。</t>
        </is>
      </c>
      <c r="AJ139" s="77" t="n"/>
      <c r="AK139" s="77" t="n"/>
      <c r="AL139" s="77" t="n"/>
      <c r="AM139" s="77" t="n"/>
      <c r="AN139" s="77" t="n"/>
      <c r="AO139" s="77" t="n"/>
      <c r="AP139" s="77" t="n"/>
      <c r="AQ139" s="77" t="n"/>
      <c r="AR139" s="77" t="n"/>
      <c r="AS139" s="77" t="n"/>
      <c r="AT139" s="77" t="n"/>
      <c r="AU139" s="77" t="n"/>
      <c r="AV139" s="77" t="n"/>
      <c r="AW139" s="77" t="n"/>
      <c r="AX139" s="77" t="n"/>
      <c r="AY139" s="77" t="n"/>
      <c r="AZ139" s="77" t="n"/>
      <c r="BA139" s="77" t="n"/>
      <c r="BB139" s="77" t="n"/>
      <c r="BC139" s="77" t="n"/>
      <c r="BD139" s="77" t="n"/>
      <c r="BE139" s="77" t="n"/>
      <c r="BF139" s="77" t="n"/>
    </row>
    <row r="140" s="160">
      <c r="E140" s="159" t="n"/>
      <c r="G140" s="159" t="inlineStr">
        <is>
          <t>・プルダウンの表示項目には組織名を、値には組織IDを使用する。</t>
        </is>
      </c>
      <c r="AJ140" s="143" t="n"/>
      <c r="AK140" s="143" t="n"/>
      <c r="AL140" s="143" t="n"/>
      <c r="AM140" s="143" t="n"/>
      <c r="AN140" s="143" t="n"/>
      <c r="AO140" s="143" t="n"/>
      <c r="AP140" s="143" t="n"/>
      <c r="AQ140" s="143" t="n"/>
      <c r="AR140" s="143" t="n"/>
      <c r="AS140" s="143" t="n"/>
      <c r="AT140" s="143" t="n"/>
      <c r="AU140" s="143" t="n"/>
      <c r="AV140" s="143" t="n"/>
      <c r="AW140" s="143" t="n"/>
      <c r="AX140" s="143" t="n"/>
      <c r="AY140" s="143" t="n"/>
      <c r="AZ140" s="143" t="n"/>
      <c r="BA140" s="143" t="n"/>
      <c r="BB140" s="143" t="n"/>
      <c r="BC140" s="143" t="n"/>
      <c r="BD140" s="143" t="n"/>
      <c r="BE140" s="143" t="n"/>
      <c r="BF140" s="143" t="n"/>
    </row>
    <row r="141">
      <c r="E141" s="92" t="n"/>
      <c r="AJ141" s="77" t="n"/>
      <c r="AK141" s="77" t="n"/>
      <c r="AL141" s="77" t="n"/>
      <c r="AM141" s="77" t="n"/>
      <c r="AN141" s="77" t="n"/>
      <c r="AO141" s="77" t="n"/>
      <c r="AP141" s="77" t="n"/>
      <c r="AQ141" s="77" t="n"/>
      <c r="AR141" s="77" t="n"/>
      <c r="AS141" s="77" t="n"/>
      <c r="AT141" s="77" t="n"/>
      <c r="AU141" s="77" t="n"/>
      <c r="AV141" s="77" t="n"/>
      <c r="AW141" s="77" t="n"/>
      <c r="AX141" s="77" t="n"/>
      <c r="AY141" s="77" t="n"/>
      <c r="AZ141" s="77" t="n"/>
      <c r="BA141" s="77" t="n"/>
      <c r="BB141" s="77" t="n"/>
      <c r="BC141" s="77" t="n"/>
      <c r="BD141" s="77" t="n"/>
      <c r="BE141" s="77" t="n"/>
      <c r="BF141" s="77" t="n"/>
    </row>
    <row r="142" ht="11.25" customHeight="1" s="160">
      <c r="D142" s="26" t="inlineStr">
        <is>
          <t>2.6.3.顧客検索イベント</t>
        </is>
      </c>
      <c r="E142" s="29" t="n"/>
    </row>
    <row r="143" ht="11.25" customHeight="1" s="160">
      <c r="D143" s="29" t="n"/>
      <c r="E143" s="29" t="n"/>
    </row>
    <row r="144" ht="11.25" customHeight="1" s="160">
      <c r="D144" s="29" t="n"/>
      <c r="E144" s="26" t="inlineStr">
        <is>
          <t>(1) バリデーション処理</t>
        </is>
      </c>
    </row>
    <row r="145">
      <c r="D145" s="29" t="n"/>
      <c r="E145" s="29" t="n"/>
      <c r="F145" s="29" t="n"/>
    </row>
    <row r="146" ht="11.25" customHeight="1" s="160">
      <c r="D146" s="29" t="n"/>
      <c r="E146" s="29" t="n"/>
      <c r="F146" s="16" t="inlineStr">
        <is>
          <t>なし。</t>
        </is>
      </c>
    </row>
    <row r="147">
      <c r="G147" s="117" t="n"/>
      <c r="H147" s="117" t="n"/>
      <c r="I147" s="117" t="n"/>
      <c r="J147" s="117" t="n"/>
      <c r="K147" s="117" t="n"/>
      <c r="L147" s="117" t="n"/>
      <c r="M147" s="117" t="n"/>
      <c r="N147" s="117" t="n"/>
      <c r="O147" s="117" t="n"/>
      <c r="P147" s="117" t="n"/>
      <c r="Q147" s="117" t="n"/>
      <c r="R147" s="117" t="n"/>
      <c r="S147" s="117" t="n"/>
      <c r="T147" s="117" t="n"/>
      <c r="U147" s="117" t="n"/>
      <c r="V147" s="117" t="n"/>
      <c r="W147" s="117" t="n"/>
      <c r="X147" s="117" t="n"/>
      <c r="Y147" s="117" t="n"/>
      <c r="Z147" s="117" t="n"/>
      <c r="AA147" s="117" t="n"/>
      <c r="AB147" s="117" t="n"/>
      <c r="AC147" s="117" t="n"/>
      <c r="AD147" s="117" t="n"/>
      <c r="AE147" s="117" t="n"/>
      <c r="AF147" s="117" t="n"/>
      <c r="AG147" s="117" t="n"/>
      <c r="AH147" s="117" t="n"/>
      <c r="AI147" s="117" t="n"/>
      <c r="AJ147" s="96" t="n"/>
    </row>
    <row r="148" ht="11.25" customHeight="1" s="160">
      <c r="D148" s="29" t="n"/>
      <c r="E148" s="29" t="n"/>
    </row>
    <row r="149">
      <c r="E149" t="inlineStr">
        <is>
          <t>(2)　表示処理</t>
        </is>
      </c>
      <c r="AJ149" s="77" t="n"/>
      <c r="AK149" s="77" t="n"/>
      <c r="AL149" s="77" t="n"/>
      <c r="AM149" s="77" t="n"/>
      <c r="AN149" s="77" t="n"/>
      <c r="AO149" s="77" t="n"/>
      <c r="AP149" s="77" t="n"/>
      <c r="AQ149" s="77" t="n"/>
      <c r="AR149" s="77" t="n"/>
      <c r="AS149" s="77" t="n"/>
      <c r="AT149" s="77" t="n"/>
      <c r="AU149" s="77" t="n"/>
      <c r="AV149" s="77" t="n"/>
      <c r="AW149" s="77" t="n"/>
      <c r="AX149" s="77" t="n"/>
      <c r="AY149" s="77" t="n"/>
      <c r="AZ149" s="77" t="n"/>
      <c r="BA149" s="77" t="n"/>
      <c r="BB149" s="77" t="n"/>
      <c r="BC149" s="77" t="n"/>
      <c r="BD149" s="77" t="n"/>
      <c r="BE149" s="77" t="n"/>
      <c r="BF149" s="77" t="n"/>
    </row>
    <row r="150">
      <c r="AJ150" s="77" t="n"/>
      <c r="AK150" s="77" t="n"/>
      <c r="AL150" s="77" t="n"/>
      <c r="AM150" s="77" t="n"/>
      <c r="AN150" s="77" t="n"/>
      <c r="AO150" s="77" t="n"/>
      <c r="AP150" s="77" t="n"/>
      <c r="AQ150" s="77" t="n"/>
      <c r="AR150" s="77" t="n"/>
      <c r="AS150" s="77" t="n"/>
      <c r="AT150" s="77" t="n"/>
      <c r="AU150" s="77" t="n"/>
      <c r="AV150" s="77" t="n"/>
      <c r="AW150" s="77" t="n"/>
      <c r="AX150" s="77" t="n"/>
      <c r="AY150" s="77" t="n"/>
      <c r="AZ150" s="77" t="n"/>
      <c r="BA150" s="77" t="n"/>
      <c r="BB150" s="77" t="n"/>
      <c r="BC150" s="77" t="n"/>
      <c r="BD150" s="77" t="n"/>
      <c r="BE150" s="77" t="n"/>
      <c r="BF150" s="77" t="n"/>
    </row>
    <row r="151">
      <c r="E151" s="92" t="n"/>
      <c r="F151" s="159" t="inlineStr">
        <is>
          <t>顧客検索画面をポップアップ画面として開く。</t>
        </is>
      </c>
      <c r="AJ151" s="77" t="n"/>
      <c r="AK151" s="77" t="n"/>
      <c r="AL151" s="77" t="n"/>
      <c r="AM151" s="77" t="n"/>
      <c r="AN151" s="77" t="n"/>
      <c r="AO151" s="77" t="n"/>
      <c r="AP151" s="77" t="n"/>
      <c r="AQ151" s="77" t="n"/>
      <c r="AR151" s="77" t="n"/>
      <c r="AS151" s="77" t="n"/>
      <c r="AT151" s="77" t="n"/>
      <c r="AU151" s="77" t="n"/>
      <c r="AV151" s="77" t="n"/>
      <c r="AW151" s="77" t="n"/>
      <c r="AX151" s="77" t="n"/>
      <c r="AY151" s="77" t="n"/>
      <c r="AZ151" s="77" t="n"/>
      <c r="BA151" s="77" t="n"/>
      <c r="BB151" s="77" t="n"/>
      <c r="BC151" s="77" t="n"/>
      <c r="BD151" s="77" t="n"/>
      <c r="BE151" s="77" t="n"/>
      <c r="BF151" s="77" t="n"/>
    </row>
    <row r="152">
      <c r="E152" s="92" t="n"/>
      <c r="F152" s="93" t="n"/>
      <c r="G152" s="159" t="n"/>
      <c r="AJ152" s="77" t="n"/>
      <c r="AK152" s="77" t="n"/>
      <c r="AL152" s="77" t="n"/>
      <c r="AM152" s="77" t="n"/>
      <c r="AN152" s="77" t="n"/>
      <c r="AO152" s="77" t="n"/>
      <c r="AP152" s="77" t="n"/>
      <c r="AQ152" s="77" t="n"/>
      <c r="AR152" s="77" t="n"/>
      <c r="AS152" s="77" t="n"/>
      <c r="AT152" s="77" t="n"/>
      <c r="AU152" s="77" t="n"/>
      <c r="AV152" s="77" t="n"/>
      <c r="AW152" s="77" t="n"/>
      <c r="AX152" s="77" t="n"/>
      <c r="AY152" s="77" t="n"/>
      <c r="AZ152" s="77" t="n"/>
      <c r="BA152" s="77" t="n"/>
      <c r="BB152" s="77" t="n"/>
      <c r="BC152" s="77" t="n"/>
      <c r="BD152" s="77" t="n"/>
      <c r="BE152" s="77" t="n"/>
      <c r="BF152" s="77" t="n"/>
    </row>
    <row r="153">
      <c r="E153" s="92" t="n"/>
      <c r="AJ153" s="77" t="n"/>
      <c r="AK153" s="77" t="n"/>
      <c r="AL153" s="77" t="n"/>
      <c r="AM153" s="77" t="n"/>
      <c r="AN153" s="77" t="n"/>
      <c r="AO153" s="77" t="n"/>
      <c r="AP153" s="77" t="n"/>
      <c r="AQ153" s="77" t="n"/>
      <c r="AR153" s="77" t="n"/>
      <c r="AS153" s="77" t="n"/>
      <c r="AT153" s="77" t="n"/>
      <c r="AU153" s="77" t="n"/>
      <c r="AV153" s="77" t="n"/>
      <c r="AW153" s="77" t="n"/>
      <c r="AX153" s="77" t="n"/>
      <c r="AY153" s="77" t="n"/>
      <c r="AZ153" s="77" t="n"/>
      <c r="BA153" s="77" t="n"/>
      <c r="BB153" s="77" t="n"/>
      <c r="BC153" s="77" t="n"/>
      <c r="BD153" s="77" t="n"/>
      <c r="BE153" s="77" t="n"/>
      <c r="BF153" s="77" t="n"/>
    </row>
    <row r="154">
      <c r="D154" s="26" t="inlineStr">
        <is>
          <t>2.6.5. 確認イベント</t>
        </is>
      </c>
      <c r="E154" s="29" t="n"/>
      <c r="AJ154" s="77" t="n"/>
      <c r="AK154" s="77" t="n"/>
      <c r="AL154" s="77" t="n"/>
      <c r="AM154" s="77" t="n"/>
      <c r="AN154" s="77" t="n"/>
      <c r="AO154" s="77" t="n"/>
      <c r="AP154" s="77" t="n"/>
      <c r="AQ154" s="77" t="n"/>
      <c r="AR154" s="77" t="n"/>
      <c r="AS154" s="77" t="n"/>
      <c r="AT154" s="77" t="n"/>
      <c r="AU154" s="77" t="n"/>
      <c r="AV154" s="77" t="n"/>
      <c r="AW154" s="77" t="n"/>
      <c r="AX154" s="77" t="n"/>
      <c r="AY154" s="77" t="n"/>
      <c r="AZ154" s="77" t="n"/>
      <c r="BA154" s="77" t="n"/>
      <c r="BB154" s="77" t="n"/>
      <c r="BC154" s="77" t="n"/>
      <c r="BD154" s="77" t="n"/>
      <c r="BE154" s="77" t="n"/>
      <c r="BF154" s="77" t="n"/>
    </row>
    <row r="155">
      <c r="E155" s="29" t="inlineStr">
        <is>
          <t>(1) バリデーション処理</t>
        </is>
      </c>
      <c r="F155" s="29" t="n"/>
      <c r="AJ155" s="77" t="n"/>
      <c r="AK155" s="77" t="n"/>
      <c r="AL155" s="77" t="n"/>
      <c r="AM155" s="77" t="n"/>
      <c r="AN155" s="77" t="n"/>
      <c r="AO155" s="77" t="n"/>
      <c r="AP155" s="77" t="n"/>
      <c r="AQ155" s="77" t="n"/>
      <c r="AR155" s="77" t="n"/>
      <c r="AS155" s="77" t="n"/>
      <c r="AT155" s="77" t="n"/>
      <c r="AU155" s="77" t="n"/>
      <c r="AV155" s="77" t="n"/>
      <c r="AW155" s="77" t="n"/>
      <c r="AX155" s="77" t="n"/>
      <c r="AY155" s="77" t="n"/>
      <c r="AZ155" s="77" t="n"/>
      <c r="BA155" s="77" t="n"/>
      <c r="BB155" s="77" t="n"/>
      <c r="BC155" s="77" t="n"/>
      <c r="BD155" s="77" t="n"/>
      <c r="BE155" s="77" t="n"/>
      <c r="BF155" s="77" t="n"/>
    </row>
    <row r="156">
      <c r="E156" s="29" t="n"/>
      <c r="F156" s="29" t="n"/>
      <c r="AJ156" s="77" t="n"/>
      <c r="AK156" s="77" t="n"/>
      <c r="AL156" s="77" t="n"/>
      <c r="AM156" s="77" t="n"/>
      <c r="AN156" s="77" t="n"/>
      <c r="AO156" s="77" t="n"/>
      <c r="AP156" s="77" t="n"/>
      <c r="AQ156" s="77" t="n"/>
      <c r="AR156" s="77" t="n"/>
      <c r="AS156" s="77" t="n"/>
      <c r="AT156" s="77" t="n"/>
      <c r="AU156" s="77" t="n"/>
      <c r="AV156" s="77" t="n"/>
      <c r="AW156" s="77" t="n"/>
      <c r="AX156" s="77" t="n"/>
      <c r="AY156" s="77" t="n"/>
      <c r="AZ156" s="77" t="n"/>
      <c r="BA156" s="77" t="n"/>
      <c r="BB156" s="77" t="n"/>
      <c r="BC156" s="77" t="n"/>
      <c r="BD156" s="77" t="n"/>
      <c r="BE156" s="77" t="n"/>
      <c r="BF156" s="77" t="n"/>
    </row>
    <row r="157" ht="41.25" customHeight="1" s="160">
      <c r="E157" s="29" t="n"/>
      <c r="F157" s="115" t="inlineStr">
        <is>
          <t>No.</t>
        </is>
      </c>
      <c r="G157" s="115" t="inlineStr">
        <is>
          <t>バリデーション名</t>
        </is>
      </c>
      <c r="H157" s="365" t="n"/>
      <c r="I157" s="365" t="n"/>
      <c r="J157" s="365" t="n"/>
      <c r="K157" s="365" t="n"/>
      <c r="L157" s="366" t="n"/>
      <c r="M157" s="482" t="inlineStr">
        <is>
          <t>バリデーション内容</t>
        </is>
      </c>
      <c r="N157" s="365" t="n"/>
      <c r="O157" s="365" t="n"/>
      <c r="P157" s="365" t="n"/>
      <c r="Q157" s="365" t="n"/>
      <c r="R157" s="365" t="n"/>
      <c r="S157" s="365" t="n"/>
      <c r="T157" s="365" t="n"/>
      <c r="U157" s="365" t="n"/>
      <c r="V157" s="366" t="n"/>
      <c r="W157" s="483" t="inlineStr">
        <is>
          <t>メッセージID</t>
        </is>
      </c>
      <c r="X157" s="365" t="n"/>
      <c r="Y157" s="366" t="n"/>
      <c r="Z157" s="483" t="inlineStr">
        <is>
          <t>埋め込み文字列</t>
        </is>
      </c>
      <c r="AA157" s="365" t="n"/>
      <c r="AB157" s="365" t="n"/>
      <c r="AC157" s="366" t="n"/>
      <c r="AD157" s="484" t="inlineStr">
        <is>
          <t>エラー発生時の
バリデーション
処理継続判定</t>
        </is>
      </c>
      <c r="AE157" s="365" t="n"/>
      <c r="AF157" s="365" t="n"/>
      <c r="AG157" s="366" t="n"/>
      <c r="AJ157" s="77" t="n"/>
      <c r="AK157" s="77" t="n"/>
      <c r="AL157" s="77" t="n"/>
      <c r="AM157" s="77" t="n"/>
      <c r="AN157" s="77" t="n"/>
      <c r="AO157" s="77" t="n"/>
      <c r="AP157" s="77" t="n"/>
      <c r="AQ157" s="77" t="n"/>
      <c r="AR157" s="77" t="n"/>
      <c r="AS157" s="77" t="n"/>
      <c r="AT157" s="77" t="n"/>
      <c r="AU157" s="77" t="n"/>
      <c r="AV157" s="77" t="n"/>
      <c r="AW157" s="77" t="n"/>
      <c r="AX157" s="77" t="n"/>
      <c r="AY157" s="77" t="n"/>
      <c r="AZ157" s="77" t="n"/>
      <c r="BA157" s="77" t="n"/>
      <c r="BB157" s="77" t="n"/>
      <c r="BC157" s="77" t="n"/>
      <c r="BD157" s="77" t="n"/>
      <c r="BE157" s="77" t="n"/>
    </row>
    <row r="158" ht="47.25" customHeight="1" s="160">
      <c r="E158" s="29" t="n"/>
      <c r="F158" s="116" t="n">
        <v>1</v>
      </c>
      <c r="G158" s="485" t="inlineStr">
        <is>
          <t>単項目バリデーション</t>
        </is>
      </c>
      <c r="H158" s="365" t="n"/>
      <c r="I158" s="365" t="n"/>
      <c r="J158" s="365" t="n"/>
      <c r="K158" s="365" t="n"/>
      <c r="L158" s="366" t="n"/>
      <c r="M158" s="347" t="inlineStr">
        <is>
          <t>全ての入力項目に対して、指定ドメインに応じたバリデーションおよび必須チェックを実施し、入力内容の妥当性を確認する。</t>
        </is>
      </c>
      <c r="N158" s="365" t="n"/>
      <c r="O158" s="365" t="n"/>
      <c r="P158" s="365" t="n"/>
      <c r="Q158" s="365" t="n"/>
      <c r="R158" s="365" t="n"/>
      <c r="S158" s="365" t="n"/>
      <c r="T158" s="365" t="n"/>
      <c r="U158" s="365" t="n"/>
      <c r="V158" s="366" t="n"/>
      <c r="W158" s="486" t="inlineStr">
        <is>
          <t>（ドメイン別）</t>
        </is>
      </c>
      <c r="X158" s="365" t="n"/>
      <c r="Y158" s="366" t="n"/>
      <c r="Z158" s="347" t="inlineStr">
        <is>
          <t>（ドメイン別）</t>
        </is>
      </c>
      <c r="AA158" s="365" t="n"/>
      <c r="AB158" s="365" t="n"/>
      <c r="AC158" s="366" t="n"/>
      <c r="AD158" s="347" t="inlineStr">
        <is>
          <t>終了する</t>
        </is>
      </c>
      <c r="AE158" s="365" t="n"/>
      <c r="AF158" s="365" t="n"/>
      <c r="AG158" s="366" t="n"/>
      <c r="AI158" s="77" t="n"/>
      <c r="AJ158" s="77" t="n"/>
      <c r="AK158" s="77" t="n"/>
      <c r="AL158" s="77" t="n"/>
      <c r="AM158" s="77" t="n"/>
      <c r="AN158" s="77" t="n"/>
      <c r="AO158" s="77" t="n"/>
      <c r="AP158" s="77" t="n"/>
      <c r="AQ158" s="77" t="n"/>
      <c r="AR158" s="77" t="n"/>
      <c r="AS158" s="77" t="n"/>
      <c r="AT158" s="77" t="n"/>
      <c r="AU158" s="77" t="n"/>
      <c r="AV158" s="77" t="n"/>
      <c r="AW158" s="77" t="n"/>
      <c r="AX158" s="77" t="n"/>
      <c r="AY158" s="77" t="n"/>
      <c r="AZ158" s="77" t="n"/>
      <c r="BA158" s="77" t="n"/>
      <c r="BB158" s="77" t="n"/>
      <c r="BC158" s="77" t="n"/>
      <c r="BD158" s="77" t="n"/>
      <c r="BE158" s="77" t="n"/>
    </row>
    <row r="159" ht="62.25" customHeight="1" s="160">
      <c r="E159" s="29" t="n"/>
      <c r="F159" s="116" t="n">
        <v>2</v>
      </c>
      <c r="G159" s="487" t="inlineStr">
        <is>
          <t>日付大小関係</t>
        </is>
      </c>
      <c r="H159" s="365" t="n"/>
      <c r="I159" s="365" t="n"/>
      <c r="J159" s="365" t="n"/>
      <c r="K159" s="365" t="n"/>
      <c r="L159" s="366" t="n"/>
      <c r="M159" s="488" t="inlineStr">
        <is>
          <t>「プロジェクト開始日付」と「プロジェクト終了日付」が両方入力されている場合、「プロジェクト開始日付」≦「プロジェクト終了日付」であること。</t>
        </is>
      </c>
      <c r="N159" s="365" t="n"/>
      <c r="O159" s="365" t="n"/>
      <c r="P159" s="365" t="n"/>
      <c r="Q159" s="365" t="n"/>
      <c r="R159" s="365" t="n"/>
      <c r="S159" s="365" t="n"/>
      <c r="T159" s="365" t="n"/>
      <c r="U159" s="365" t="n"/>
      <c r="V159" s="366" t="n"/>
      <c r="W159" s="486" t="inlineStr">
        <is>
          <t>validator.periodConsistencyCheck.message.ProjectCreateForm</t>
        </is>
      </c>
      <c r="X159" s="365" t="n"/>
      <c r="Y159" s="366" t="n"/>
      <c r="Z159" s="347" t="inlineStr">
        <is>
          <t>なし</t>
        </is>
      </c>
      <c r="AA159" s="365" t="n"/>
      <c r="AB159" s="365" t="n"/>
      <c r="AC159" s="366" t="n"/>
      <c r="AD159" s="488" t="inlineStr">
        <is>
          <t>終了する</t>
        </is>
      </c>
      <c r="AE159" s="365" t="n"/>
      <c r="AF159" s="365" t="n"/>
      <c r="AG159" s="366" t="n"/>
      <c r="AJ159" s="77" t="n"/>
      <c r="AK159" s="77" t="n"/>
      <c r="AL159" s="77" t="n"/>
      <c r="AM159" s="77" t="n"/>
      <c r="AN159" s="77" t="n"/>
      <c r="AO159" s="77" t="n"/>
      <c r="AP159" s="77" t="n"/>
      <c r="AQ159" s="77" t="n"/>
      <c r="AR159" s="77" t="n"/>
      <c r="AS159" s="77" t="n"/>
      <c r="AT159" s="77" t="n"/>
      <c r="AU159" s="77" t="n"/>
      <c r="AV159" s="77" t="n"/>
      <c r="AW159" s="77" t="n"/>
      <c r="AX159" s="77" t="n"/>
      <c r="AY159" s="77" t="n"/>
      <c r="AZ159" s="77" t="n"/>
      <c r="BA159" s="77" t="n"/>
      <c r="BB159" s="77" t="n"/>
      <c r="BC159" s="77" t="n"/>
      <c r="BD159" s="77" t="n"/>
      <c r="BE159" s="77" t="n"/>
    </row>
    <row r="160">
      <c r="E160" s="29" t="n"/>
      <c r="AI160" s="77" t="n"/>
      <c r="AJ160" s="77" t="n"/>
      <c r="AK160" s="77" t="n"/>
      <c r="AL160" s="77" t="n"/>
      <c r="AM160" s="77" t="n"/>
      <c r="AN160" s="77" t="n"/>
      <c r="AO160" s="77" t="n"/>
      <c r="AP160" s="77" t="n"/>
      <c r="AQ160" s="77" t="n"/>
      <c r="AR160" s="77" t="n"/>
      <c r="AS160" s="77" t="n"/>
      <c r="AT160" s="77" t="n"/>
      <c r="AU160" s="77" t="n"/>
      <c r="AV160" s="77" t="n"/>
      <c r="AW160" s="77" t="n"/>
      <c r="AX160" s="77" t="n"/>
      <c r="AY160" s="77" t="n"/>
      <c r="AZ160" s="77" t="n"/>
      <c r="BA160" s="77" t="n"/>
      <c r="BB160" s="77" t="n"/>
      <c r="BC160" s="77" t="n"/>
      <c r="BD160" s="77" t="n"/>
      <c r="BE160" s="77" t="n"/>
    </row>
    <row r="161">
      <c r="E161" s="29" t="n"/>
      <c r="F161" t="inlineStr">
        <is>
          <t>上記バリデーションにおいて一箇所でもエラーが発生した場合、後続の処理は実施しない。</t>
        </is>
      </c>
    </row>
    <row r="162">
      <c r="E162" s="29" t="n"/>
      <c r="F162" s="29" t="n"/>
    </row>
    <row r="163" s="160">
      <c r="E163" t="inlineStr">
        <is>
          <t>(2) DBアクセス（検索処理）</t>
        </is>
      </c>
    </row>
    <row r="164" s="160">
      <c r="F164" t="inlineStr">
        <is>
          <t>(a) 組織検索条件</t>
        </is>
      </c>
    </row>
    <row r="165" s="160">
      <c r="G165" t="inlineStr">
        <is>
          <t>Formの事業部、部門には登録画面で選択された組織の組織IDが設定されている。</t>
        </is>
      </c>
    </row>
    <row r="166" s="160">
      <c r="G166" t="inlineStr">
        <is>
          <t>画面には組織IDに対する組織名を表示する必要があるので、下記クエリにより組織名を取得する。</t>
        </is>
      </c>
    </row>
    <row r="167" s="160"/>
    <row r="168" s="160">
      <c r="G168" s="489" t="inlineStr">
        <is>
          <t>取得テーブル名</t>
        </is>
      </c>
      <c r="H168" s="365" t="n"/>
      <c r="I168" s="365" t="n"/>
      <c r="J168" s="365" t="n"/>
      <c r="K168" s="365" t="n"/>
      <c r="L168" s="365" t="n"/>
      <c r="M168" s="365" t="n"/>
      <c r="N168" s="365" t="n"/>
      <c r="O168" s="365" t="n"/>
      <c r="P168" s="366" t="n"/>
      <c r="Q168" s="55" t="inlineStr">
        <is>
          <t>取得カラム名</t>
        </is>
      </c>
      <c r="R168" s="365" t="n"/>
      <c r="S168" s="365" t="n"/>
      <c r="T168" s="365" t="n"/>
      <c r="U168" s="365" t="n"/>
      <c r="V168" s="365" t="n"/>
      <c r="W168" s="365" t="n"/>
      <c r="X168" s="365" t="n"/>
      <c r="Y168" s="365" t="n"/>
      <c r="Z168" s="366" t="n"/>
    </row>
    <row r="169" ht="11.25" customHeight="1" s="160">
      <c r="G169" s="480" t="inlineStr">
        <is>
          <t>組織</t>
        </is>
      </c>
      <c r="H169" s="427" t="n"/>
      <c r="I169" s="427" t="n"/>
      <c r="J169" s="427" t="n"/>
      <c r="K169" s="427" t="n"/>
      <c r="L169" s="427" t="n"/>
      <c r="M169" s="427" t="n"/>
      <c r="N169" s="427" t="n"/>
      <c r="O169" s="427" t="n"/>
      <c r="P169" s="428" t="n"/>
      <c r="Q169" s="52" t="inlineStr">
        <is>
          <t>組織名</t>
        </is>
      </c>
      <c r="R169" s="365" t="n"/>
      <c r="S169" s="365" t="n"/>
      <c r="T169" s="365" t="n"/>
      <c r="U169" s="365" t="n"/>
      <c r="V169" s="365" t="n"/>
      <c r="W169" s="365" t="n"/>
      <c r="X169" s="365" t="n"/>
      <c r="Y169" s="365" t="n"/>
      <c r="Z169" s="366" t="n"/>
      <c r="AG169" s="144" t="n"/>
      <c r="AH169" s="144" t="n"/>
    </row>
    <row r="170" s="160">
      <c r="G170" s="490" t="inlineStr">
        <is>
          <t>検索条件</t>
        </is>
      </c>
      <c r="H170" s="365" t="n"/>
      <c r="I170" s="365" t="n"/>
      <c r="J170" s="365" t="n"/>
      <c r="K170" s="365" t="n"/>
      <c r="L170" s="365" t="n"/>
      <c r="M170" s="365" t="n"/>
      <c r="N170" s="365" t="n"/>
      <c r="O170" s="365" t="n"/>
      <c r="P170" s="365" t="n"/>
      <c r="Q170" s="365" t="n"/>
      <c r="R170" s="365" t="n"/>
      <c r="S170" s="365" t="n"/>
      <c r="T170" s="365" t="n"/>
      <c r="U170" s="365" t="n"/>
      <c r="V170" s="365" t="n"/>
      <c r="W170" s="365" t="n"/>
      <c r="X170" s="365" t="n"/>
      <c r="Y170" s="365" t="n"/>
      <c r="Z170" s="366" t="n"/>
      <c r="AJ170" s="143" t="n"/>
      <c r="AK170" s="143" t="n"/>
      <c r="AL170" s="143" t="n"/>
      <c r="AM170" s="143" t="n"/>
      <c r="AN170" s="143" t="n"/>
      <c r="AO170" s="143" t="n"/>
      <c r="AP170" s="143" t="n"/>
      <c r="AQ170" s="143" t="n"/>
      <c r="AR170" s="143" t="n"/>
      <c r="AS170" s="143" t="n"/>
      <c r="AT170" s="143" t="n"/>
      <c r="AU170" s="143" t="n"/>
      <c r="AV170" s="143" t="n"/>
      <c r="AW170" s="143" t="n"/>
      <c r="AX170" s="143" t="n"/>
      <c r="AY170" s="143" t="n"/>
      <c r="AZ170" s="143" t="n"/>
      <c r="BA170" s="143" t="n"/>
      <c r="BB170" s="143" t="n"/>
      <c r="BC170" s="143" t="n"/>
      <c r="BD170" s="143" t="n"/>
      <c r="BE170" s="143" t="n"/>
      <c r="BF170" s="143" t="n"/>
    </row>
    <row r="171" s="160">
      <c r="G171" s="145" t="n"/>
      <c r="H171" s="146" t="n"/>
      <c r="I171" s="146" t="n"/>
      <c r="J171" s="146" t="n"/>
      <c r="K171" s="146" t="n"/>
      <c r="L171" s="146" t="n"/>
      <c r="M171" s="146" t="n"/>
      <c r="N171" s="146" t="n"/>
      <c r="O171" s="146" t="n"/>
      <c r="P171" s="146" t="n"/>
      <c r="Q171" s="146" t="n"/>
      <c r="R171" s="146" t="n"/>
      <c r="S171" s="146" t="n"/>
      <c r="T171" s="146" t="n"/>
      <c r="U171" s="146" t="n"/>
      <c r="V171" s="146" t="n"/>
      <c r="W171" s="146" t="n"/>
      <c r="X171" s="146" t="n"/>
      <c r="Y171" s="146" t="n"/>
      <c r="Z171" s="147" t="n"/>
      <c r="AJ171" s="143" t="n"/>
      <c r="AK171" s="143" t="n"/>
      <c r="AL171" s="143" t="n"/>
      <c r="AM171" s="143" t="n"/>
      <c r="AN171" s="143" t="n"/>
      <c r="AO171" s="143" t="n"/>
      <c r="AP171" s="143" t="n"/>
      <c r="AQ171" s="143" t="n"/>
      <c r="AR171" s="143" t="n"/>
      <c r="AS171" s="143" t="n"/>
      <c r="AT171" s="143" t="n"/>
      <c r="AU171" s="143" t="n"/>
      <c r="AV171" s="143" t="n"/>
      <c r="AW171" s="143" t="n"/>
      <c r="AX171" s="143" t="n"/>
      <c r="AY171" s="143" t="n"/>
      <c r="AZ171" s="143" t="n"/>
      <c r="BA171" s="143" t="n"/>
      <c r="BB171" s="143" t="n"/>
      <c r="BC171" s="143" t="n"/>
      <c r="BD171" s="143" t="n"/>
      <c r="BE171" s="143" t="n"/>
      <c r="BF171" s="143" t="n"/>
    </row>
    <row r="172" s="160">
      <c r="G172" s="148" t="n"/>
      <c r="H172" s="132" t="inlineStr">
        <is>
          <t>組織.組織ID</t>
        </is>
      </c>
      <c r="I172" s="132" t="n"/>
      <c r="J172" s="132" t="n"/>
      <c r="K172" s="132" t="n"/>
      <c r="L172" s="149" t="n"/>
      <c r="M172" s="149" t="inlineStr">
        <is>
          <t>=</t>
        </is>
      </c>
      <c r="N172" s="132" t="n"/>
      <c r="O172" s="132" t="n"/>
      <c r="P172" s="132" t="inlineStr">
        <is>
          <t>組織ID(Formから取得した組織ID)</t>
        </is>
      </c>
      <c r="Q172" s="132" t="n"/>
      <c r="R172" s="132" t="n"/>
      <c r="S172" s="132" t="n"/>
      <c r="T172" s="132" t="n"/>
      <c r="U172" s="132" t="n"/>
      <c r="V172" s="150" t="n"/>
      <c r="W172" s="132" t="n"/>
      <c r="X172" s="132" t="n"/>
      <c r="Y172" s="132" t="n"/>
      <c r="Z172" s="151" t="n"/>
      <c r="AJ172" s="143" t="n"/>
      <c r="AK172" s="143" t="n"/>
      <c r="AL172" s="143" t="n"/>
      <c r="AM172" s="143" t="n"/>
      <c r="AN172" s="143" t="n"/>
      <c r="AO172" s="143" t="n"/>
      <c r="AP172" s="143" t="n"/>
      <c r="AQ172" s="143" t="n"/>
      <c r="AR172" s="143" t="n"/>
      <c r="AS172" s="143" t="n"/>
      <c r="AT172" s="143" t="n"/>
      <c r="AU172" s="143" t="n"/>
      <c r="AV172" s="143" t="n"/>
      <c r="AW172" s="143" t="n"/>
      <c r="AX172" s="143" t="n"/>
      <c r="AY172" s="143" t="n"/>
      <c r="AZ172" s="143" t="n"/>
      <c r="BA172" s="143" t="n"/>
      <c r="BB172" s="143" t="n"/>
      <c r="BC172" s="143" t="n"/>
      <c r="BD172" s="143" t="n"/>
      <c r="BE172" s="143" t="n"/>
      <c r="BF172" s="143" t="n"/>
    </row>
    <row r="173" s="160">
      <c r="G173" s="152" t="n"/>
      <c r="H173" s="153" t="n"/>
      <c r="I173" s="153" t="n"/>
      <c r="J173" s="153" t="n"/>
      <c r="K173" s="153" t="n"/>
      <c r="L173" s="154" t="n"/>
      <c r="M173" s="154" t="n"/>
      <c r="N173" s="153" t="n"/>
      <c r="O173" s="153" t="n"/>
      <c r="P173" s="153" t="n"/>
      <c r="Q173" s="153" t="n"/>
      <c r="R173" s="153" t="n"/>
      <c r="S173" s="153" t="n"/>
      <c r="T173" s="153" t="n"/>
      <c r="U173" s="153" t="n"/>
      <c r="V173" s="155" t="n"/>
      <c r="W173" s="153" t="n"/>
      <c r="X173" s="153" t="n"/>
      <c r="Y173" s="153" t="n"/>
      <c r="Z173" s="156" t="n"/>
      <c r="AJ173" s="143" t="n"/>
      <c r="AK173" s="143" t="n"/>
      <c r="AL173" s="143" t="n"/>
      <c r="AM173" s="143" t="n"/>
      <c r="AN173" s="143" t="n"/>
      <c r="AO173" s="143" t="n"/>
      <c r="AP173" s="143" t="n"/>
      <c r="AQ173" s="143" t="n"/>
      <c r="AR173" s="143" t="n"/>
      <c r="AS173" s="143" t="n"/>
      <c r="AT173" s="143" t="n"/>
      <c r="AU173" s="143" t="n"/>
      <c r="AV173" s="143" t="n"/>
      <c r="AW173" s="143" t="n"/>
      <c r="AX173" s="143" t="n"/>
      <c r="AY173" s="143" t="n"/>
      <c r="AZ173" s="143" t="n"/>
      <c r="BA173" s="143" t="n"/>
      <c r="BB173" s="143" t="n"/>
      <c r="BC173" s="143" t="n"/>
      <c r="BD173" s="143" t="n"/>
      <c r="BE173" s="143" t="n"/>
      <c r="BF173" s="143" t="n"/>
    </row>
    <row r="174" s="160">
      <c r="G174" s="132" t="n"/>
      <c r="H174" s="132" t="n"/>
      <c r="I174" s="132" t="n"/>
      <c r="J174" s="132" t="n"/>
      <c r="K174" s="132" t="n"/>
      <c r="L174" s="149" t="n"/>
      <c r="M174" s="149" t="n"/>
      <c r="N174" s="132" t="n"/>
      <c r="O174" s="132" t="n"/>
      <c r="P174" s="132" t="n"/>
      <c r="Q174" s="132" t="n"/>
      <c r="R174" s="132" t="n"/>
      <c r="S174" s="132" t="n"/>
      <c r="T174" s="132" t="n"/>
      <c r="U174" s="132" t="n"/>
      <c r="V174" s="150" t="n"/>
      <c r="W174" s="132" t="n"/>
      <c r="X174" s="132" t="n"/>
      <c r="Y174" s="132" t="n"/>
      <c r="Z174" s="157" t="n"/>
      <c r="AJ174" s="143" t="n"/>
      <c r="AK174" s="143" t="n"/>
      <c r="AL174" s="143" t="n"/>
      <c r="AM174" s="143" t="n"/>
      <c r="AN174" s="143" t="n"/>
      <c r="AO174" s="143" t="n"/>
      <c r="AP174" s="143" t="n"/>
      <c r="AQ174" s="143" t="n"/>
      <c r="AR174" s="143" t="n"/>
      <c r="AS174" s="143" t="n"/>
      <c r="AT174" s="143" t="n"/>
      <c r="AU174" s="143" t="n"/>
      <c r="AV174" s="143" t="n"/>
      <c r="AW174" s="143" t="n"/>
      <c r="AX174" s="143" t="n"/>
      <c r="AY174" s="143" t="n"/>
      <c r="AZ174" s="143" t="n"/>
      <c r="BA174" s="143" t="n"/>
      <c r="BB174" s="143" t="n"/>
      <c r="BC174" s="143" t="n"/>
      <c r="BD174" s="143" t="n"/>
      <c r="BE174" s="143" t="n"/>
      <c r="BF174" s="143" t="n"/>
    </row>
    <row r="175" s="160">
      <c r="F175" t="inlineStr">
        <is>
          <t>(b)Formに設定された顧客IDをパラメータとして、顧客管理システム．顧客詳細取得APIを実行し顧客名を取得する。</t>
        </is>
      </c>
      <c r="G175" s="132" t="n"/>
      <c r="H175" s="132" t="n"/>
      <c r="I175" s="132" t="n"/>
      <c r="J175" s="132" t="n"/>
      <c r="K175" s="132" t="n"/>
      <c r="L175" s="149" t="n"/>
      <c r="M175" s="149" t="n"/>
      <c r="N175" s="132" t="n"/>
      <c r="O175" s="132" t="n"/>
      <c r="P175" s="132" t="n"/>
      <c r="Q175" s="132" t="n"/>
      <c r="R175" s="132" t="n"/>
      <c r="S175" s="132" t="n"/>
      <c r="T175" s="132" t="n"/>
      <c r="U175" s="132" t="n"/>
      <c r="V175" s="150" t="n"/>
      <c r="W175" s="132" t="n"/>
      <c r="X175" s="132" t="n"/>
      <c r="Y175" s="132" t="n"/>
      <c r="Z175" s="157" t="n"/>
      <c r="AJ175" s="143" t="n"/>
      <c r="AK175" s="143" t="n"/>
      <c r="AL175" s="143" t="n"/>
      <c r="AM175" s="143" t="n"/>
      <c r="AN175" s="143" t="n"/>
      <c r="AO175" s="143" t="n"/>
      <c r="AP175" s="143" t="n"/>
      <c r="AQ175" s="143" t="n"/>
      <c r="AR175" s="143" t="n"/>
      <c r="AS175" s="143" t="n"/>
      <c r="AT175" s="143" t="n"/>
      <c r="AU175" s="143" t="n"/>
      <c r="AV175" s="143" t="n"/>
      <c r="AW175" s="143" t="n"/>
      <c r="AX175" s="143" t="n"/>
      <c r="AY175" s="143" t="n"/>
      <c r="AZ175" s="143" t="n"/>
      <c r="BA175" s="143" t="n"/>
      <c r="BB175" s="143" t="n"/>
      <c r="BC175" s="143" t="n"/>
      <c r="BD175" s="143" t="n"/>
      <c r="BE175" s="143" t="n"/>
      <c r="BF175" s="143" t="n"/>
    </row>
    <row r="176" s="160">
      <c r="E176" s="26" t="n"/>
      <c r="F176" s="26" t="n"/>
    </row>
    <row r="177">
      <c r="E177" s="29" t="n"/>
      <c r="F177" s="29" t="n"/>
    </row>
    <row r="178" s="160">
      <c r="E178" s="50" t="inlineStr">
        <is>
          <t>(3) 表示処理</t>
        </is>
      </c>
      <c r="F178" s="126" t="n"/>
      <c r="G178" s="126" t="n"/>
      <c r="H178" s="126" t="n"/>
      <c r="I178" s="126" t="n"/>
      <c r="J178" s="126" t="n"/>
      <c r="K178" s="126" t="n"/>
      <c r="L178" s="126" t="n"/>
      <c r="M178" s="126" t="n"/>
      <c r="N178" s="126" t="n"/>
      <c r="O178" s="126" t="n"/>
      <c r="P178" s="126" t="n"/>
      <c r="Q178" s="126" t="n"/>
      <c r="R178" s="126" t="n"/>
      <c r="S178" s="126" t="n"/>
      <c r="T178" s="126" t="n"/>
      <c r="U178" s="126" t="n"/>
      <c r="V178" s="126" t="n"/>
      <c r="W178" s="126" t="n"/>
      <c r="X178" s="126" t="n"/>
      <c r="Y178" s="126" t="n"/>
      <c r="Z178" s="126" t="n"/>
      <c r="AA178" s="126" t="n"/>
      <c r="AB178" s="126" t="n"/>
      <c r="AC178" s="126" t="n"/>
      <c r="AD178" s="126" t="n"/>
      <c r="AE178" s="126" t="n"/>
      <c r="AF178" s="126" t="n"/>
      <c r="AG178" s="126" t="n"/>
      <c r="AH178" s="126" t="n"/>
      <c r="AI178" s="126" t="n"/>
      <c r="AJ178" s="126" t="n"/>
      <c r="AK178" s="126" t="n"/>
      <c r="AL178" s="126" t="n"/>
    </row>
    <row r="179">
      <c r="E179" s="64" t="n"/>
      <c r="F179" s="159" t="inlineStr">
        <is>
          <t>登録画面に入力した内容を登録確認画面に表示する。画面レイアウト、表示項目については「3. プロジェクト登録確認画面」を参照。</t>
        </is>
      </c>
      <c r="G179" s="92" t="n"/>
      <c r="H179" s="92" t="n"/>
      <c r="I179" s="96" t="n"/>
      <c r="J179" s="96" t="n"/>
      <c r="K179" s="96" t="n"/>
      <c r="L179" s="96" t="n"/>
      <c r="M179" s="96" t="n"/>
      <c r="N179" s="96" t="n"/>
      <c r="O179" s="96" t="n"/>
      <c r="P179" s="96" t="n"/>
      <c r="Q179" s="96" t="n"/>
      <c r="R179" s="96" t="n"/>
      <c r="S179" s="96" t="n"/>
      <c r="T179" s="96" t="n"/>
      <c r="U179" s="96" t="n"/>
      <c r="V179" s="96" t="n"/>
      <c r="W179" s="96" t="n"/>
      <c r="X179" s="96" t="n"/>
      <c r="Y179" s="96" t="n"/>
      <c r="Z179" s="96" t="n"/>
      <c r="AA179" s="96" t="n"/>
      <c r="AB179" s="96" t="n"/>
      <c r="AC179" s="96" t="n"/>
      <c r="AD179" s="96" t="n"/>
      <c r="AE179" s="96" t="n"/>
      <c r="AF179" s="96" t="n"/>
      <c r="AG179" s="96" t="n"/>
      <c r="AH179" s="96" t="n"/>
      <c r="AI179" s="96" t="n"/>
      <c r="AJ179" s="96" t="n"/>
      <c r="AK179" s="96" t="n"/>
      <c r="AL179" s="96" t="n"/>
    </row>
  </sheetData>
  <mergeCells count="187">
    <mergeCell ref="U60:Y60"/>
    <mergeCell ref="T77:U77"/>
    <mergeCell ref="U69:Y69"/>
    <mergeCell ref="E61:H61"/>
    <mergeCell ref="AE84:AH84"/>
    <mergeCell ref="S1:Z3"/>
    <mergeCell ref="M68:T68"/>
    <mergeCell ref="W159:Y159"/>
    <mergeCell ref="G157:L157"/>
    <mergeCell ref="AL65:AP65"/>
    <mergeCell ref="AE86:AH86"/>
    <mergeCell ref="Z68:AB68"/>
    <mergeCell ref="T78:U78"/>
    <mergeCell ref="U61:Y61"/>
    <mergeCell ref="Z67:AB67"/>
    <mergeCell ref="AD68:AG68"/>
    <mergeCell ref="E62:H62"/>
    <mergeCell ref="AD157:AG157"/>
    <mergeCell ref="E71:H71"/>
    <mergeCell ref="Z60:AB60"/>
    <mergeCell ref="AL66:AP66"/>
    <mergeCell ref="Z69:AB69"/>
    <mergeCell ref="AD67:AG67"/>
    <mergeCell ref="O76:O77"/>
    <mergeCell ref="E64:H64"/>
    <mergeCell ref="Z83:AD83"/>
    <mergeCell ref="G159:L159"/>
    <mergeCell ref="AD60:AG60"/>
    <mergeCell ref="AL68:AP68"/>
    <mergeCell ref="AD69:AG69"/>
    <mergeCell ref="U71:Y71"/>
    <mergeCell ref="E63:H63"/>
    <mergeCell ref="G101:P101"/>
    <mergeCell ref="E57:H58"/>
    <mergeCell ref="I66:L66"/>
    <mergeCell ref="Q103:Z103"/>
    <mergeCell ref="E65:H65"/>
    <mergeCell ref="AA2:AB2"/>
    <mergeCell ref="Z70:AB70"/>
    <mergeCell ref="M158:V158"/>
    <mergeCell ref="O1:R3"/>
    <mergeCell ref="Z84:AD84"/>
    <mergeCell ref="U63:Y63"/>
    <mergeCell ref="A2:D2"/>
    <mergeCell ref="I68:L68"/>
    <mergeCell ref="U57:Y58"/>
    <mergeCell ref="M71:T71"/>
    <mergeCell ref="AG2:AI2"/>
    <mergeCell ref="D56:D58"/>
    <mergeCell ref="K76:N77"/>
    <mergeCell ref="G102:P103"/>
    <mergeCell ref="Q129:Z129"/>
    <mergeCell ref="AD159:AG159"/>
    <mergeCell ref="Z86:AD86"/>
    <mergeCell ref="Z62:AB62"/>
    <mergeCell ref="Z71:AB71"/>
    <mergeCell ref="AE83:AH83"/>
    <mergeCell ref="AC2:AF2"/>
    <mergeCell ref="Z64:AB64"/>
    <mergeCell ref="R84:Y84"/>
    <mergeCell ref="Q128:Z128"/>
    <mergeCell ref="M70:T70"/>
    <mergeCell ref="AD71:AG71"/>
    <mergeCell ref="AL70:AP70"/>
    <mergeCell ref="M57:T58"/>
    <mergeCell ref="R87:Y87"/>
    <mergeCell ref="K78:N78"/>
    <mergeCell ref="G128:P129"/>
    <mergeCell ref="AD56:AG58"/>
    <mergeCell ref="K83:Q83"/>
    <mergeCell ref="Z57:AB58"/>
    <mergeCell ref="E67:H67"/>
    <mergeCell ref="I61:L61"/>
    <mergeCell ref="AD63:AG63"/>
    <mergeCell ref="I70:L70"/>
    <mergeCell ref="V51:AC51"/>
    <mergeCell ref="M157:V157"/>
    <mergeCell ref="G158:L158"/>
    <mergeCell ref="G104:Z104"/>
    <mergeCell ref="U62:Y62"/>
    <mergeCell ref="E50:M50"/>
    <mergeCell ref="M61:T61"/>
    <mergeCell ref="AG1:AI1"/>
    <mergeCell ref="I71:L71"/>
    <mergeCell ref="M62:T62"/>
    <mergeCell ref="AL58:AP58"/>
    <mergeCell ref="U64:Y64"/>
    <mergeCell ref="AC57:AC58"/>
    <mergeCell ref="AD158:AG158"/>
    <mergeCell ref="Z61:AB61"/>
    <mergeCell ref="Z157:AC157"/>
    <mergeCell ref="AE87:AH87"/>
    <mergeCell ref="AC1:AF1"/>
    <mergeCell ref="E2:N2"/>
    <mergeCell ref="AL60:AP60"/>
    <mergeCell ref="E87:J87"/>
    <mergeCell ref="AL69:AP69"/>
    <mergeCell ref="AD61:AG61"/>
    <mergeCell ref="G168:P168"/>
    <mergeCell ref="Z85:AD85"/>
    <mergeCell ref="G130:Z130"/>
    <mergeCell ref="U65:Y65"/>
    <mergeCell ref="Q169:Z169"/>
    <mergeCell ref="D76:D77"/>
    <mergeCell ref="E66:H66"/>
    <mergeCell ref="M64:T64"/>
    <mergeCell ref="M159:V159"/>
    <mergeCell ref="I60:L60"/>
    <mergeCell ref="AD62:AG62"/>
    <mergeCell ref="Q101:Z101"/>
    <mergeCell ref="AL61:AP61"/>
    <mergeCell ref="I69:L69"/>
    <mergeCell ref="M60:T60"/>
    <mergeCell ref="E56:AC56"/>
    <mergeCell ref="E68:H68"/>
    <mergeCell ref="AG3:AI3"/>
    <mergeCell ref="AE85:AH85"/>
    <mergeCell ref="Q50:U50"/>
    <mergeCell ref="W157:Y157"/>
    <mergeCell ref="AD64:AG64"/>
    <mergeCell ref="U66:Y66"/>
    <mergeCell ref="A1:D1"/>
    <mergeCell ref="Z63:AB63"/>
    <mergeCell ref="E85:J85"/>
    <mergeCell ref="M65:T65"/>
    <mergeCell ref="Z159:AC159"/>
    <mergeCell ref="R86:Y86"/>
    <mergeCell ref="Q127:Z127"/>
    <mergeCell ref="AC3:AF3"/>
    <mergeCell ref="AL62:AP62"/>
    <mergeCell ref="U68:Y68"/>
    <mergeCell ref="Z65:AB65"/>
    <mergeCell ref="AL71:AP71"/>
    <mergeCell ref="K85:Q85"/>
    <mergeCell ref="E1:N1"/>
    <mergeCell ref="D59:AG59"/>
    <mergeCell ref="AL64:AP64"/>
    <mergeCell ref="K84:Q84"/>
    <mergeCell ref="V76:AH77"/>
    <mergeCell ref="I62:L62"/>
    <mergeCell ref="M63:T63"/>
    <mergeCell ref="Z66:AB66"/>
    <mergeCell ref="AL63:AP63"/>
    <mergeCell ref="K86:Q86"/>
    <mergeCell ref="E70:H70"/>
    <mergeCell ref="I64:L64"/>
    <mergeCell ref="AD66:AG66"/>
    <mergeCell ref="E84:J84"/>
    <mergeCell ref="E78:J78"/>
    <mergeCell ref="AA1:AB1"/>
    <mergeCell ref="M67:T67"/>
    <mergeCell ref="I63:L63"/>
    <mergeCell ref="E86:J86"/>
    <mergeCell ref="I57:L58"/>
    <mergeCell ref="U70:Y70"/>
    <mergeCell ref="Q168:Z168"/>
    <mergeCell ref="G170:Z170"/>
    <mergeCell ref="M69:T69"/>
    <mergeCell ref="K87:Q87"/>
    <mergeCell ref="I65:L65"/>
    <mergeCell ref="Z158:AC158"/>
    <mergeCell ref="Q51:U51"/>
    <mergeCell ref="E3:N3"/>
    <mergeCell ref="R83:Y83"/>
    <mergeCell ref="G169:P169"/>
    <mergeCell ref="R85:Y85"/>
    <mergeCell ref="V78:AH78"/>
    <mergeCell ref="AL67:AP67"/>
    <mergeCell ref="Q102:Z102"/>
    <mergeCell ref="AA3:AB3"/>
    <mergeCell ref="E60:H60"/>
    <mergeCell ref="E69:H69"/>
    <mergeCell ref="N50:P50"/>
    <mergeCell ref="Z87:AD87"/>
    <mergeCell ref="A3:D3"/>
    <mergeCell ref="G127:P127"/>
    <mergeCell ref="E76:J77"/>
    <mergeCell ref="U67:Y67"/>
    <mergeCell ref="V50:AC50"/>
    <mergeCell ref="N51:P51"/>
    <mergeCell ref="W158:Y158"/>
    <mergeCell ref="E83:J83"/>
    <mergeCell ref="AD70:AG70"/>
    <mergeCell ref="AD65:AG65"/>
    <mergeCell ref="M66:T66"/>
    <mergeCell ref="I67:L67"/>
    <mergeCell ref="E51:M51"/>
  </mergeCells>
  <dataValidations disablePrompts="1" count="5">
    <dataValidation sqref="N51:P51" showDropDown="0" showInputMessage="1" showErrorMessage="1" allowBlank="1" type="list">
      <formula1>"-,有,無"</formula1>
    </dataValidation>
    <dataValidation sqref="P78:U78 AC60:AC71" showDropDown="0" showInputMessage="1" showErrorMessage="1" allowBlank="1" type="list">
      <formula1>"-,○"</formula1>
    </dataValidation>
    <dataValidation sqref="I60:I71" showDropDown="0" showInputMessage="1" showErrorMessage="1" allowBlank="1" type="list">
      <formula1>画面項目種類</formula1>
    </dataValidation>
    <dataValidation sqref="K78:N78" showDropDown="0" showInputMessage="1" showErrorMessage="1" allowBlank="1" type="list">
      <formula1>種別一覧</formula1>
    </dataValidation>
    <dataValidation sqref="O78" showDropDown="0" showInputMessage="1" showErrorMessage="1" allowBlank="1" type="list">
      <formula1>"I,O"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4" manualBreakCount="4">
    <brk id="46" min="0" max="34" man="1"/>
    <brk id="72" min="0" max="34" man="1"/>
    <brk id="115" min="0" max="34" man="1"/>
    <brk id="153" min="0" max="34" man="1"/>
  </rowBreaks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8">
    <outlinePr summaryBelow="1" summaryRight="1"/>
    <pageSetUpPr fitToPage="1"/>
  </sheetPr>
  <dimension ref="A1:BF136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7"/>
    <col width="4.83203125" customWidth="1" style="16" min="8" max="8"/>
    <col width="4.83203125" customWidth="1" style="16" min="9" max="16384"/>
  </cols>
  <sheetData>
    <row r="1" customFormat="1" s="11">
      <c r="A1" s="455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6">
        <f>IF(INDIRECT("変更履歴!AG1")&lt;&gt;"",INDIRECT("変更履歴!AG1"),"")</f>
        <v/>
      </c>
      <c r="AH1" s="365" t="n"/>
      <c r="AI1" s="366" t="n"/>
      <c r="AJ1" s="457" t="n"/>
    </row>
    <row r="2" customFormat="1" s="11">
      <c r="A2" s="455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6">
        <f>IF(INDIRECT("変更履歴!AG2")&lt;&gt;"",INDIRECT("変更履歴!AG2"),"")</f>
        <v/>
      </c>
      <c r="AH2" s="365" t="n"/>
      <c r="AI2" s="366" t="n"/>
      <c r="AJ2" s="457" t="n"/>
    </row>
    <row r="3" customFormat="1" s="11">
      <c r="A3" s="455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6">
        <f>IF(INDIRECT("変更履歴!AG3")&lt;&gt;"",INDIRECT("変更履歴!AG3"),"")</f>
        <v/>
      </c>
      <c r="AH3" s="365" t="n"/>
      <c r="AI3" s="366" t="n"/>
      <c r="AJ3" s="457" t="n"/>
    </row>
    <row r="4" ht="12" customHeight="1" s="160"/>
    <row r="5" ht="12" customHeight="1" s="160">
      <c r="B5" s="50" t="inlineStr">
        <is>
          <t>3. WA1020102(プロジェクト登録確認画面)</t>
        </is>
      </c>
    </row>
    <row r="6" ht="12" customHeight="1" s="160">
      <c r="B6" t="n"/>
      <c r="C6" s="16" t="inlineStr">
        <is>
          <t>3.1. 画面レイアウト</t>
        </is>
      </c>
    </row>
    <row r="7" ht="12" customHeight="1" s="160">
      <c r="B7" t="n"/>
      <c r="AJ7" s="140" t="n"/>
    </row>
    <row r="8" ht="12" customHeight="1" s="160">
      <c r="B8" t="n"/>
    </row>
    <row r="9" ht="12" customHeight="1" s="160">
      <c r="B9" t="n"/>
    </row>
    <row r="10" ht="12" customHeight="1" s="160">
      <c r="B10" t="n"/>
    </row>
    <row r="11" ht="12" customHeight="1" s="160">
      <c r="B11" t="n"/>
    </row>
    <row r="12" ht="12" customHeight="1" s="160"/>
    <row r="13" ht="12" customHeight="1" s="160"/>
    <row r="14" ht="12" customHeight="1" s="160"/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/>
    <row r="35" ht="12" customHeight="1" s="160"/>
    <row r="36" ht="12" customHeight="1" s="160"/>
    <row r="37" ht="12" customHeight="1" s="160"/>
    <row r="38" ht="12" customHeight="1" s="160"/>
    <row r="39" ht="12" customHeight="1" s="160"/>
    <row r="40" ht="12" customHeight="1" s="160">
      <c r="C40" t="inlineStr">
        <is>
          <t>3.2. 一覧表示</t>
        </is>
      </c>
    </row>
    <row r="41" ht="12" customHeight="1" s="160"/>
    <row r="42" ht="12" customHeight="1" s="160">
      <c r="D42" s="97" t="inlineStr">
        <is>
          <t>No.</t>
        </is>
      </c>
      <c r="E42" s="392" t="inlineStr">
        <is>
          <t>領域名</t>
        </is>
      </c>
      <c r="F42" s="458" t="n"/>
      <c r="G42" s="458" t="n"/>
      <c r="H42" s="458" t="n"/>
      <c r="I42" s="458" t="n"/>
      <c r="J42" s="458" t="n"/>
      <c r="K42" s="458" t="n"/>
      <c r="L42" s="458" t="n"/>
      <c r="M42" s="459" t="n"/>
      <c r="N42" s="344" t="inlineStr">
        <is>
          <t>ページング有無</t>
        </is>
      </c>
      <c r="O42" s="458" t="n"/>
      <c r="P42" s="459" t="n"/>
      <c r="Q42" s="344" t="inlineStr">
        <is>
          <t>ソート条件</t>
        </is>
      </c>
      <c r="R42" s="458" t="n"/>
      <c r="S42" s="458" t="n"/>
      <c r="T42" s="458" t="n"/>
      <c r="U42" s="459" t="n"/>
      <c r="V42" s="392" t="inlineStr">
        <is>
          <t>備考</t>
        </is>
      </c>
      <c r="W42" s="458" t="n"/>
      <c r="X42" s="458" t="n"/>
      <c r="Y42" s="458" t="n"/>
      <c r="Z42" s="458" t="n"/>
      <c r="AA42" s="458" t="n"/>
      <c r="AB42" s="458" t="n"/>
      <c r="AC42" s="459" t="n"/>
    </row>
    <row r="43" ht="12" customHeight="1" s="160">
      <c r="D43" s="124" t="n">
        <v>1</v>
      </c>
      <c r="E43" s="354" t="inlineStr">
        <is>
          <t>‐</t>
        </is>
      </c>
      <c r="F43" s="460" t="n"/>
      <c r="G43" s="460" t="n"/>
      <c r="H43" s="460" t="n"/>
      <c r="I43" s="460" t="n"/>
      <c r="J43" s="460" t="n"/>
      <c r="K43" s="460" t="n"/>
      <c r="L43" s="460" t="n"/>
      <c r="M43" s="461" t="n"/>
      <c r="N43" s="354" t="inlineStr">
        <is>
          <t>‐</t>
        </is>
      </c>
      <c r="O43" s="460" t="n"/>
      <c r="P43" s="461" t="n"/>
      <c r="Q43" s="354" t="inlineStr">
        <is>
          <t>‐</t>
        </is>
      </c>
      <c r="R43" s="460" t="n"/>
      <c r="S43" s="460" t="n"/>
      <c r="T43" s="460" t="n"/>
      <c r="U43" s="461" t="n"/>
      <c r="V43" s="354" t="inlineStr">
        <is>
          <t>-</t>
        </is>
      </c>
      <c r="W43" s="460" t="n"/>
      <c r="X43" s="460" t="n"/>
      <c r="Y43" s="460" t="n"/>
      <c r="Z43" s="460" t="n"/>
      <c r="AA43" s="460" t="n"/>
      <c r="AB43" s="460" t="n"/>
      <c r="AC43" s="461" t="n"/>
    </row>
    <row r="44" ht="11.25" customHeight="1" s="160"/>
    <row r="45">
      <c r="C45" t="inlineStr">
        <is>
          <t>3.3. 画面項目定義</t>
        </is>
      </c>
      <c r="AK45" s="64" t="n"/>
      <c r="AL45" s="64" t="n"/>
      <c r="AM45" s="64" t="n"/>
      <c r="AN45" s="64" t="n"/>
      <c r="AO45" s="64" t="n"/>
      <c r="AP45" s="64" t="n"/>
      <c r="AQ45" s="64" t="n"/>
      <c r="AR45" s="64" t="n"/>
      <c r="AS45" s="64" t="n"/>
      <c r="AT45" s="64" t="n"/>
      <c r="AU45" s="64" t="n"/>
      <c r="AV45" s="64" t="n"/>
      <c r="AW45" s="64" t="n"/>
      <c r="AX45" s="64" t="n"/>
      <c r="AY45" s="64" t="n"/>
      <c r="AZ45" s="64" t="n"/>
      <c r="BA45" s="64" t="n"/>
    </row>
    <row r="46" customFormat="1" s="63">
      <c r="AJ46" s="92" t="n"/>
      <c r="AK46" s="92" t="n"/>
      <c r="AL46" s="92" t="n"/>
      <c r="AM46" s="92" t="n"/>
      <c r="AN46" s="92" t="n"/>
      <c r="AO46" s="92" t="n"/>
      <c r="AP46" s="92" t="n"/>
      <c r="AQ46" s="92" t="n"/>
      <c r="AR46" s="92" t="n"/>
      <c r="AS46" s="92" t="n"/>
      <c r="AT46" s="92" t="n"/>
      <c r="AU46" s="92" t="n"/>
      <c r="AV46" s="92" t="n"/>
      <c r="AW46" s="92" t="n"/>
      <c r="AX46" s="92" t="n"/>
      <c r="AY46" s="92" t="n"/>
      <c r="AZ46" s="92" t="n"/>
    </row>
    <row r="47" customFormat="1" s="63">
      <c r="D47" s="141" t="n"/>
      <c r="AJ47" s="92" t="n"/>
      <c r="AK47" s="92" t="n"/>
      <c r="AL47" s="92" t="n"/>
      <c r="AM47" s="92" t="n"/>
      <c r="AN47" s="92" t="n"/>
      <c r="AO47" s="92" t="n"/>
      <c r="AP47" s="92" t="n"/>
      <c r="AQ47" s="92" t="n"/>
      <c r="AR47" s="92" t="n"/>
      <c r="AS47" s="92" t="n"/>
      <c r="AT47" s="92" t="n"/>
      <c r="AU47" s="92" t="n"/>
      <c r="AV47" s="92" t="n"/>
      <c r="AW47" s="92" t="n"/>
      <c r="AX47" s="92" t="n"/>
      <c r="AY47" s="92" t="n"/>
      <c r="AZ47" s="92" t="n"/>
    </row>
    <row r="48" customFormat="1" s="63">
      <c r="D48" s="239" t="inlineStr">
        <is>
          <t>No.</t>
        </is>
      </c>
      <c r="E48" s="239" t="inlineStr">
        <is>
          <t>表示情報</t>
        </is>
      </c>
      <c r="F48" s="365" t="n"/>
      <c r="G48" s="365" t="n"/>
      <c r="H48" s="365" t="n"/>
      <c r="I48" s="365" t="n"/>
      <c r="J48" s="365" t="n"/>
      <c r="K48" s="365" t="n"/>
      <c r="L48" s="365" t="n"/>
      <c r="M48" s="365" t="n"/>
      <c r="N48" s="365" t="n"/>
      <c r="O48" s="365" t="n"/>
      <c r="P48" s="365" t="n"/>
      <c r="Q48" s="365" t="n"/>
      <c r="R48" s="365" t="n"/>
      <c r="S48" s="365" t="n"/>
      <c r="T48" s="365" t="n"/>
      <c r="U48" s="365" t="n"/>
      <c r="V48" s="365" t="n"/>
      <c r="W48" s="365" t="n"/>
      <c r="X48" s="365" t="n"/>
      <c r="Y48" s="365" t="n"/>
      <c r="Z48" s="365" t="n"/>
      <c r="AA48" s="365" t="n"/>
      <c r="AB48" s="365" t="n"/>
      <c r="AC48" s="366" t="n"/>
      <c r="AD48" s="239" t="inlineStr">
        <is>
          <t>ドメイン名</t>
        </is>
      </c>
      <c r="AE48" s="427" t="n"/>
      <c r="AF48" s="427" t="n"/>
      <c r="AG48" s="428" t="n"/>
      <c r="AH48" s="92" t="n"/>
      <c r="AI48" s="92" t="n"/>
      <c r="AJ48" s="92" t="n"/>
      <c r="AK48" s="159" t="inlineStr">
        <is>
          <t>【内部設計情報】 画面項目名（物理）</t>
        </is>
      </c>
      <c r="AL48" s="92" t="n"/>
      <c r="AM48" s="92" t="n"/>
      <c r="AN48" s="92" t="n"/>
    </row>
    <row r="49" ht="11.25" customFormat="1" customHeight="1" s="63">
      <c r="D49" s="462" t="n"/>
      <c r="E49" s="239" t="inlineStr">
        <is>
          <t>画面項目名</t>
        </is>
      </c>
      <c r="F49" s="427" t="n"/>
      <c r="G49" s="427" t="n"/>
      <c r="H49" s="428" t="n"/>
      <c r="I49" s="463" t="inlineStr">
        <is>
          <t>画面項目種別</t>
        </is>
      </c>
      <c r="J49" s="427" t="n"/>
      <c r="K49" s="427" t="n"/>
      <c r="L49" s="428" t="n"/>
      <c r="M49" s="464" t="inlineStr">
        <is>
          <t>情報取得元</t>
        </is>
      </c>
      <c r="N49" s="427" t="n"/>
      <c r="O49" s="427" t="n"/>
      <c r="P49" s="427" t="n"/>
      <c r="Q49" s="427" t="n"/>
      <c r="R49" s="427" t="n"/>
      <c r="S49" s="427" t="n"/>
      <c r="T49" s="428" t="n"/>
      <c r="U49" s="239" t="inlineStr">
        <is>
          <t>編集仕様</t>
        </is>
      </c>
      <c r="V49" s="427" t="n"/>
      <c r="W49" s="427" t="n"/>
      <c r="X49" s="427" t="n"/>
      <c r="Y49" s="428" t="n"/>
      <c r="Z49" s="239" t="inlineStr">
        <is>
          <t>初期値</t>
        </is>
      </c>
      <c r="AA49" s="427" t="n"/>
      <c r="AB49" s="428" t="n"/>
      <c r="AC49" s="239" t="inlineStr">
        <is>
          <t>必須</t>
        </is>
      </c>
      <c r="AD49" s="432" t="n"/>
      <c r="AG49" s="433" t="n"/>
      <c r="AH49" s="92" t="n"/>
      <c r="AI49" s="92" t="n"/>
      <c r="AJ49" s="92" t="n"/>
      <c r="AK49" s="92" t="n"/>
      <c r="AL49" s="159" t="n"/>
      <c r="AM49" s="92" t="n"/>
      <c r="AN49" s="92" t="n"/>
      <c r="AO49" s="92" t="n"/>
      <c r="AP49" s="92" t="n"/>
      <c r="AQ49" s="92" t="n"/>
      <c r="AR49" s="92" t="n"/>
      <c r="AS49" s="92" t="n"/>
      <c r="AT49" s="92" t="n"/>
    </row>
    <row r="50" customFormat="1" s="63">
      <c r="D50" s="465" t="n"/>
      <c r="E50" s="435" t="n"/>
      <c r="F50" s="436" t="n"/>
      <c r="G50" s="436" t="n"/>
      <c r="H50" s="437" t="n"/>
      <c r="I50" s="435" t="n"/>
      <c r="J50" s="436" t="n"/>
      <c r="K50" s="436" t="n"/>
      <c r="L50" s="437" t="n"/>
      <c r="M50" s="435" t="n"/>
      <c r="N50" s="436" t="n"/>
      <c r="O50" s="436" t="n"/>
      <c r="P50" s="436" t="n"/>
      <c r="Q50" s="436" t="n"/>
      <c r="R50" s="436" t="n"/>
      <c r="S50" s="436" t="n"/>
      <c r="T50" s="437" t="n"/>
      <c r="U50" s="435" t="n"/>
      <c r="V50" s="436" t="n"/>
      <c r="W50" s="436" t="n"/>
      <c r="X50" s="436" t="n"/>
      <c r="Y50" s="437" t="n"/>
      <c r="Z50" s="435" t="n"/>
      <c r="AA50" s="436" t="n"/>
      <c r="AB50" s="437" t="n"/>
      <c r="AC50" s="465" t="n"/>
      <c r="AD50" s="435" t="n"/>
      <c r="AE50" s="436" t="n"/>
      <c r="AF50" s="436" t="n"/>
      <c r="AG50" s="437" t="n"/>
      <c r="AH50" s="92" t="n"/>
      <c r="AI50" s="92" t="n"/>
      <c r="AJ50" s="92" t="n"/>
      <c r="AK50" s="92" t="n"/>
      <c r="AL50" s="466" t="inlineStr">
        <is>
          <t>画面項目名
（物理）</t>
        </is>
      </c>
      <c r="AM50" s="365" t="n"/>
      <c r="AN50" s="365" t="n"/>
      <c r="AO50" s="365" t="n"/>
      <c r="AP50" s="366" t="n"/>
      <c r="AQ50" s="92" t="n"/>
      <c r="AR50" s="92" t="n"/>
      <c r="AS50" s="92" t="n"/>
      <c r="AT50" s="92" t="n"/>
    </row>
    <row r="51" customFormat="1" s="63">
      <c r="D51" s="467" t="inlineStr">
        <is>
          <t>領域名：プロジェクト情報入力</t>
        </is>
      </c>
      <c r="E51" s="365" t="n"/>
      <c r="F51" s="365" t="n"/>
      <c r="G51" s="365" t="n"/>
      <c r="H51" s="365" t="n"/>
      <c r="I51" s="365" t="n"/>
      <c r="J51" s="365" t="n"/>
      <c r="K51" s="365" t="n"/>
      <c r="L51" s="365" t="n"/>
      <c r="M51" s="365" t="n"/>
      <c r="N51" s="365" t="n"/>
      <c r="O51" s="365" t="n"/>
      <c r="P51" s="365" t="n"/>
      <c r="Q51" s="365" t="n"/>
      <c r="R51" s="365" t="n"/>
      <c r="S51" s="365" t="n"/>
      <c r="T51" s="365" t="n"/>
      <c r="U51" s="365" t="n"/>
      <c r="V51" s="365" t="n"/>
      <c r="W51" s="365" t="n"/>
      <c r="X51" s="365" t="n"/>
      <c r="Y51" s="365" t="n"/>
      <c r="Z51" s="365" t="n"/>
      <c r="AA51" s="365" t="n"/>
      <c r="AB51" s="365" t="n"/>
      <c r="AC51" s="365" t="n"/>
      <c r="AD51" s="365" t="n"/>
      <c r="AE51" s="365" t="n"/>
      <c r="AF51" s="365" t="n"/>
      <c r="AG51" s="366" t="n"/>
      <c r="AH51" s="92" t="n"/>
      <c r="AI51" s="92" t="n"/>
      <c r="AJ51" s="92" t="n"/>
      <c r="AK51" s="92" t="n"/>
      <c r="AL51" s="491" t="inlineStr">
        <is>
          <t>-</t>
        </is>
      </c>
      <c r="AM51" s="365" t="n"/>
      <c r="AN51" s="365" t="n"/>
      <c r="AO51" s="365" t="n"/>
      <c r="AP51" s="366" t="n"/>
      <c r="AQ51" s="92" t="n"/>
      <c r="AR51" s="92" t="n"/>
      <c r="AS51" s="92" t="n"/>
      <c r="AT51" s="92" t="n"/>
    </row>
    <row r="52" ht="73.5" customFormat="1" customHeight="1" s="64">
      <c r="D52" s="158" t="n">
        <v>1</v>
      </c>
      <c r="E52" s="450" t="inlineStr">
        <is>
          <t>事業部</t>
        </is>
      </c>
      <c r="F52" s="365" t="n"/>
      <c r="G52" s="365" t="n"/>
      <c r="H52" s="366" t="n"/>
      <c r="I52" s="262" t="inlineStr">
        <is>
          <t>label</t>
        </is>
      </c>
      <c r="J52" s="365" t="n"/>
      <c r="K52" s="365" t="n"/>
      <c r="L52" s="366" t="n"/>
      <c r="M52" s="347" t="inlineStr">
        <is>
          <t>-</t>
        </is>
      </c>
      <c r="N52" s="365" t="n"/>
      <c r="O52" s="365" t="n"/>
      <c r="P52" s="365" t="n"/>
      <c r="Q52" s="365" t="n"/>
      <c r="R52" s="365" t="n"/>
      <c r="S52" s="365" t="n"/>
      <c r="T52" s="366" t="n"/>
      <c r="U52" s="268" t="inlineStr">
        <is>
          <t>組織IDに対する組織名
※組織マスタに当該組織IDが存在しない場合は空白</t>
        </is>
      </c>
      <c r="V52" s="365" t="n"/>
      <c r="W52" s="365" t="n"/>
      <c r="X52" s="365" t="n"/>
      <c r="Y52" s="366" t="n"/>
      <c r="Z52" s="268" t="inlineStr">
        <is>
          <t>-</t>
        </is>
      </c>
      <c r="AA52" s="365" t="n"/>
      <c r="AB52" s="366" t="n"/>
      <c r="AC52" s="142" t="inlineStr">
        <is>
          <t>○</t>
        </is>
      </c>
      <c r="AD52" s="268" t="inlineStr">
        <is>
          <t>組織ID</t>
        </is>
      </c>
      <c r="AE52" s="365" t="n"/>
      <c r="AF52" s="365" t="n"/>
      <c r="AG52" s="366" t="n"/>
      <c r="AL52" s="491" t="inlineStr">
        <is>
          <t>-</t>
        </is>
      </c>
      <c r="AM52" s="365" t="n"/>
      <c r="AN52" s="365" t="n"/>
      <c r="AO52" s="365" t="n"/>
      <c r="AP52" s="366" t="n"/>
    </row>
    <row r="53" ht="73.5" customFormat="1" customHeight="1" s="64">
      <c r="D53" s="158" t="n">
        <v>2</v>
      </c>
      <c r="E53" s="450" t="inlineStr">
        <is>
          <t>部門</t>
        </is>
      </c>
      <c r="F53" s="365" t="n"/>
      <c r="G53" s="365" t="n"/>
      <c r="H53" s="366" t="n"/>
      <c r="I53" s="262" t="inlineStr">
        <is>
          <t>label</t>
        </is>
      </c>
      <c r="J53" s="365" t="n"/>
      <c r="K53" s="365" t="n"/>
      <c r="L53" s="366" t="n"/>
      <c r="M53" s="347" t="inlineStr">
        <is>
          <t>-</t>
        </is>
      </c>
      <c r="N53" s="365" t="n"/>
      <c r="O53" s="365" t="n"/>
      <c r="P53" s="365" t="n"/>
      <c r="Q53" s="365" t="n"/>
      <c r="R53" s="365" t="n"/>
      <c r="S53" s="365" t="n"/>
      <c r="T53" s="366" t="n"/>
      <c r="U53" s="268" t="inlineStr">
        <is>
          <t>組織IDに対する組織名
※組織マスタに当該組織IDが存在しない場合は空白</t>
        </is>
      </c>
      <c r="V53" s="365" t="n"/>
      <c r="W53" s="365" t="n"/>
      <c r="X53" s="365" t="n"/>
      <c r="Y53" s="366" t="n"/>
      <c r="Z53" s="268" t="inlineStr">
        <is>
          <t>-</t>
        </is>
      </c>
      <c r="AA53" s="365" t="n"/>
      <c r="AB53" s="366" t="n"/>
      <c r="AC53" s="142" t="inlineStr">
        <is>
          <t>○</t>
        </is>
      </c>
      <c r="AD53" s="268" t="inlineStr">
        <is>
          <t>組織ID</t>
        </is>
      </c>
      <c r="AE53" s="365" t="n"/>
      <c r="AF53" s="365" t="n"/>
      <c r="AG53" s="366" t="n"/>
      <c r="AL53" s="491" t="inlineStr">
        <is>
          <t>-</t>
        </is>
      </c>
      <c r="AM53" s="365" t="n"/>
      <c r="AN53" s="365" t="n"/>
      <c r="AO53" s="365" t="n"/>
      <c r="AP53" s="366" t="n"/>
    </row>
    <row r="54" customFormat="1" s="63">
      <c r="D54" s="158" t="n">
        <v>3</v>
      </c>
      <c r="E54" s="450" t="inlineStr">
        <is>
          <t>PJ名</t>
        </is>
      </c>
      <c r="F54" s="365" t="n"/>
      <c r="G54" s="365" t="n"/>
      <c r="H54" s="366" t="n"/>
      <c r="I54" s="262" t="inlineStr">
        <is>
          <t>label</t>
        </is>
      </c>
      <c r="J54" s="365" t="n"/>
      <c r="K54" s="365" t="n"/>
      <c r="L54" s="366" t="n"/>
      <c r="M54" s="347" t="inlineStr">
        <is>
          <t>-</t>
        </is>
      </c>
      <c r="N54" s="365" t="n"/>
      <c r="O54" s="365" t="n"/>
      <c r="P54" s="365" t="n"/>
      <c r="Q54" s="365" t="n"/>
      <c r="R54" s="365" t="n"/>
      <c r="S54" s="365" t="n"/>
      <c r="T54" s="366" t="n"/>
      <c r="U54" s="268" t="inlineStr">
        <is>
          <t>-</t>
        </is>
      </c>
      <c r="V54" s="365" t="n"/>
      <c r="W54" s="365" t="n"/>
      <c r="X54" s="365" t="n"/>
      <c r="Y54" s="366" t="n"/>
      <c r="Z54" s="268" t="inlineStr">
        <is>
          <t>-</t>
        </is>
      </c>
      <c r="AA54" s="365" t="n"/>
      <c r="AB54" s="366" t="n"/>
      <c r="AC54" s="142" t="inlineStr">
        <is>
          <t>○</t>
        </is>
      </c>
      <c r="AD54" s="268" t="inlineStr">
        <is>
          <t>プロジェクト名</t>
        </is>
      </c>
      <c r="AE54" s="365" t="n"/>
      <c r="AF54" s="365" t="n"/>
      <c r="AG54" s="366" t="n"/>
      <c r="AH54" s="92" t="n"/>
      <c r="AI54" s="92" t="n"/>
      <c r="AJ54" s="92" t="n"/>
      <c r="AK54" s="92" t="n"/>
      <c r="AL54" s="491" t="inlineStr">
        <is>
          <t>-</t>
        </is>
      </c>
      <c r="AM54" s="365" t="n"/>
      <c r="AN54" s="365" t="n"/>
      <c r="AO54" s="365" t="n"/>
      <c r="AP54" s="366" t="n"/>
      <c r="AQ54" s="92" t="n"/>
      <c r="AR54" s="92" t="n"/>
      <c r="AS54" s="92" t="n"/>
      <c r="AT54" s="92" t="n"/>
    </row>
    <row r="55" ht="29.25" customFormat="1" customHeight="1" s="63">
      <c r="D55" s="158" t="n">
        <v>4</v>
      </c>
      <c r="E55" s="450" t="inlineStr">
        <is>
          <t>PJ種別</t>
        </is>
      </c>
      <c r="F55" s="365" t="n"/>
      <c r="G55" s="365" t="n"/>
      <c r="H55" s="366" t="n"/>
      <c r="I55" s="262" t="inlineStr">
        <is>
          <t>label</t>
        </is>
      </c>
      <c r="J55" s="365" t="n"/>
      <c r="K55" s="365" t="n"/>
      <c r="L55" s="366" t="n"/>
      <c r="M55" s="347" t="inlineStr">
        <is>
          <t>-</t>
        </is>
      </c>
      <c r="N55" s="365" t="n"/>
      <c r="O55" s="365" t="n"/>
      <c r="P55" s="365" t="n"/>
      <c r="Q55" s="365" t="n"/>
      <c r="R55" s="365" t="n"/>
      <c r="S55" s="365" t="n"/>
      <c r="T55" s="366" t="n"/>
      <c r="U55" s="268" t="inlineStr">
        <is>
          <t>PJ種別コードに対するPJ種別名</t>
        </is>
      </c>
      <c r="V55" s="365" t="n"/>
      <c r="W55" s="365" t="n"/>
      <c r="X55" s="365" t="n"/>
      <c r="Y55" s="366" t="n"/>
      <c r="Z55" s="268" t="inlineStr">
        <is>
          <t>-</t>
        </is>
      </c>
      <c r="AA55" s="365" t="n"/>
      <c r="AB55" s="366" t="n"/>
      <c r="AC55" s="142" t="inlineStr">
        <is>
          <t>○</t>
        </is>
      </c>
      <c r="AD55" s="268" t="inlineStr">
        <is>
          <t>プロジェクト種別</t>
        </is>
      </c>
      <c r="AE55" s="365" t="n"/>
      <c r="AF55" s="365" t="n"/>
      <c r="AG55" s="366" t="n"/>
      <c r="AH55" s="92" t="n"/>
      <c r="AI55" s="92" t="n"/>
      <c r="AJ55" s="92" t="n"/>
      <c r="AK55" s="92" t="n"/>
      <c r="AL55" s="491" t="inlineStr">
        <is>
          <t>-</t>
        </is>
      </c>
      <c r="AM55" s="365" t="n"/>
      <c r="AN55" s="365" t="n"/>
      <c r="AO55" s="365" t="n"/>
      <c r="AP55" s="366" t="n"/>
      <c r="AQ55" s="92" t="n"/>
      <c r="AR55" s="92" t="n"/>
      <c r="AS55" s="92" t="n"/>
      <c r="AT55" s="92" t="n"/>
    </row>
    <row r="56" ht="29.25" customFormat="1" customHeight="1" s="63">
      <c r="D56" s="158" t="n">
        <v>5</v>
      </c>
      <c r="E56" s="450" t="inlineStr">
        <is>
          <t>PJ分類</t>
        </is>
      </c>
      <c r="F56" s="365" t="n"/>
      <c r="G56" s="365" t="n"/>
      <c r="H56" s="366" t="n"/>
      <c r="I56" s="262" t="inlineStr">
        <is>
          <t>label</t>
        </is>
      </c>
      <c r="J56" s="365" t="n"/>
      <c r="K56" s="365" t="n"/>
      <c r="L56" s="366" t="n"/>
      <c r="M56" s="347" t="inlineStr">
        <is>
          <t>-</t>
        </is>
      </c>
      <c r="N56" s="365" t="n"/>
      <c r="O56" s="365" t="n"/>
      <c r="P56" s="365" t="n"/>
      <c r="Q56" s="365" t="n"/>
      <c r="R56" s="365" t="n"/>
      <c r="S56" s="365" t="n"/>
      <c r="T56" s="366" t="n"/>
      <c r="U56" s="268" t="inlineStr">
        <is>
          <t>PJ分類コードに対するPJ分類名</t>
        </is>
      </c>
      <c r="V56" s="365" t="n"/>
      <c r="W56" s="365" t="n"/>
      <c r="X56" s="365" t="n"/>
      <c r="Y56" s="366" t="n"/>
      <c r="Z56" s="268" t="inlineStr">
        <is>
          <t>-</t>
        </is>
      </c>
      <c r="AA56" s="365" t="n"/>
      <c r="AB56" s="366" t="n"/>
      <c r="AC56" s="142" t="inlineStr">
        <is>
          <t>○</t>
        </is>
      </c>
      <c r="AD56" s="268" t="inlineStr">
        <is>
          <t>プロジェクト分類</t>
        </is>
      </c>
      <c r="AE56" s="365" t="n"/>
      <c r="AF56" s="365" t="n"/>
      <c r="AG56" s="366" t="n"/>
      <c r="AH56" s="92" t="n"/>
      <c r="AI56" s="92" t="n"/>
      <c r="AJ56" s="92" t="n"/>
      <c r="AK56" s="92" t="n"/>
      <c r="AL56" s="491" t="inlineStr">
        <is>
          <t>-</t>
        </is>
      </c>
      <c r="AM56" s="365" t="n"/>
      <c r="AN56" s="365" t="n"/>
      <c r="AO56" s="365" t="n"/>
      <c r="AP56" s="366" t="n"/>
      <c r="AQ56" s="92" t="n"/>
      <c r="AR56" s="92" t="n"/>
      <c r="AS56" s="92" t="n"/>
      <c r="AT56" s="92" t="n"/>
    </row>
    <row r="57" ht="52.5" customHeight="1" s="160">
      <c r="D57" s="158" t="n">
        <v>6</v>
      </c>
      <c r="E57" s="450" t="inlineStr">
        <is>
          <t>売上高(千円)</t>
        </is>
      </c>
      <c r="F57" s="365" t="n"/>
      <c r="G57" s="365" t="n"/>
      <c r="H57" s="366" t="n"/>
      <c r="I57" s="262" t="inlineStr">
        <is>
          <t>label</t>
        </is>
      </c>
      <c r="J57" s="365" t="n"/>
      <c r="K57" s="365" t="n"/>
      <c r="L57" s="366" t="n"/>
      <c r="M57" s="347" t="inlineStr">
        <is>
          <t>-</t>
        </is>
      </c>
      <c r="N57" s="365" t="n"/>
      <c r="O57" s="365" t="n"/>
      <c r="P57" s="365" t="n"/>
      <c r="Q57" s="365" t="n"/>
      <c r="R57" s="365" t="n"/>
      <c r="S57" s="365" t="n"/>
      <c r="T57" s="366" t="n"/>
      <c r="U57" s="268" t="inlineStr">
        <is>
          <t>＜表示変換:10進数変換＞
3桁ごとにカンマ区切り
を表示する。</t>
        </is>
      </c>
      <c r="V57" s="365" t="n"/>
      <c r="W57" s="365" t="n"/>
      <c r="X57" s="365" t="n"/>
      <c r="Y57" s="366" t="n"/>
      <c r="Z57" s="268" t="inlineStr">
        <is>
          <t>-</t>
        </is>
      </c>
      <c r="AA57" s="365" t="n"/>
      <c r="AB57" s="366" t="n"/>
      <c r="AC57" s="142" t="inlineStr">
        <is>
          <t>-</t>
        </is>
      </c>
      <c r="AD57" s="268" t="inlineStr">
        <is>
          <t>金額</t>
        </is>
      </c>
      <c r="AE57" s="365" t="n"/>
      <c r="AF57" s="365" t="n"/>
      <c r="AG57" s="366" t="n"/>
      <c r="AL57" s="491" t="inlineStr">
        <is>
          <t>-</t>
        </is>
      </c>
      <c r="AM57" s="365" t="n"/>
      <c r="AN57" s="365" t="n"/>
      <c r="AO57" s="365" t="n"/>
      <c r="AP57" s="366" t="n"/>
    </row>
    <row r="58" ht="47.25" customFormat="1" customHeight="1" s="64">
      <c r="D58" s="158" t="n">
        <v>7</v>
      </c>
      <c r="E58" s="450" t="inlineStr">
        <is>
          <t>顧客</t>
        </is>
      </c>
      <c r="F58" s="365" t="n"/>
      <c r="G58" s="365" t="n"/>
      <c r="H58" s="366" t="n"/>
      <c r="I58" s="262" t="inlineStr">
        <is>
          <t>label</t>
        </is>
      </c>
      <c r="J58" s="365" t="n"/>
      <c r="K58" s="365" t="n"/>
      <c r="L58" s="366" t="n"/>
      <c r="M58" s="347" t="inlineStr">
        <is>
          <t>-</t>
        </is>
      </c>
      <c r="N58" s="365" t="n"/>
      <c r="O58" s="365" t="n"/>
      <c r="P58" s="365" t="n"/>
      <c r="Q58" s="365" t="n"/>
      <c r="R58" s="365" t="n"/>
      <c r="S58" s="365" t="n"/>
      <c r="T58" s="366" t="n"/>
      <c r="U58" s="268" t="inlineStr">
        <is>
          <t>顧客IDに対する顧客名</t>
        </is>
      </c>
      <c r="V58" s="365" t="n"/>
      <c r="W58" s="365" t="n"/>
      <c r="X58" s="365" t="n"/>
      <c r="Y58" s="366" t="n"/>
      <c r="Z58" s="268" t="inlineStr">
        <is>
          <t>-</t>
        </is>
      </c>
      <c r="AA58" s="365" t="n"/>
      <c r="AB58" s="366" t="n"/>
      <c r="AC58" s="142" t="inlineStr">
        <is>
          <t>○</t>
        </is>
      </c>
      <c r="AD58" s="268" t="inlineStr">
        <is>
          <t>顧客名</t>
        </is>
      </c>
      <c r="AE58" s="365" t="n"/>
      <c r="AF58" s="365" t="n"/>
      <c r="AG58" s="366" t="n"/>
      <c r="AL58" s="491" t="inlineStr">
        <is>
          <t>-</t>
        </is>
      </c>
      <c r="AM58" s="365" t="n"/>
      <c r="AN58" s="365" t="n"/>
      <c r="AO58" s="365" t="n"/>
      <c r="AP58" s="366" t="n"/>
    </row>
    <row r="59" customFormat="1" s="64">
      <c r="D59" s="158" t="n">
        <v>8</v>
      </c>
      <c r="E59" s="450" t="inlineStr">
        <is>
          <t>PM</t>
        </is>
      </c>
      <c r="F59" s="365" t="n"/>
      <c r="G59" s="365" t="n"/>
      <c r="H59" s="366" t="n"/>
      <c r="I59" s="262" t="inlineStr">
        <is>
          <t>label</t>
        </is>
      </c>
      <c r="J59" s="365" t="n"/>
      <c r="K59" s="365" t="n"/>
      <c r="L59" s="366" t="n"/>
      <c r="M59" s="347" t="inlineStr">
        <is>
          <t>-</t>
        </is>
      </c>
      <c r="N59" s="365" t="n"/>
      <c r="O59" s="365" t="n"/>
      <c r="P59" s="365" t="n"/>
      <c r="Q59" s="365" t="n"/>
      <c r="R59" s="365" t="n"/>
      <c r="S59" s="365" t="n"/>
      <c r="T59" s="366" t="n"/>
      <c r="U59" s="268" t="inlineStr">
        <is>
          <t>-</t>
        </is>
      </c>
      <c r="V59" s="365" t="n"/>
      <c r="W59" s="365" t="n"/>
      <c r="X59" s="365" t="n"/>
      <c r="Y59" s="366" t="n"/>
      <c r="Z59" s="268" t="inlineStr">
        <is>
          <t>-</t>
        </is>
      </c>
      <c r="AA59" s="365" t="n"/>
      <c r="AB59" s="366" t="n"/>
      <c r="AC59" s="142" t="inlineStr">
        <is>
          <t>○</t>
        </is>
      </c>
      <c r="AD59" s="268" t="inlineStr">
        <is>
          <t>ユーザ氏名（漢字）</t>
        </is>
      </c>
      <c r="AE59" s="365" t="n"/>
      <c r="AF59" s="365" t="n"/>
      <c r="AG59" s="366" t="n"/>
      <c r="AL59" s="491" t="inlineStr">
        <is>
          <t>-</t>
        </is>
      </c>
      <c r="AM59" s="365" t="n"/>
      <c r="AN59" s="365" t="n"/>
      <c r="AO59" s="365" t="n"/>
      <c r="AP59" s="366" t="n"/>
      <c r="AV59" s="75" t="n"/>
    </row>
    <row r="60" customFormat="1" s="64">
      <c r="D60" s="158" t="n">
        <v>9</v>
      </c>
      <c r="E60" s="450" t="inlineStr">
        <is>
          <t>PL</t>
        </is>
      </c>
      <c r="F60" s="365" t="n"/>
      <c r="G60" s="365" t="n"/>
      <c r="H60" s="366" t="n"/>
      <c r="I60" s="262" t="inlineStr">
        <is>
          <t>label</t>
        </is>
      </c>
      <c r="J60" s="365" t="n"/>
      <c r="K60" s="365" t="n"/>
      <c r="L60" s="366" t="n"/>
      <c r="M60" s="347" t="inlineStr">
        <is>
          <t>-</t>
        </is>
      </c>
      <c r="N60" s="365" t="n"/>
      <c r="O60" s="365" t="n"/>
      <c r="P60" s="365" t="n"/>
      <c r="Q60" s="365" t="n"/>
      <c r="R60" s="365" t="n"/>
      <c r="S60" s="365" t="n"/>
      <c r="T60" s="366" t="n"/>
      <c r="U60" s="268" t="inlineStr">
        <is>
          <t>-</t>
        </is>
      </c>
      <c r="V60" s="365" t="n"/>
      <c r="W60" s="365" t="n"/>
      <c r="X60" s="365" t="n"/>
      <c r="Y60" s="366" t="n"/>
      <c r="Z60" s="268" t="inlineStr">
        <is>
          <t>-</t>
        </is>
      </c>
      <c r="AA60" s="365" t="n"/>
      <c r="AB60" s="366" t="n"/>
      <c r="AC60" s="142" t="inlineStr">
        <is>
          <t>○</t>
        </is>
      </c>
      <c r="AD60" s="268" t="inlineStr">
        <is>
          <t>ユーザ氏名（漢字）</t>
        </is>
      </c>
      <c r="AE60" s="365" t="n"/>
      <c r="AF60" s="365" t="n"/>
      <c r="AG60" s="366" t="n"/>
      <c r="AL60" s="491" t="inlineStr">
        <is>
          <t>-</t>
        </is>
      </c>
      <c r="AM60" s="365" t="n"/>
      <c r="AN60" s="365" t="n"/>
      <c r="AO60" s="365" t="n"/>
      <c r="AP60" s="366" t="n"/>
      <c r="AR60" s="92" t="n"/>
      <c r="AS60" s="92" t="n"/>
    </row>
    <row r="61" ht="22.5" customFormat="1" customHeight="1" s="63">
      <c r="D61" s="158" t="n">
        <v>10</v>
      </c>
      <c r="E61" s="268" t="inlineStr">
        <is>
          <t>開始日</t>
        </is>
      </c>
      <c r="F61" s="365" t="n"/>
      <c r="G61" s="365" t="n"/>
      <c r="H61" s="366" t="n"/>
      <c r="I61" s="262" t="inlineStr">
        <is>
          <t>label</t>
        </is>
      </c>
      <c r="J61" s="365" t="n"/>
      <c r="K61" s="365" t="n"/>
      <c r="L61" s="366" t="n"/>
      <c r="M61" s="347" t="inlineStr">
        <is>
          <t>-</t>
        </is>
      </c>
      <c r="N61" s="365" t="n"/>
      <c r="O61" s="365" t="n"/>
      <c r="P61" s="365" t="n"/>
      <c r="Q61" s="365" t="n"/>
      <c r="R61" s="365" t="n"/>
      <c r="S61" s="365" t="n"/>
      <c r="T61" s="366" t="n"/>
      <c r="U61" s="268" t="inlineStr">
        <is>
          <t>＜表示変換:日付変換＞
yyyy/MM/dd</t>
        </is>
      </c>
      <c r="V61" s="365" t="n"/>
      <c r="W61" s="365" t="n"/>
      <c r="X61" s="365" t="n"/>
      <c r="Y61" s="366" t="n"/>
      <c r="Z61" s="268" t="inlineStr">
        <is>
          <t>-</t>
        </is>
      </c>
      <c r="AA61" s="365" t="n"/>
      <c r="AB61" s="366" t="n"/>
      <c r="AC61" s="142" t="inlineStr">
        <is>
          <t>○</t>
        </is>
      </c>
      <c r="AD61" s="268" t="inlineStr">
        <is>
          <t>日付</t>
        </is>
      </c>
      <c r="AE61" s="365" t="n"/>
      <c r="AF61" s="365" t="n"/>
      <c r="AG61" s="366" t="n"/>
      <c r="AH61" s="92" t="n"/>
      <c r="AI61" s="92" t="n"/>
      <c r="AJ61" s="92" t="n"/>
      <c r="AK61" s="92" t="n"/>
      <c r="AL61" s="491" t="inlineStr">
        <is>
          <t>-</t>
        </is>
      </c>
      <c r="AM61" s="365" t="n"/>
      <c r="AN61" s="365" t="n"/>
      <c r="AO61" s="365" t="n"/>
      <c r="AP61" s="366" t="n"/>
      <c r="AQ61" s="92" t="n"/>
      <c r="AR61" s="92" t="n"/>
    </row>
    <row r="62" ht="22.5" customFormat="1" customHeight="1" s="64">
      <c r="D62" s="158" t="n">
        <v>11</v>
      </c>
      <c r="E62" s="268" t="inlineStr">
        <is>
          <t>終了日</t>
        </is>
      </c>
      <c r="F62" s="365" t="n"/>
      <c r="G62" s="365" t="n"/>
      <c r="H62" s="366" t="n"/>
      <c r="I62" s="262" t="inlineStr">
        <is>
          <t>label</t>
        </is>
      </c>
      <c r="J62" s="365" t="n"/>
      <c r="K62" s="365" t="n"/>
      <c r="L62" s="366" t="n"/>
      <c r="M62" s="347" t="inlineStr">
        <is>
          <t>-</t>
        </is>
      </c>
      <c r="N62" s="365" t="n"/>
      <c r="O62" s="365" t="n"/>
      <c r="P62" s="365" t="n"/>
      <c r="Q62" s="365" t="n"/>
      <c r="R62" s="365" t="n"/>
      <c r="S62" s="365" t="n"/>
      <c r="T62" s="366" t="n"/>
      <c r="U62" s="268" t="inlineStr">
        <is>
          <t>＜表示変換:日付変換＞
yyyy/MM/dd</t>
        </is>
      </c>
      <c r="V62" s="365" t="n"/>
      <c r="W62" s="365" t="n"/>
      <c r="X62" s="365" t="n"/>
      <c r="Y62" s="366" t="n"/>
      <c r="Z62" s="268" t="inlineStr">
        <is>
          <t>-</t>
        </is>
      </c>
      <c r="AA62" s="365" t="n"/>
      <c r="AB62" s="366" t="n"/>
      <c r="AC62" s="142" t="inlineStr">
        <is>
          <t>○</t>
        </is>
      </c>
      <c r="AD62" s="268" t="inlineStr">
        <is>
          <t>日付</t>
        </is>
      </c>
      <c r="AE62" s="365" t="n"/>
      <c r="AF62" s="365" t="n"/>
      <c r="AG62" s="366" t="n"/>
      <c r="AL62" s="491" t="inlineStr">
        <is>
          <t>-</t>
        </is>
      </c>
      <c r="AM62" s="365" t="n"/>
      <c r="AN62" s="365" t="n"/>
      <c r="AO62" s="365" t="n"/>
      <c r="AP62" s="366" t="n"/>
    </row>
    <row r="63" ht="28.5" customHeight="1" s="160">
      <c r="D63" s="158" t="n">
        <v>12</v>
      </c>
      <c r="E63" s="450" t="inlineStr">
        <is>
          <t>備考</t>
        </is>
      </c>
      <c r="F63" s="365" t="n"/>
      <c r="G63" s="365" t="n"/>
      <c r="H63" s="366" t="n"/>
      <c r="I63" s="262" t="inlineStr">
        <is>
          <t>label</t>
        </is>
      </c>
      <c r="J63" s="365" t="n"/>
      <c r="K63" s="365" t="n"/>
      <c r="L63" s="366" t="n"/>
      <c r="M63" s="347" t="inlineStr">
        <is>
          <t>-</t>
        </is>
      </c>
      <c r="N63" s="365" t="n"/>
      <c r="O63" s="365" t="n"/>
      <c r="P63" s="365" t="n"/>
      <c r="Q63" s="365" t="n"/>
      <c r="R63" s="365" t="n"/>
      <c r="S63" s="365" t="n"/>
      <c r="T63" s="366" t="n"/>
      <c r="U63" s="268" t="inlineStr">
        <is>
          <t>改行が含まれる場合は改行を再現すること。</t>
        </is>
      </c>
      <c r="V63" s="365" t="n"/>
      <c r="W63" s="365" t="n"/>
      <c r="X63" s="365" t="n"/>
      <c r="Y63" s="366" t="n"/>
      <c r="Z63" s="268" t="inlineStr">
        <is>
          <t>-</t>
        </is>
      </c>
      <c r="AA63" s="365" t="n"/>
      <c r="AB63" s="366" t="n"/>
      <c r="AC63" s="142" t="inlineStr">
        <is>
          <t>-</t>
        </is>
      </c>
      <c r="AD63" s="268" t="inlineStr">
        <is>
          <t>備考</t>
        </is>
      </c>
      <c r="AE63" s="365" t="n"/>
      <c r="AF63" s="365" t="n"/>
      <c r="AG63" s="366" t="n"/>
      <c r="AL63" s="491" t="inlineStr">
        <is>
          <t>-</t>
        </is>
      </c>
      <c r="AM63" s="365" t="n"/>
      <c r="AN63" s="365" t="n"/>
      <c r="AO63" s="365" t="n"/>
      <c r="AP63" s="366" t="n"/>
    </row>
    <row r="64" ht="73.5" customFormat="1" customHeight="1" s="64">
      <c r="D64" s="158" t="n">
        <v>13</v>
      </c>
      <c r="E64" s="450" t="inlineStr">
        <is>
          <t>事業部</t>
        </is>
      </c>
      <c r="F64" s="365" t="n"/>
      <c r="G64" s="365" t="n"/>
      <c r="H64" s="366" t="n"/>
      <c r="I64" s="262" t="inlineStr">
        <is>
          <t>hidden</t>
        </is>
      </c>
      <c r="J64" s="365" t="n"/>
      <c r="K64" s="365" t="n"/>
      <c r="L64" s="366" t="n"/>
      <c r="M64" s="347" t="inlineStr">
        <is>
          <t>-</t>
        </is>
      </c>
      <c r="N64" s="365" t="n"/>
      <c r="O64" s="365" t="n"/>
      <c r="P64" s="365" t="n"/>
      <c r="Q64" s="365" t="n"/>
      <c r="R64" s="365" t="n"/>
      <c r="S64" s="365" t="n"/>
      <c r="T64" s="366" t="n"/>
      <c r="U64" s="268" t="inlineStr">
        <is>
          <t>-</t>
        </is>
      </c>
      <c r="V64" s="365" t="n"/>
      <c r="W64" s="365" t="n"/>
      <c r="X64" s="365" t="n"/>
      <c r="Y64" s="366" t="n"/>
      <c r="Z64" s="268" t="inlineStr">
        <is>
          <t>-</t>
        </is>
      </c>
      <c r="AA64" s="365" t="n"/>
      <c r="AB64" s="366" t="n"/>
      <c r="AC64" s="142" t="inlineStr">
        <is>
          <t>○</t>
        </is>
      </c>
      <c r="AD64" s="268" t="inlineStr">
        <is>
          <t>組織ID</t>
        </is>
      </c>
      <c r="AE64" s="365" t="n"/>
      <c r="AF64" s="365" t="n"/>
      <c r="AG64" s="366" t="n"/>
      <c r="AL64" s="450" t="inlineStr">
        <is>
          <t>divisionId</t>
        </is>
      </c>
      <c r="AM64" s="365" t="n"/>
      <c r="AN64" s="365" t="n"/>
      <c r="AO64" s="365" t="n"/>
      <c r="AP64" s="366" t="n"/>
    </row>
    <row r="65" ht="73.5" customFormat="1" customHeight="1" s="64">
      <c r="D65" s="158" t="n">
        <v>14</v>
      </c>
      <c r="E65" s="450" t="inlineStr">
        <is>
          <t>部門</t>
        </is>
      </c>
      <c r="F65" s="365" t="n"/>
      <c r="G65" s="365" t="n"/>
      <c r="H65" s="366" t="n"/>
      <c r="I65" s="262" t="inlineStr">
        <is>
          <t>hidden</t>
        </is>
      </c>
      <c r="J65" s="365" t="n"/>
      <c r="K65" s="365" t="n"/>
      <c r="L65" s="366" t="n"/>
      <c r="M65" s="347" t="inlineStr">
        <is>
          <t>-</t>
        </is>
      </c>
      <c r="N65" s="365" t="n"/>
      <c r="O65" s="365" t="n"/>
      <c r="P65" s="365" t="n"/>
      <c r="Q65" s="365" t="n"/>
      <c r="R65" s="365" t="n"/>
      <c r="S65" s="365" t="n"/>
      <c r="T65" s="366" t="n"/>
      <c r="U65" s="268" t="inlineStr">
        <is>
          <t>-</t>
        </is>
      </c>
      <c r="V65" s="365" t="n"/>
      <c r="W65" s="365" t="n"/>
      <c r="X65" s="365" t="n"/>
      <c r="Y65" s="366" t="n"/>
      <c r="Z65" s="268" t="inlineStr">
        <is>
          <t>-</t>
        </is>
      </c>
      <c r="AA65" s="365" t="n"/>
      <c r="AB65" s="366" t="n"/>
      <c r="AC65" s="142" t="inlineStr">
        <is>
          <t>○</t>
        </is>
      </c>
      <c r="AD65" s="268" t="inlineStr">
        <is>
          <t>組織ID</t>
        </is>
      </c>
      <c r="AE65" s="365" t="n"/>
      <c r="AF65" s="365" t="n"/>
      <c r="AG65" s="366" t="n"/>
      <c r="AL65" s="450" t="inlineStr">
        <is>
          <t>organizationId</t>
        </is>
      </c>
      <c r="AM65" s="365" t="n"/>
      <c r="AN65" s="365" t="n"/>
      <c r="AO65" s="365" t="n"/>
      <c r="AP65" s="366" t="n"/>
    </row>
    <row r="66" ht="11.25" customFormat="1" customHeight="1" s="63">
      <c r="D66" s="158" t="n">
        <v>15</v>
      </c>
      <c r="E66" s="450" t="inlineStr">
        <is>
          <t>PJ名</t>
        </is>
      </c>
      <c r="F66" s="365" t="n"/>
      <c r="G66" s="365" t="n"/>
      <c r="H66" s="366" t="n"/>
      <c r="I66" s="262" t="inlineStr">
        <is>
          <t>hidden</t>
        </is>
      </c>
      <c r="J66" s="365" t="n"/>
      <c r="K66" s="365" t="n"/>
      <c r="L66" s="366" t="n"/>
      <c r="M66" s="347" t="inlineStr">
        <is>
          <t>-</t>
        </is>
      </c>
      <c r="N66" s="365" t="n"/>
      <c r="O66" s="365" t="n"/>
      <c r="P66" s="365" t="n"/>
      <c r="Q66" s="365" t="n"/>
      <c r="R66" s="365" t="n"/>
      <c r="S66" s="365" t="n"/>
      <c r="T66" s="366" t="n"/>
      <c r="U66" s="268" t="inlineStr">
        <is>
          <t>-</t>
        </is>
      </c>
      <c r="V66" s="365" t="n"/>
      <c r="W66" s="365" t="n"/>
      <c r="X66" s="365" t="n"/>
      <c r="Y66" s="366" t="n"/>
      <c r="Z66" s="268" t="inlineStr">
        <is>
          <t>-</t>
        </is>
      </c>
      <c r="AA66" s="365" t="n"/>
      <c r="AB66" s="366" t="n"/>
      <c r="AC66" s="142" t="inlineStr">
        <is>
          <t>○</t>
        </is>
      </c>
      <c r="AD66" s="268" t="inlineStr">
        <is>
          <t>プロジェクト名</t>
        </is>
      </c>
      <c r="AE66" s="365" t="n"/>
      <c r="AF66" s="365" t="n"/>
      <c r="AG66" s="366" t="n"/>
      <c r="AH66" s="92" t="n"/>
      <c r="AI66" s="92" t="n"/>
      <c r="AJ66" s="92" t="n"/>
      <c r="AK66" s="92" t="n"/>
      <c r="AL66" s="450" t="inlineStr">
        <is>
          <t>projectName</t>
        </is>
      </c>
      <c r="AM66" s="365" t="n"/>
      <c r="AN66" s="365" t="n"/>
      <c r="AO66" s="365" t="n"/>
      <c r="AP66" s="366" t="n"/>
      <c r="AQ66" s="92" t="n"/>
      <c r="AR66" s="92" t="n"/>
      <c r="AS66" s="92" t="n"/>
      <c r="AT66" s="92" t="n"/>
    </row>
    <row r="67" ht="29.25" customFormat="1" customHeight="1" s="63">
      <c r="D67" s="158" t="n">
        <v>16</v>
      </c>
      <c r="E67" s="450" t="inlineStr">
        <is>
          <t>PJ種別</t>
        </is>
      </c>
      <c r="F67" s="365" t="n"/>
      <c r="G67" s="365" t="n"/>
      <c r="H67" s="366" t="n"/>
      <c r="I67" s="262" t="inlineStr">
        <is>
          <t>hidden</t>
        </is>
      </c>
      <c r="J67" s="365" t="n"/>
      <c r="K67" s="365" t="n"/>
      <c r="L67" s="366" t="n"/>
      <c r="M67" s="347" t="inlineStr">
        <is>
          <t>-</t>
        </is>
      </c>
      <c r="N67" s="365" t="n"/>
      <c r="O67" s="365" t="n"/>
      <c r="P67" s="365" t="n"/>
      <c r="Q67" s="365" t="n"/>
      <c r="R67" s="365" t="n"/>
      <c r="S67" s="365" t="n"/>
      <c r="T67" s="366" t="n"/>
      <c r="U67" s="268" t="inlineStr">
        <is>
          <t>-</t>
        </is>
      </c>
      <c r="V67" s="365" t="n"/>
      <c r="W67" s="365" t="n"/>
      <c r="X67" s="365" t="n"/>
      <c r="Y67" s="366" t="n"/>
      <c r="Z67" s="268" t="inlineStr">
        <is>
          <t>-</t>
        </is>
      </c>
      <c r="AA67" s="365" t="n"/>
      <c r="AB67" s="366" t="n"/>
      <c r="AC67" s="142" t="inlineStr">
        <is>
          <t>○</t>
        </is>
      </c>
      <c r="AD67" s="268" t="inlineStr">
        <is>
          <t>プロジェクト種別</t>
        </is>
      </c>
      <c r="AE67" s="365" t="n"/>
      <c r="AF67" s="365" t="n"/>
      <c r="AG67" s="366" t="n"/>
      <c r="AH67" s="92" t="n"/>
      <c r="AI67" s="92" t="n"/>
      <c r="AJ67" s="92" t="n"/>
      <c r="AK67" s="92" t="n"/>
      <c r="AL67" s="450" t="inlineStr">
        <is>
          <t>projectType</t>
        </is>
      </c>
      <c r="AM67" s="365" t="n"/>
      <c r="AN67" s="365" t="n"/>
      <c r="AO67" s="365" t="n"/>
      <c r="AP67" s="366" t="n"/>
      <c r="AQ67" s="92" t="n"/>
      <c r="AR67" s="92" t="n"/>
      <c r="AS67" s="92" t="n"/>
      <c r="AT67" s="92" t="n"/>
    </row>
    <row r="68" ht="29.25" customFormat="1" customHeight="1" s="63">
      <c r="D68" s="158" t="n">
        <v>17</v>
      </c>
      <c r="E68" s="450" t="inlineStr">
        <is>
          <t>PJ分類</t>
        </is>
      </c>
      <c r="F68" s="365" t="n"/>
      <c r="G68" s="365" t="n"/>
      <c r="H68" s="366" t="n"/>
      <c r="I68" s="262" t="inlineStr">
        <is>
          <t>hidden</t>
        </is>
      </c>
      <c r="J68" s="365" t="n"/>
      <c r="K68" s="365" t="n"/>
      <c r="L68" s="366" t="n"/>
      <c r="M68" s="347" t="inlineStr">
        <is>
          <t>-</t>
        </is>
      </c>
      <c r="N68" s="365" t="n"/>
      <c r="O68" s="365" t="n"/>
      <c r="P68" s="365" t="n"/>
      <c r="Q68" s="365" t="n"/>
      <c r="R68" s="365" t="n"/>
      <c r="S68" s="365" t="n"/>
      <c r="T68" s="366" t="n"/>
      <c r="U68" s="268" t="inlineStr">
        <is>
          <t>-</t>
        </is>
      </c>
      <c r="V68" s="365" t="n"/>
      <c r="W68" s="365" t="n"/>
      <c r="X68" s="365" t="n"/>
      <c r="Y68" s="366" t="n"/>
      <c r="Z68" s="268" t="inlineStr">
        <is>
          <t>-</t>
        </is>
      </c>
      <c r="AA68" s="365" t="n"/>
      <c r="AB68" s="366" t="n"/>
      <c r="AC68" s="142" t="inlineStr">
        <is>
          <t>○</t>
        </is>
      </c>
      <c r="AD68" s="268" t="inlineStr">
        <is>
          <t>プロジェクト分類</t>
        </is>
      </c>
      <c r="AE68" s="365" t="n"/>
      <c r="AF68" s="365" t="n"/>
      <c r="AG68" s="366" t="n"/>
      <c r="AH68" s="92" t="n"/>
      <c r="AI68" s="92" t="n"/>
      <c r="AJ68" s="92" t="n"/>
      <c r="AK68" s="92" t="n"/>
      <c r="AL68" s="450" t="inlineStr">
        <is>
          <t>projectClass</t>
        </is>
      </c>
      <c r="AM68" s="365" t="n"/>
      <c r="AN68" s="365" t="n"/>
      <c r="AO68" s="365" t="n"/>
      <c r="AP68" s="366" t="n"/>
      <c r="AQ68" s="92" t="n"/>
      <c r="AR68" s="92" t="n"/>
      <c r="AS68" s="92" t="n"/>
      <c r="AT68" s="92" t="n"/>
    </row>
    <row r="69" ht="52.5" customHeight="1" s="160">
      <c r="D69" s="158" t="n">
        <v>18</v>
      </c>
      <c r="E69" s="450" t="inlineStr">
        <is>
          <t>売上高(千円)</t>
        </is>
      </c>
      <c r="F69" s="365" t="n"/>
      <c r="G69" s="365" t="n"/>
      <c r="H69" s="366" t="n"/>
      <c r="I69" s="262" t="inlineStr">
        <is>
          <t>hidden</t>
        </is>
      </c>
      <c r="J69" s="365" t="n"/>
      <c r="K69" s="365" t="n"/>
      <c r="L69" s="366" t="n"/>
      <c r="M69" s="347" t="inlineStr">
        <is>
          <t>-</t>
        </is>
      </c>
      <c r="N69" s="365" t="n"/>
      <c r="O69" s="365" t="n"/>
      <c r="P69" s="365" t="n"/>
      <c r="Q69" s="365" t="n"/>
      <c r="R69" s="365" t="n"/>
      <c r="S69" s="365" t="n"/>
      <c r="T69" s="366" t="n"/>
      <c r="U69" s="268" t="inlineStr">
        <is>
          <t>-</t>
        </is>
      </c>
      <c r="V69" s="365" t="n"/>
      <c r="W69" s="365" t="n"/>
      <c r="X69" s="365" t="n"/>
      <c r="Y69" s="366" t="n"/>
      <c r="Z69" s="268" t="inlineStr">
        <is>
          <t>-</t>
        </is>
      </c>
      <c r="AA69" s="365" t="n"/>
      <c r="AB69" s="366" t="n"/>
      <c r="AC69" s="142" t="inlineStr">
        <is>
          <t>-</t>
        </is>
      </c>
      <c r="AD69" s="268" t="inlineStr">
        <is>
          <t>金額</t>
        </is>
      </c>
      <c r="AE69" s="365" t="n"/>
      <c r="AF69" s="365" t="n"/>
      <c r="AG69" s="366" t="n"/>
      <c r="AL69" s="450" t="inlineStr">
        <is>
          <t>sales</t>
        </is>
      </c>
      <c r="AM69" s="365" t="n"/>
      <c r="AN69" s="365" t="n"/>
      <c r="AO69" s="365" t="n"/>
      <c r="AP69" s="366" t="n"/>
    </row>
    <row r="70" ht="47.25" customFormat="1" customHeight="1" s="64">
      <c r="D70" s="158" t="n">
        <v>19</v>
      </c>
      <c r="E70" s="450" t="inlineStr">
        <is>
          <t>顧客</t>
        </is>
      </c>
      <c r="F70" s="365" t="n"/>
      <c r="G70" s="365" t="n"/>
      <c r="H70" s="366" t="n"/>
      <c r="I70" s="262" t="inlineStr">
        <is>
          <t>hidden</t>
        </is>
      </c>
      <c r="J70" s="365" t="n"/>
      <c r="K70" s="365" t="n"/>
      <c r="L70" s="366" t="n"/>
      <c r="M70" s="347" t="inlineStr">
        <is>
          <t>-</t>
        </is>
      </c>
      <c r="N70" s="365" t="n"/>
      <c r="O70" s="365" t="n"/>
      <c r="P70" s="365" t="n"/>
      <c r="Q70" s="365" t="n"/>
      <c r="R70" s="365" t="n"/>
      <c r="S70" s="365" t="n"/>
      <c r="T70" s="366" t="n"/>
      <c r="U70" s="268" t="inlineStr">
        <is>
          <t>-</t>
        </is>
      </c>
      <c r="V70" s="365" t="n"/>
      <c r="W70" s="365" t="n"/>
      <c r="X70" s="365" t="n"/>
      <c r="Y70" s="366" t="n"/>
      <c r="Z70" s="268" t="inlineStr">
        <is>
          <t>-</t>
        </is>
      </c>
      <c r="AA70" s="365" t="n"/>
      <c r="AB70" s="366" t="n"/>
      <c r="AC70" s="142" t="inlineStr">
        <is>
          <t>○</t>
        </is>
      </c>
      <c r="AD70" s="268" t="inlineStr">
        <is>
          <t>顧客ID</t>
        </is>
      </c>
      <c r="AE70" s="365" t="n"/>
      <c r="AF70" s="365" t="n"/>
      <c r="AG70" s="366" t="n"/>
      <c r="AL70" s="450" t="inlineStr">
        <is>
          <t>clientId</t>
        </is>
      </c>
      <c r="AM70" s="365" t="n"/>
      <c r="AN70" s="365" t="n"/>
      <c r="AO70" s="365" t="n"/>
      <c r="AP70" s="366" t="n"/>
    </row>
    <row r="71" ht="11.25" customFormat="1" customHeight="1" s="64">
      <c r="D71" s="158" t="n">
        <v>20</v>
      </c>
      <c r="E71" s="450" t="inlineStr">
        <is>
          <t>PM</t>
        </is>
      </c>
      <c r="F71" s="365" t="n"/>
      <c r="G71" s="365" t="n"/>
      <c r="H71" s="366" t="n"/>
      <c r="I71" s="262" t="inlineStr">
        <is>
          <t>hidden</t>
        </is>
      </c>
      <c r="J71" s="365" t="n"/>
      <c r="K71" s="365" t="n"/>
      <c r="L71" s="366" t="n"/>
      <c r="M71" s="347" t="inlineStr">
        <is>
          <t>-</t>
        </is>
      </c>
      <c r="N71" s="365" t="n"/>
      <c r="O71" s="365" t="n"/>
      <c r="P71" s="365" t="n"/>
      <c r="Q71" s="365" t="n"/>
      <c r="R71" s="365" t="n"/>
      <c r="S71" s="365" t="n"/>
      <c r="T71" s="366" t="n"/>
      <c r="U71" s="268" t="inlineStr">
        <is>
          <t>-</t>
        </is>
      </c>
      <c r="V71" s="365" t="n"/>
      <c r="W71" s="365" t="n"/>
      <c r="X71" s="365" t="n"/>
      <c r="Y71" s="366" t="n"/>
      <c r="Z71" s="268" t="inlineStr">
        <is>
          <t>-</t>
        </is>
      </c>
      <c r="AA71" s="365" t="n"/>
      <c r="AB71" s="366" t="n"/>
      <c r="AC71" s="142" t="inlineStr">
        <is>
          <t>○</t>
        </is>
      </c>
      <c r="AD71" s="268" t="inlineStr">
        <is>
          <t>ユーザ氏名（漢字）</t>
        </is>
      </c>
      <c r="AE71" s="365" t="n"/>
      <c r="AF71" s="365" t="n"/>
      <c r="AG71" s="366" t="n"/>
      <c r="AL71" s="450" t="inlineStr">
        <is>
          <t>projectManager</t>
        </is>
      </c>
      <c r="AM71" s="365" t="n"/>
      <c r="AN71" s="365" t="n"/>
      <c r="AO71" s="365" t="n"/>
      <c r="AP71" s="366" t="n"/>
      <c r="AV71" s="75" t="n"/>
    </row>
    <row r="72" ht="11.25" customFormat="1" customHeight="1" s="64">
      <c r="D72" s="158" t="n">
        <v>21</v>
      </c>
      <c r="E72" s="450" t="inlineStr">
        <is>
          <t>PL</t>
        </is>
      </c>
      <c r="F72" s="365" t="n"/>
      <c r="G72" s="365" t="n"/>
      <c r="H72" s="366" t="n"/>
      <c r="I72" s="262" t="inlineStr">
        <is>
          <t>hidden</t>
        </is>
      </c>
      <c r="J72" s="365" t="n"/>
      <c r="K72" s="365" t="n"/>
      <c r="L72" s="366" t="n"/>
      <c r="M72" s="347" t="inlineStr">
        <is>
          <t>-</t>
        </is>
      </c>
      <c r="N72" s="365" t="n"/>
      <c r="O72" s="365" t="n"/>
      <c r="P72" s="365" t="n"/>
      <c r="Q72" s="365" t="n"/>
      <c r="R72" s="365" t="n"/>
      <c r="S72" s="365" t="n"/>
      <c r="T72" s="366" t="n"/>
      <c r="U72" s="268" t="inlineStr">
        <is>
          <t>-</t>
        </is>
      </c>
      <c r="V72" s="365" t="n"/>
      <c r="W72" s="365" t="n"/>
      <c r="X72" s="365" t="n"/>
      <c r="Y72" s="366" t="n"/>
      <c r="Z72" s="268" t="inlineStr">
        <is>
          <t>-</t>
        </is>
      </c>
      <c r="AA72" s="365" t="n"/>
      <c r="AB72" s="366" t="n"/>
      <c r="AC72" s="142" t="inlineStr">
        <is>
          <t>○</t>
        </is>
      </c>
      <c r="AD72" s="268" t="inlineStr">
        <is>
          <t>ユーザ氏名（漢字）</t>
        </is>
      </c>
      <c r="AE72" s="365" t="n"/>
      <c r="AF72" s="365" t="n"/>
      <c r="AG72" s="366" t="n"/>
      <c r="AL72" s="268" t="inlineStr">
        <is>
          <t>projectLeader</t>
        </is>
      </c>
      <c r="AM72" s="365" t="n"/>
      <c r="AN72" s="365" t="n"/>
      <c r="AO72" s="365" t="n"/>
      <c r="AP72" s="366" t="n"/>
      <c r="AR72" s="92" t="n"/>
      <c r="AS72" s="92" t="n"/>
    </row>
    <row r="73" ht="22.5" customFormat="1" customHeight="1" s="63">
      <c r="D73" s="158" t="n">
        <v>22</v>
      </c>
      <c r="E73" s="268" t="inlineStr">
        <is>
          <t>開始日</t>
        </is>
      </c>
      <c r="F73" s="365" t="n"/>
      <c r="G73" s="365" t="n"/>
      <c r="H73" s="366" t="n"/>
      <c r="I73" s="262" t="inlineStr">
        <is>
          <t>hidden</t>
        </is>
      </c>
      <c r="J73" s="365" t="n"/>
      <c r="K73" s="365" t="n"/>
      <c r="L73" s="366" t="n"/>
      <c r="M73" s="347" t="inlineStr">
        <is>
          <t>-</t>
        </is>
      </c>
      <c r="N73" s="365" t="n"/>
      <c r="O73" s="365" t="n"/>
      <c r="P73" s="365" t="n"/>
      <c r="Q73" s="365" t="n"/>
      <c r="R73" s="365" t="n"/>
      <c r="S73" s="365" t="n"/>
      <c r="T73" s="366" t="n"/>
      <c r="U73" s="268" t="inlineStr">
        <is>
          <t>-</t>
        </is>
      </c>
      <c r="V73" s="365" t="n"/>
      <c r="W73" s="365" t="n"/>
      <c r="X73" s="365" t="n"/>
      <c r="Y73" s="366" t="n"/>
      <c r="Z73" s="268" t="inlineStr">
        <is>
          <t>-</t>
        </is>
      </c>
      <c r="AA73" s="365" t="n"/>
      <c r="AB73" s="366" t="n"/>
      <c r="AC73" s="142" t="inlineStr">
        <is>
          <t>○</t>
        </is>
      </c>
      <c r="AD73" s="268" t="inlineStr">
        <is>
          <t>日付</t>
        </is>
      </c>
      <c r="AE73" s="365" t="n"/>
      <c r="AF73" s="365" t="n"/>
      <c r="AG73" s="366" t="n"/>
      <c r="AH73" s="92" t="n"/>
      <c r="AI73" s="92" t="n"/>
      <c r="AJ73" s="92" t="n"/>
      <c r="AK73" s="92" t="n"/>
      <c r="AL73" s="450" t="inlineStr">
        <is>
          <t>projectStartDate</t>
        </is>
      </c>
      <c r="AM73" s="365" t="n"/>
      <c r="AN73" s="365" t="n"/>
      <c r="AO73" s="365" t="n"/>
      <c r="AP73" s="366" t="n"/>
      <c r="AQ73" s="92" t="n"/>
      <c r="AR73" s="92" t="n"/>
    </row>
    <row r="74" ht="22.5" customFormat="1" customHeight="1" s="64">
      <c r="D74" s="158" t="n">
        <v>23</v>
      </c>
      <c r="E74" s="268" t="inlineStr">
        <is>
          <t>終了日</t>
        </is>
      </c>
      <c r="F74" s="365" t="n"/>
      <c r="G74" s="365" t="n"/>
      <c r="H74" s="366" t="n"/>
      <c r="I74" s="262" t="inlineStr">
        <is>
          <t>hidden</t>
        </is>
      </c>
      <c r="J74" s="365" t="n"/>
      <c r="K74" s="365" t="n"/>
      <c r="L74" s="366" t="n"/>
      <c r="M74" s="347" t="inlineStr">
        <is>
          <t>-</t>
        </is>
      </c>
      <c r="N74" s="365" t="n"/>
      <c r="O74" s="365" t="n"/>
      <c r="P74" s="365" t="n"/>
      <c r="Q74" s="365" t="n"/>
      <c r="R74" s="365" t="n"/>
      <c r="S74" s="365" t="n"/>
      <c r="T74" s="366" t="n"/>
      <c r="U74" s="268" t="inlineStr">
        <is>
          <t>-</t>
        </is>
      </c>
      <c r="V74" s="365" t="n"/>
      <c r="W74" s="365" t="n"/>
      <c r="X74" s="365" t="n"/>
      <c r="Y74" s="366" t="n"/>
      <c r="Z74" s="268" t="inlineStr">
        <is>
          <t>-</t>
        </is>
      </c>
      <c r="AA74" s="365" t="n"/>
      <c r="AB74" s="366" t="n"/>
      <c r="AC74" s="142" t="inlineStr">
        <is>
          <t>○</t>
        </is>
      </c>
      <c r="AD74" s="268" t="inlineStr">
        <is>
          <t>日付</t>
        </is>
      </c>
      <c r="AE74" s="365" t="n"/>
      <c r="AF74" s="365" t="n"/>
      <c r="AG74" s="366" t="n"/>
      <c r="AL74" s="450" t="inlineStr">
        <is>
          <t>projectEndDate</t>
        </is>
      </c>
      <c r="AM74" s="365" t="n"/>
      <c r="AN74" s="365" t="n"/>
      <c r="AO74" s="365" t="n"/>
      <c r="AP74" s="366" t="n"/>
    </row>
    <row r="75" ht="28.5" customHeight="1" s="160">
      <c r="D75" s="158" t="n">
        <v>24</v>
      </c>
      <c r="E75" s="450" t="inlineStr">
        <is>
          <t>備考</t>
        </is>
      </c>
      <c r="F75" s="365" t="n"/>
      <c r="G75" s="365" t="n"/>
      <c r="H75" s="366" t="n"/>
      <c r="I75" s="262" t="inlineStr">
        <is>
          <t>hidden</t>
        </is>
      </c>
      <c r="J75" s="365" t="n"/>
      <c r="K75" s="365" t="n"/>
      <c r="L75" s="366" t="n"/>
      <c r="M75" s="347" t="inlineStr">
        <is>
          <t>-</t>
        </is>
      </c>
      <c r="N75" s="365" t="n"/>
      <c r="O75" s="365" t="n"/>
      <c r="P75" s="365" t="n"/>
      <c r="Q75" s="365" t="n"/>
      <c r="R75" s="365" t="n"/>
      <c r="S75" s="365" t="n"/>
      <c r="T75" s="366" t="n"/>
      <c r="U75" s="268" t="inlineStr">
        <is>
          <t>-</t>
        </is>
      </c>
      <c r="V75" s="365" t="n"/>
      <c r="W75" s="365" t="n"/>
      <c r="X75" s="365" t="n"/>
      <c r="Y75" s="366" t="n"/>
      <c r="Z75" s="268" t="inlineStr">
        <is>
          <t>-</t>
        </is>
      </c>
      <c r="AA75" s="365" t="n"/>
      <c r="AB75" s="366" t="n"/>
      <c r="AC75" s="142" t="inlineStr">
        <is>
          <t>-</t>
        </is>
      </c>
      <c r="AD75" s="268" t="inlineStr">
        <is>
          <t>備考</t>
        </is>
      </c>
      <c r="AE75" s="365" t="n"/>
      <c r="AF75" s="365" t="n"/>
      <c r="AG75" s="366" t="n"/>
      <c r="AL75" s="468" t="inlineStr">
        <is>
          <t>note</t>
        </is>
      </c>
      <c r="AM75" s="365" t="n"/>
      <c r="AN75" s="365" t="n"/>
      <c r="AO75" s="365" t="n"/>
      <c r="AP75" s="366" t="n"/>
    </row>
    <row r="76" customFormat="1" s="63">
      <c r="AJ76" s="92" t="n"/>
      <c r="AK76" s="92" t="n"/>
      <c r="AL76" s="92" t="n"/>
      <c r="AM76" s="92" t="n"/>
      <c r="AN76" s="92" t="n"/>
      <c r="AO76" s="92" t="n"/>
      <c r="AP76" s="92" t="n"/>
      <c r="AQ76" s="92" t="n"/>
      <c r="AR76" s="92" t="n"/>
      <c r="AS76" s="92" t="n"/>
      <c r="AT76" s="92" t="n"/>
      <c r="AU76" s="92" t="n"/>
      <c r="AV76" s="92" t="n"/>
      <c r="AW76" s="92" t="n"/>
      <c r="AX76" s="92" t="n"/>
      <c r="AY76" s="92" t="n"/>
      <c r="AZ76" s="92" t="n"/>
    </row>
    <row r="77">
      <c r="D77" s="64" t="n"/>
      <c r="E77" s="96" t="n"/>
      <c r="F77" s="96" t="n"/>
      <c r="G77" s="96" t="n"/>
      <c r="H77" s="96" t="n"/>
      <c r="I77" s="96" t="n"/>
      <c r="J77" s="96" t="n"/>
      <c r="K77" s="96" t="n"/>
      <c r="L77" s="96" t="n"/>
      <c r="M77" s="96" t="n"/>
      <c r="N77" s="96" t="n"/>
      <c r="O77" s="96" t="n"/>
      <c r="P77" s="96" t="n"/>
      <c r="Q77" s="96" t="n"/>
      <c r="R77" s="96" t="n"/>
      <c r="S77" s="96" t="n"/>
      <c r="T77" s="96" t="n"/>
      <c r="U77" s="96" t="n"/>
      <c r="V77" s="96" t="n"/>
      <c r="W77" s="96" t="n"/>
      <c r="X77" s="100" t="n"/>
      <c r="Y77" s="100" t="n"/>
      <c r="Z77" s="100" t="n"/>
      <c r="AA77" s="100" t="n"/>
      <c r="AB77" s="96" t="n"/>
      <c r="AC77" s="96" t="n"/>
      <c r="AD77" s="96" t="n"/>
      <c r="AE77" s="96" t="n"/>
      <c r="AF77" s="96" t="n"/>
      <c r="AG77" s="96" t="n"/>
      <c r="AH77" s="96" t="n"/>
      <c r="AI77" s="96" t="n"/>
      <c r="AJ77" s="96" t="n"/>
    </row>
    <row r="78">
      <c r="C78" s="16" t="inlineStr">
        <is>
          <t>3.4. 入出力一覧</t>
        </is>
      </c>
      <c r="D78" s="64" t="n"/>
      <c r="E78" s="96" t="n"/>
      <c r="F78" s="126" t="n"/>
      <c r="G78" s="96" t="n"/>
      <c r="H78" s="96" t="n"/>
      <c r="I78" s="96" t="n"/>
      <c r="J78" s="96" t="n"/>
      <c r="K78" s="96" t="n"/>
      <c r="L78" s="96" t="n"/>
      <c r="M78" s="96" t="n"/>
      <c r="N78" s="96" t="n"/>
      <c r="O78" s="96" t="n"/>
      <c r="P78" s="96" t="n"/>
      <c r="Q78" s="96" t="n"/>
      <c r="R78" s="96" t="n"/>
      <c r="S78" s="96" t="n"/>
      <c r="T78" s="96" t="n"/>
      <c r="U78" s="96" t="n"/>
      <c r="V78" s="96" t="n"/>
      <c r="W78" s="96" t="n"/>
      <c r="X78" s="100" t="n"/>
      <c r="Y78" s="100" t="n"/>
      <c r="Z78" s="100" t="n"/>
      <c r="AA78" s="100" t="n"/>
      <c r="AB78" s="96" t="n"/>
      <c r="AC78" s="96" t="n"/>
      <c r="AD78" s="96" t="n"/>
      <c r="AE78" s="96" t="n"/>
      <c r="AF78" s="96" t="n"/>
      <c r="AG78" s="96" t="n"/>
      <c r="AH78" s="96" t="n"/>
      <c r="AI78" s="96" t="n"/>
      <c r="AJ78" s="96" t="n"/>
    </row>
    <row r="79" ht="11.25" customHeight="1" s="160">
      <c r="AI79" s="96" t="n"/>
      <c r="AJ79" s="96" t="n"/>
    </row>
    <row r="80">
      <c r="D80" s="469" t="inlineStr">
        <is>
          <t>No.</t>
        </is>
      </c>
      <c r="E80" s="454" t="inlineStr">
        <is>
          <t>入出力名</t>
        </is>
      </c>
      <c r="F80" s="427" t="n"/>
      <c r="G80" s="427" t="n"/>
      <c r="H80" s="427" t="n"/>
      <c r="I80" s="427" t="n"/>
      <c r="J80" s="428" t="n"/>
      <c r="K80" s="454" t="inlineStr">
        <is>
          <t>種別</t>
        </is>
      </c>
      <c r="L80" s="427" t="n"/>
      <c r="M80" s="427" t="n"/>
      <c r="N80" s="428" t="n"/>
      <c r="O80" s="470" t="inlineStr">
        <is>
          <t>I/O</t>
        </is>
      </c>
      <c r="P80" s="108" t="inlineStr">
        <is>
          <t>DBアクセス種別</t>
        </is>
      </c>
      <c r="Q80" s="109" t="n"/>
      <c r="R80" s="109" t="n"/>
      <c r="S80" s="109" t="n"/>
      <c r="T80" s="109" t="n"/>
      <c r="U80" s="109" t="n"/>
      <c r="V80" s="454" t="inlineStr">
        <is>
          <t>備考</t>
        </is>
      </c>
      <c r="W80" s="427" t="n"/>
      <c r="X80" s="427" t="n"/>
      <c r="Y80" s="427" t="n"/>
      <c r="Z80" s="427" t="n"/>
      <c r="AA80" s="427" t="n"/>
      <c r="AB80" s="427" t="n"/>
      <c r="AC80" s="427" t="n"/>
      <c r="AD80" s="427" t="n"/>
      <c r="AE80" s="427" t="n"/>
      <c r="AF80" s="427" t="n"/>
      <c r="AG80" s="427" t="n"/>
      <c r="AH80" s="428" t="n"/>
    </row>
    <row r="81">
      <c r="D81" s="465" t="n"/>
      <c r="E81" s="435" t="n"/>
      <c r="F81" s="436" t="n"/>
      <c r="G81" s="436" t="n"/>
      <c r="H81" s="436" t="n"/>
      <c r="I81" s="436" t="n"/>
      <c r="J81" s="437" t="n"/>
      <c r="K81" s="435" t="n"/>
      <c r="L81" s="436" t="n"/>
      <c r="M81" s="436" t="n"/>
      <c r="N81" s="437" t="n"/>
      <c r="O81" s="465" t="n"/>
      <c r="P81" s="110" t="inlineStr">
        <is>
          <t>C</t>
        </is>
      </c>
      <c r="Q81" s="110" t="inlineStr">
        <is>
          <t>R</t>
        </is>
      </c>
      <c r="R81" s="110" t="inlineStr">
        <is>
          <t>U</t>
        </is>
      </c>
      <c r="S81" s="110" t="inlineStr">
        <is>
          <t>D</t>
        </is>
      </c>
      <c r="T81" s="110" t="inlineStr">
        <is>
          <t>ﾛｯｸ対象</t>
        </is>
      </c>
      <c r="U81" s="366" t="n"/>
      <c r="V81" s="435" t="n"/>
      <c r="W81" s="436" t="n"/>
      <c r="X81" s="436" t="n"/>
      <c r="Y81" s="436" t="n"/>
      <c r="Z81" s="436" t="n"/>
      <c r="AA81" s="436" t="n"/>
      <c r="AB81" s="436" t="n"/>
      <c r="AC81" s="436" t="n"/>
      <c r="AD81" s="436" t="n"/>
      <c r="AE81" s="436" t="n"/>
      <c r="AF81" s="436" t="n"/>
      <c r="AG81" s="436" t="n"/>
      <c r="AH81" s="437" t="n"/>
    </row>
    <row r="82" ht="11.25" customHeight="1" s="160">
      <c r="D82" s="111" t="n">
        <v>1</v>
      </c>
      <c r="E82" s="52" t="inlineStr">
        <is>
          <t>プロジェクト</t>
        </is>
      </c>
      <c r="F82" s="365" t="n"/>
      <c r="G82" s="365" t="n"/>
      <c r="H82" s="365" t="n"/>
      <c r="I82" s="365" t="n"/>
      <c r="J82" s="366" t="n"/>
      <c r="K82" s="406" t="inlineStr">
        <is>
          <t>テーブル</t>
        </is>
      </c>
      <c r="L82" s="365" t="n"/>
      <c r="M82" s="365" t="n"/>
      <c r="N82" s="366" t="n"/>
      <c r="O82" s="131" t="inlineStr">
        <is>
          <t>O</t>
        </is>
      </c>
      <c r="P82" s="370" t="inlineStr">
        <is>
          <t>○</t>
        </is>
      </c>
      <c r="Q82" s="370" t="inlineStr">
        <is>
          <t>-</t>
        </is>
      </c>
      <c r="R82" s="370" t="inlineStr">
        <is>
          <t>-</t>
        </is>
      </c>
      <c r="S82" s="370" t="inlineStr">
        <is>
          <t>-</t>
        </is>
      </c>
      <c r="T82" s="471" t="inlineStr">
        <is>
          <t>-</t>
        </is>
      </c>
      <c r="U82" s="366" t="n"/>
      <c r="V82" s="406" t="inlineStr">
        <is>
          <t>-</t>
        </is>
      </c>
      <c r="W82" s="365" t="n"/>
      <c r="X82" s="365" t="n"/>
      <c r="Y82" s="365" t="n"/>
      <c r="Z82" s="365" t="n"/>
      <c r="AA82" s="365" t="n"/>
      <c r="AB82" s="365" t="n"/>
      <c r="AC82" s="365" t="n"/>
      <c r="AD82" s="365" t="n"/>
      <c r="AE82" s="365" t="n"/>
      <c r="AF82" s="365" t="n"/>
      <c r="AG82" s="365" t="n"/>
      <c r="AH82" s="366" t="n"/>
    </row>
    <row r="83">
      <c r="D83" s="111" t="n">
        <v>2</v>
      </c>
      <c r="E83" s="52" t="inlineStr">
        <is>
          <t>組織</t>
        </is>
      </c>
      <c r="F83" s="365" t="n"/>
      <c r="G83" s="365" t="n"/>
      <c r="H83" s="365" t="n"/>
      <c r="I83" s="365" t="n"/>
      <c r="J83" s="366" t="n"/>
      <c r="K83" s="406" t="inlineStr">
        <is>
          <t>テーブル</t>
        </is>
      </c>
      <c r="L83" s="365" t="n"/>
      <c r="M83" s="365" t="n"/>
      <c r="N83" s="366" t="n"/>
      <c r="O83" s="105" t="inlineStr">
        <is>
          <t>I</t>
        </is>
      </c>
      <c r="P83" s="370" t="inlineStr">
        <is>
          <t>-</t>
        </is>
      </c>
      <c r="Q83" s="370" t="inlineStr">
        <is>
          <t>○</t>
        </is>
      </c>
      <c r="R83" s="370" t="inlineStr">
        <is>
          <t>-</t>
        </is>
      </c>
      <c r="S83" s="370" t="inlineStr">
        <is>
          <t>-</t>
        </is>
      </c>
      <c r="T83" s="471" t="inlineStr">
        <is>
          <t>-</t>
        </is>
      </c>
      <c r="U83" s="366" t="n"/>
      <c r="V83" s="406" t="inlineStr">
        <is>
          <t>-</t>
        </is>
      </c>
      <c r="W83" s="365" t="n"/>
      <c r="X83" s="365" t="n"/>
      <c r="Y83" s="365" t="n"/>
      <c r="Z83" s="365" t="n"/>
      <c r="AA83" s="365" t="n"/>
      <c r="AB83" s="365" t="n"/>
      <c r="AC83" s="365" t="n"/>
      <c r="AD83" s="365" t="n"/>
      <c r="AE83" s="365" t="n"/>
      <c r="AF83" s="365" t="n"/>
      <c r="AG83" s="365" t="n"/>
      <c r="AH83" s="366" t="n"/>
    </row>
    <row r="84">
      <c r="D84" s="101" t="n"/>
      <c r="E84" s="104" t="n"/>
      <c r="F84" s="104" t="n"/>
      <c r="G84" s="104" t="n"/>
      <c r="H84" s="104" t="n"/>
      <c r="I84" s="104" t="n"/>
      <c r="J84" s="104" t="n"/>
      <c r="K84" s="104" t="n"/>
      <c r="L84" s="104" t="n"/>
      <c r="M84" s="104" t="n"/>
      <c r="N84" s="104" t="n"/>
      <c r="O84" s="104" t="n"/>
      <c r="P84" s="104" t="n"/>
      <c r="Q84" s="104" t="n"/>
      <c r="R84" s="104" t="n"/>
      <c r="S84" s="104" t="n"/>
      <c r="T84" s="104" t="n"/>
      <c r="U84" s="104" t="n"/>
      <c r="V84" s="104" t="n"/>
      <c r="W84" s="104" t="n"/>
      <c r="X84" s="104" t="n"/>
      <c r="Y84" s="104" t="n"/>
      <c r="Z84" s="104" t="n"/>
      <c r="AA84" s="104" t="n"/>
      <c r="AB84" s="104" t="n"/>
      <c r="AC84" s="104" t="n"/>
      <c r="AD84" s="104" t="n"/>
      <c r="AE84" s="104" t="n"/>
      <c r="AF84" s="104" t="n"/>
      <c r="AG84" s="104" t="n"/>
      <c r="AH84" s="104" t="n"/>
    </row>
    <row r="85">
      <c r="D85" s="64" t="n"/>
      <c r="E85" s="96" t="n"/>
      <c r="F85" s="96" t="n"/>
      <c r="G85" s="96" t="n"/>
      <c r="H85" s="96" t="n"/>
      <c r="I85" s="96" t="n"/>
      <c r="J85" s="96" t="n"/>
      <c r="K85" s="96" t="n"/>
      <c r="L85" s="96" t="n"/>
      <c r="M85" s="96" t="n"/>
      <c r="N85" s="96" t="n"/>
      <c r="O85" s="96" t="n"/>
      <c r="P85" s="96" t="n"/>
      <c r="Q85" s="96" t="n"/>
      <c r="R85" s="96" t="n"/>
      <c r="S85" s="96" t="n"/>
      <c r="T85" s="96" t="n"/>
      <c r="U85" s="96" t="n"/>
      <c r="V85" s="96" t="n"/>
      <c r="W85" s="96" t="n"/>
      <c r="X85" s="100" t="n"/>
      <c r="Y85" s="100" t="n"/>
      <c r="Z85" s="100" t="n"/>
      <c r="AA85" s="100" t="n"/>
      <c r="AB85" s="96" t="n"/>
      <c r="AC85" s="96" t="n"/>
      <c r="AD85" s="96" t="n"/>
      <c r="AE85" s="96" t="n"/>
      <c r="AF85" s="96" t="n"/>
      <c r="AG85" s="96" t="n"/>
      <c r="AH85" s="96" t="n"/>
      <c r="AI85" s="96" t="n"/>
      <c r="AJ85" s="96" t="n"/>
    </row>
    <row r="86">
      <c r="C86" t="inlineStr">
        <is>
          <t>3.5. 画面イベント一覧</t>
        </is>
      </c>
    </row>
    <row r="87"/>
    <row r="88" ht="11.25" customHeight="1" s="160">
      <c r="C88" s="75" t="n"/>
      <c r="D88" s="113" t="inlineStr">
        <is>
          <t>No.</t>
        </is>
      </c>
      <c r="E88" s="472" t="inlineStr">
        <is>
          <t>画面イベント名</t>
        </is>
      </c>
      <c r="F88" s="365" t="n"/>
      <c r="G88" s="365" t="n"/>
      <c r="H88" s="365" t="n"/>
      <c r="I88" s="365" t="n"/>
      <c r="J88" s="473" t="n"/>
      <c r="K88" s="474" t="inlineStr">
        <is>
          <t>発生タイミング</t>
        </is>
      </c>
      <c r="L88" s="365" t="n"/>
      <c r="M88" s="365" t="n"/>
      <c r="N88" s="365" t="n"/>
      <c r="O88" s="365" t="n"/>
      <c r="P88" s="365" t="n"/>
      <c r="Q88" s="366" t="n"/>
      <c r="R88" s="115" t="inlineStr">
        <is>
          <t>画面イベント概要</t>
        </is>
      </c>
      <c r="S88" s="365" t="n"/>
      <c r="T88" s="365" t="n"/>
      <c r="U88" s="365" t="n"/>
      <c r="V88" s="365" t="n"/>
      <c r="W88" s="365" t="n"/>
      <c r="X88" s="365" t="n"/>
      <c r="Y88" s="366" t="n"/>
      <c r="Z88" s="239" t="inlineStr">
        <is>
          <t>正常時遷移先画面</t>
        </is>
      </c>
      <c r="AA88" s="365" t="n"/>
      <c r="AB88" s="365" t="n"/>
      <c r="AC88" s="365" t="n"/>
      <c r="AD88" s="366" t="n"/>
      <c r="AE88" s="475" t="inlineStr">
        <is>
          <t>サーバ通信有無</t>
        </is>
      </c>
      <c r="AF88" s="458" t="n"/>
      <c r="AG88" s="458" t="n"/>
      <c r="AH88" s="459" t="n"/>
    </row>
    <row r="89" ht="23.25" customHeight="1" s="160">
      <c r="D89" s="106" t="n">
        <v>1</v>
      </c>
      <c r="E89" s="268" t="inlineStr">
        <is>
          <t>登録</t>
        </is>
      </c>
      <c r="F89" s="365" t="n"/>
      <c r="G89" s="365" t="n"/>
      <c r="H89" s="365" t="n"/>
      <c r="I89" s="365" t="n"/>
      <c r="J89" s="366" t="n"/>
      <c r="K89" s="268" t="inlineStr">
        <is>
          <t>「登録」ボタン押下</t>
        </is>
      </c>
      <c r="L89" s="365" t="n"/>
      <c r="M89" s="365" t="n"/>
      <c r="N89" s="365" t="n"/>
      <c r="O89" s="365" t="n"/>
      <c r="P89" s="365" t="n"/>
      <c r="Q89" s="366" t="n"/>
      <c r="R89" s="268" t="inlineStr">
        <is>
          <t>当画面に表示していた内容をデータベースに登録する。</t>
        </is>
      </c>
      <c r="S89" s="365" t="n"/>
      <c r="T89" s="365" t="n"/>
      <c r="U89" s="365" t="n"/>
      <c r="V89" s="365" t="n"/>
      <c r="W89" s="365" t="n"/>
      <c r="X89" s="365" t="n"/>
      <c r="Y89" s="366" t="n"/>
      <c r="Z89" s="268" t="inlineStr">
        <is>
          <t>プロジェクト登録完了</t>
        </is>
      </c>
      <c r="AA89" s="365" t="n"/>
      <c r="AB89" s="365" t="n"/>
      <c r="AC89" s="365" t="n"/>
      <c r="AD89" s="366" t="n"/>
      <c r="AE89" s="492" t="inlineStr">
        <is>
          <t>あり(同期)</t>
        </is>
      </c>
      <c r="AF89" s="460" t="n"/>
      <c r="AG89" s="460" t="n"/>
      <c r="AH89" s="461" t="n"/>
    </row>
    <row r="90" ht="24" customHeight="1" s="160">
      <c r="D90" s="106" t="n">
        <v>2</v>
      </c>
      <c r="E90" s="406" t="inlineStr">
        <is>
          <t>戻る</t>
        </is>
      </c>
      <c r="F90" s="365" t="n"/>
      <c r="G90" s="365" t="n"/>
      <c r="H90" s="365" t="n"/>
      <c r="I90" s="365" t="n"/>
      <c r="J90" s="366" t="n"/>
      <c r="K90" s="406" t="inlineStr">
        <is>
          <t>「戻る」ボタン押下</t>
        </is>
      </c>
      <c r="L90" s="365" t="n"/>
      <c r="M90" s="365" t="n"/>
      <c r="N90" s="365" t="n"/>
      <c r="O90" s="365" t="n"/>
      <c r="P90" s="365" t="n"/>
      <c r="Q90" s="366" t="n"/>
      <c r="R90" s="268" t="inlineStr">
        <is>
          <t>当画面に表示していた内容を登録画面に表示する。</t>
        </is>
      </c>
      <c r="S90" s="365" t="n"/>
      <c r="T90" s="365" t="n"/>
      <c r="U90" s="365" t="n"/>
      <c r="V90" s="365" t="n"/>
      <c r="W90" s="365" t="n"/>
      <c r="X90" s="365" t="n"/>
      <c r="Y90" s="366" t="n"/>
      <c r="Z90" s="268" t="inlineStr">
        <is>
          <t>プロジェクト登録</t>
        </is>
      </c>
      <c r="AA90" s="365" t="n"/>
      <c r="AB90" s="365" t="n"/>
      <c r="AC90" s="365" t="n"/>
      <c r="AD90" s="366" t="n"/>
      <c r="AE90" s="492" t="inlineStr">
        <is>
          <t>あり(同期)</t>
        </is>
      </c>
      <c r="AF90" s="460" t="n"/>
      <c r="AG90" s="460" t="n"/>
      <c r="AH90" s="461" t="n"/>
    </row>
    <row r="91">
      <c r="D91" s="95" t="n"/>
      <c r="E91" s="104" t="n"/>
      <c r="F91" s="104" t="n"/>
      <c r="G91" s="104" t="n"/>
      <c r="H91" s="104" t="n"/>
      <c r="I91" s="104" t="n"/>
      <c r="J91" s="104" t="n"/>
      <c r="K91" s="104" t="n"/>
      <c r="L91" s="104" t="n"/>
      <c r="M91" s="104" t="n"/>
      <c r="N91" s="104" t="n"/>
      <c r="O91" s="104" t="n"/>
      <c r="P91" s="104" t="n"/>
      <c r="Q91" s="104" t="n"/>
      <c r="R91" s="104" t="n"/>
      <c r="S91" s="104" t="n"/>
      <c r="T91" s="104" t="n"/>
      <c r="U91" s="104" t="n"/>
      <c r="V91" s="104" t="n"/>
      <c r="W91" s="104" t="n"/>
      <c r="X91" s="104" t="n"/>
      <c r="Y91" s="104" t="n"/>
      <c r="Z91" s="104" t="n"/>
      <c r="AA91" s="104" t="n"/>
      <c r="AB91" s="104" t="n"/>
      <c r="AC91" s="104" t="n"/>
      <c r="AD91" s="104" t="n"/>
      <c r="AE91" s="104" t="n"/>
      <c r="AF91" s="104" t="n"/>
      <c r="AG91" s="104" t="n"/>
      <c r="AH91" s="104" t="n"/>
    </row>
    <row r="92">
      <c r="D92" s="95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104" t="n"/>
      <c r="N92" s="104" t="n"/>
      <c r="O92" s="104" t="n"/>
      <c r="P92" s="104" t="n"/>
      <c r="Q92" s="104" t="n"/>
      <c r="R92" s="104" t="n"/>
      <c r="S92" s="104" t="n"/>
      <c r="T92" s="104" t="n"/>
      <c r="U92" s="104" t="n"/>
      <c r="V92" s="104" t="n"/>
      <c r="W92" s="104" t="n"/>
      <c r="X92" s="104" t="n"/>
      <c r="Y92" s="104" t="n"/>
      <c r="Z92" s="104" t="n"/>
      <c r="AA92" s="104" t="n"/>
      <c r="AB92" s="104" t="n"/>
      <c r="AC92" s="104" t="n"/>
      <c r="AD92" s="104" t="n"/>
      <c r="AE92" s="104" t="n"/>
      <c r="AF92" s="104" t="n"/>
      <c r="AG92" s="104" t="n"/>
      <c r="AH92" s="104" t="n"/>
    </row>
    <row r="93">
      <c r="C93" t="inlineStr">
        <is>
          <t>3.6. 画面イベント詳細</t>
        </is>
      </c>
    </row>
    <row r="94">
      <c r="E94" s="92" t="n"/>
      <c r="F94" s="93" t="n"/>
      <c r="G94" s="159" t="n"/>
      <c r="AJ94" s="77" t="n"/>
      <c r="AK94" s="77" t="n"/>
      <c r="AL94" s="77" t="n"/>
      <c r="AM94" s="77" t="n"/>
      <c r="AN94" s="77" t="n"/>
      <c r="AO94" s="77" t="n"/>
      <c r="AP94" s="77" t="n"/>
      <c r="AQ94" s="77" t="n"/>
      <c r="AR94" s="77" t="n"/>
      <c r="AS94" s="77" t="n"/>
      <c r="AT94" s="77" t="n"/>
      <c r="AU94" s="77" t="n"/>
      <c r="AV94" s="77" t="n"/>
      <c r="AW94" s="77" t="n"/>
      <c r="AX94" s="77" t="n"/>
      <c r="AY94" s="77" t="n"/>
      <c r="AZ94" s="77" t="n"/>
      <c r="BA94" s="77" t="n"/>
      <c r="BB94" s="77" t="n"/>
      <c r="BC94" s="77" t="n"/>
      <c r="BD94" s="77" t="n"/>
      <c r="BE94" s="77" t="n"/>
      <c r="BF94" s="77" t="n"/>
    </row>
    <row r="95" s="160">
      <c r="D95" t="inlineStr">
        <is>
          <t>3.6.1. 登録イベント</t>
        </is>
      </c>
    </row>
    <row r="96" s="160">
      <c r="E96" s="26" t="inlineStr">
        <is>
          <t>(1) バリデーション処理</t>
        </is>
      </c>
      <c r="F96" s="26" t="n"/>
    </row>
    <row r="97" s="160">
      <c r="E97" s="26" t="n"/>
      <c r="F97" s="26" t="n"/>
    </row>
    <row r="98" s="160">
      <c r="E98" s="26" t="n"/>
      <c r="F98" s="26" t="inlineStr">
        <is>
          <t>「2. WA1020101(プロジェクト登録画面) &gt; 2.6.5. 確認イベント &gt; (1) バリデーション処理」と同様のバリデーションを行う。</t>
        </is>
      </c>
    </row>
    <row r="99" s="160"/>
    <row r="100" s="160">
      <c r="E100" s="26" t="n"/>
      <c r="F100" t="inlineStr">
        <is>
          <t>上記バリデーションにおいて一箇所でもエラーが発生した場合、プロジェクト登録画面に指摘内容を表示し、後続の処理は実施しない。</t>
        </is>
      </c>
    </row>
    <row r="101">
      <c r="E101" s="29" t="n"/>
      <c r="F101" s="29" t="n"/>
    </row>
    <row r="102"/>
    <row r="103"/>
    <row r="104">
      <c r="E104" t="inlineStr">
        <is>
          <t>(2) DBアクセス（登録、更新処理）</t>
        </is>
      </c>
    </row>
    <row r="105"/>
    <row r="106">
      <c r="F106" t="inlineStr">
        <is>
          <t>表示内容をデータベースに登録する。登録仕様については下記の通り。</t>
        </is>
      </c>
    </row>
    <row r="107"/>
    <row r="108">
      <c r="F108" t="inlineStr">
        <is>
          <t>プロジェクトテーブル</t>
        </is>
      </c>
    </row>
    <row r="109" ht="12" customHeight="1" s="160"/>
    <row r="110" ht="12" customHeight="1" s="160">
      <c r="G110" s="239" t="inlineStr">
        <is>
          <t>No.</t>
        </is>
      </c>
      <c r="H110" s="239" t="inlineStr">
        <is>
          <t>出力項目名</t>
        </is>
      </c>
      <c r="I110" s="427" t="n"/>
      <c r="J110" s="427" t="n"/>
      <c r="K110" s="427" t="n"/>
      <c r="L110" s="427" t="n"/>
      <c r="M110" s="428" t="n"/>
      <c r="N110" s="479" t="inlineStr">
        <is>
          <t>出力情報</t>
        </is>
      </c>
      <c r="O110" s="365" t="n"/>
      <c r="P110" s="365" t="n"/>
      <c r="Q110" s="365" t="n"/>
      <c r="R110" s="365" t="n"/>
      <c r="S110" s="365" t="n"/>
      <c r="T110" s="365" t="n"/>
      <c r="U110" s="365" t="n"/>
      <c r="V110" s="365" t="n"/>
      <c r="W110" s="365" t="n"/>
      <c r="X110" s="366" t="n"/>
      <c r="Y110" s="239" t="inlineStr">
        <is>
          <t>編集仕様</t>
        </is>
      </c>
      <c r="Z110" s="427" t="n"/>
      <c r="AA110" s="427" t="n"/>
      <c r="AB110" s="427" t="n"/>
      <c r="AC110" s="427" t="n"/>
      <c r="AD110" s="428" t="n"/>
      <c r="AE110" s="239" t="inlineStr">
        <is>
          <t>備考</t>
        </is>
      </c>
      <c r="AF110" s="427" t="n"/>
      <c r="AG110" s="427" t="n"/>
      <c r="AH110" s="428" t="n"/>
    </row>
    <row r="111" ht="12" customHeight="1" s="160">
      <c r="G111" s="465" t="n"/>
      <c r="H111" s="435" t="n"/>
      <c r="I111" s="436" t="n"/>
      <c r="J111" s="436" t="n"/>
      <c r="K111" s="436" t="n"/>
      <c r="L111" s="436" t="n"/>
      <c r="M111" s="437" t="n"/>
      <c r="N111" s="479" t="inlineStr">
        <is>
          <t>情報取得元</t>
        </is>
      </c>
      <c r="O111" s="365" t="n"/>
      <c r="P111" s="365" t="n"/>
      <c r="Q111" s="365" t="n"/>
      <c r="R111" s="366" t="n"/>
      <c r="S111" s="466" t="inlineStr">
        <is>
          <t>項目名</t>
        </is>
      </c>
      <c r="T111" s="365" t="n"/>
      <c r="U111" s="365" t="n"/>
      <c r="V111" s="365" t="n"/>
      <c r="W111" s="365" t="n"/>
      <c r="X111" s="366" t="n"/>
      <c r="Y111" s="435" t="n"/>
      <c r="Z111" s="436" t="n"/>
      <c r="AA111" s="436" t="n"/>
      <c r="AB111" s="436" t="n"/>
      <c r="AC111" s="436" t="n"/>
      <c r="AD111" s="437" t="n"/>
      <c r="AE111" s="435" t="n"/>
      <c r="AF111" s="436" t="n"/>
      <c r="AG111" s="436" t="n"/>
      <c r="AH111" s="437" t="n"/>
    </row>
    <row r="112" ht="12" customHeight="1" s="160">
      <c r="G112" s="106" t="n">
        <v>1</v>
      </c>
      <c r="H112" s="493" t="inlineStr">
        <is>
          <t>プロジェクトID</t>
        </is>
      </c>
      <c r="I112" s="365" t="n"/>
      <c r="J112" s="365" t="n"/>
      <c r="K112" s="365" t="n"/>
      <c r="L112" s="365" t="n"/>
      <c r="M112" s="366" t="n"/>
      <c r="N112" s="297" t="inlineStr">
        <is>
          <t>DBによる自動採番</t>
        </is>
      </c>
      <c r="O112" s="298" t="n"/>
      <c r="P112" s="298" t="n"/>
      <c r="Q112" s="298" t="n"/>
      <c r="R112" s="299" t="n"/>
      <c r="S112" s="493" t="inlineStr">
        <is>
          <t>プロジェクトID</t>
        </is>
      </c>
      <c r="T112" s="365" t="n"/>
      <c r="U112" s="365" t="n"/>
      <c r="V112" s="365" t="n"/>
      <c r="W112" s="365" t="n"/>
      <c r="X112" s="366" t="n"/>
      <c r="Y112" s="406" t="inlineStr">
        <is>
          <t>‐</t>
        </is>
      </c>
      <c r="Z112" s="365" t="n"/>
      <c r="AA112" s="365" t="n"/>
      <c r="AB112" s="365" t="n"/>
      <c r="AC112" s="365" t="n"/>
      <c r="AD112" s="366" t="n"/>
      <c r="AE112" s="406" t="n"/>
      <c r="AF112" s="365" t="n"/>
      <c r="AG112" s="365" t="n"/>
      <c r="AH112" s="366" t="n"/>
    </row>
    <row r="113" ht="12" customHeight="1" s="160">
      <c r="G113" s="106" t="n">
        <v>2</v>
      </c>
      <c r="H113" s="493" t="inlineStr">
        <is>
          <t>プロジェクト名</t>
        </is>
      </c>
      <c r="I113" s="365" t="n"/>
      <c r="J113" s="365" t="n"/>
      <c r="K113" s="365" t="n"/>
      <c r="L113" s="365" t="n"/>
      <c r="M113" s="366" t="n"/>
      <c r="N113" s="494" t="inlineStr">
        <is>
          <t>プロジェクト登録画面</t>
        </is>
      </c>
      <c r="O113" s="427" t="n"/>
      <c r="P113" s="427" t="n"/>
      <c r="Q113" s="427" t="n"/>
      <c r="R113" s="428" t="n"/>
      <c r="S113" s="493" t="inlineStr">
        <is>
          <t>PJ名</t>
        </is>
      </c>
      <c r="T113" s="365" t="n"/>
      <c r="U113" s="365" t="n"/>
      <c r="V113" s="365" t="n"/>
      <c r="W113" s="365" t="n"/>
      <c r="X113" s="366" t="n"/>
      <c r="Y113" s="406" t="inlineStr">
        <is>
          <t>‐</t>
        </is>
      </c>
      <c r="Z113" s="365" t="n"/>
      <c r="AA113" s="365" t="n"/>
      <c r="AB113" s="365" t="n"/>
      <c r="AC113" s="365" t="n"/>
      <c r="AD113" s="366" t="n"/>
      <c r="AE113" s="406" t="n"/>
      <c r="AF113" s="365" t="n"/>
      <c r="AG113" s="365" t="n"/>
      <c r="AH113" s="366" t="n"/>
    </row>
    <row r="114" ht="12" customHeight="1" s="160">
      <c r="G114" s="106" t="n">
        <v>3</v>
      </c>
      <c r="H114" s="493" t="inlineStr">
        <is>
          <t>プロジェクト種別</t>
        </is>
      </c>
      <c r="I114" s="365" t="n"/>
      <c r="J114" s="365" t="n"/>
      <c r="K114" s="365" t="n"/>
      <c r="L114" s="365" t="n"/>
      <c r="M114" s="366" t="n"/>
      <c r="N114" s="432" t="n"/>
      <c r="R114" s="433" t="n"/>
      <c r="S114" s="493" t="inlineStr">
        <is>
          <t>PJ種別</t>
        </is>
      </c>
      <c r="T114" s="365" t="n"/>
      <c r="U114" s="365" t="n"/>
      <c r="V114" s="365" t="n"/>
      <c r="W114" s="365" t="n"/>
      <c r="X114" s="366" t="n"/>
      <c r="Y114" s="406" t="inlineStr">
        <is>
          <t>‐</t>
        </is>
      </c>
      <c r="Z114" s="365" t="n"/>
      <c r="AA114" s="365" t="n"/>
      <c r="AB114" s="365" t="n"/>
      <c r="AC114" s="365" t="n"/>
      <c r="AD114" s="366" t="n"/>
      <c r="AE114" s="406" t="n"/>
      <c r="AF114" s="365" t="n"/>
      <c r="AG114" s="365" t="n"/>
      <c r="AH114" s="366" t="n"/>
    </row>
    <row r="115" ht="12.75" customHeight="1" s="160">
      <c r="G115" s="106" t="n">
        <v>4</v>
      </c>
      <c r="H115" s="493" t="inlineStr">
        <is>
          <t>プロジェクト分類</t>
        </is>
      </c>
      <c r="I115" s="365" t="n"/>
      <c r="J115" s="365" t="n"/>
      <c r="K115" s="365" t="n"/>
      <c r="L115" s="365" t="n"/>
      <c r="M115" s="366" t="n"/>
      <c r="N115" s="432" t="n"/>
      <c r="R115" s="433" t="n"/>
      <c r="S115" s="493" t="inlineStr">
        <is>
          <t>PJ分類</t>
        </is>
      </c>
      <c r="T115" s="365" t="n"/>
      <c r="U115" s="365" t="n"/>
      <c r="V115" s="365" t="n"/>
      <c r="W115" s="365" t="n"/>
      <c r="X115" s="366" t="n"/>
      <c r="Y115" s="406" t="inlineStr">
        <is>
          <t>‐</t>
        </is>
      </c>
      <c r="Z115" s="365" t="n"/>
      <c r="AA115" s="365" t="n"/>
      <c r="AB115" s="365" t="n"/>
      <c r="AC115" s="365" t="n"/>
      <c r="AD115" s="366" t="n"/>
      <c r="AE115" s="406" t="n"/>
      <c r="AF115" s="365" t="n"/>
      <c r="AG115" s="365" t="n"/>
      <c r="AH115" s="366" t="n"/>
    </row>
    <row r="116" ht="12" customHeight="1" s="160">
      <c r="G116" s="106" t="n">
        <v>5</v>
      </c>
      <c r="H116" s="495" t="inlineStr">
        <is>
          <t>プロジェクト開始日付</t>
        </is>
      </c>
      <c r="I116" s="365" t="n"/>
      <c r="J116" s="365" t="n"/>
      <c r="K116" s="365" t="n"/>
      <c r="L116" s="365" t="n"/>
      <c r="M116" s="366" t="n"/>
      <c r="N116" s="432" t="n"/>
      <c r="R116" s="433" t="n"/>
      <c r="S116" s="493" t="inlineStr">
        <is>
          <t>開始日</t>
        </is>
      </c>
      <c r="T116" s="365" t="n"/>
      <c r="U116" s="365" t="n"/>
      <c r="V116" s="365" t="n"/>
      <c r="W116" s="365" t="n"/>
      <c r="X116" s="366" t="n"/>
      <c r="Y116" s="406" t="inlineStr">
        <is>
          <t>‐</t>
        </is>
      </c>
      <c r="Z116" s="365" t="n"/>
      <c r="AA116" s="365" t="n"/>
      <c r="AB116" s="365" t="n"/>
      <c r="AC116" s="365" t="n"/>
      <c r="AD116" s="366" t="n"/>
      <c r="AE116" s="406" t="n"/>
      <c r="AF116" s="365" t="n"/>
      <c r="AG116" s="365" t="n"/>
      <c r="AH116" s="366" t="n"/>
    </row>
    <row r="117" ht="12" customHeight="1" s="160">
      <c r="G117" s="106" t="n">
        <v>6</v>
      </c>
      <c r="H117" s="495" t="inlineStr">
        <is>
          <t>プロジェクト終了日付</t>
        </is>
      </c>
      <c r="I117" s="365" t="n"/>
      <c r="J117" s="365" t="n"/>
      <c r="K117" s="365" t="n"/>
      <c r="L117" s="365" t="n"/>
      <c r="M117" s="366" t="n"/>
      <c r="N117" s="432" t="n"/>
      <c r="R117" s="433" t="n"/>
      <c r="S117" s="493" t="inlineStr">
        <is>
          <t>終了日付</t>
        </is>
      </c>
      <c r="T117" s="365" t="n"/>
      <c r="U117" s="365" t="n"/>
      <c r="V117" s="365" t="n"/>
      <c r="W117" s="365" t="n"/>
      <c r="X117" s="366" t="n"/>
      <c r="Y117" s="406" t="inlineStr">
        <is>
          <t>‐</t>
        </is>
      </c>
      <c r="Z117" s="365" t="n"/>
      <c r="AA117" s="365" t="n"/>
      <c r="AB117" s="365" t="n"/>
      <c r="AC117" s="365" t="n"/>
      <c r="AD117" s="366" t="n"/>
      <c r="AE117" s="406" t="n"/>
      <c r="AF117" s="365" t="n"/>
      <c r="AG117" s="365" t="n"/>
      <c r="AH117" s="366" t="n"/>
    </row>
    <row r="118" ht="12" customHeight="1" s="160">
      <c r="G118" s="106" t="n">
        <v>7</v>
      </c>
      <c r="H118" s="493" t="inlineStr">
        <is>
          <t>部門ID</t>
        </is>
      </c>
      <c r="I118" s="365" t="n"/>
      <c r="J118" s="365" t="n"/>
      <c r="K118" s="365" t="n"/>
      <c r="L118" s="365" t="n"/>
      <c r="M118" s="366" t="n"/>
      <c r="N118" s="432" t="n"/>
      <c r="R118" s="433" t="n"/>
      <c r="S118" s="495" t="inlineStr">
        <is>
          <t>部門</t>
        </is>
      </c>
      <c r="T118" s="365" t="n"/>
      <c r="U118" s="365" t="n"/>
      <c r="V118" s="365" t="n"/>
      <c r="W118" s="365" t="n"/>
      <c r="X118" s="366" t="n"/>
      <c r="Y118" s="406" t="inlineStr">
        <is>
          <t>‐</t>
        </is>
      </c>
      <c r="Z118" s="365" t="n"/>
      <c r="AA118" s="365" t="n"/>
      <c r="AB118" s="365" t="n"/>
      <c r="AC118" s="365" t="n"/>
      <c r="AD118" s="366" t="n"/>
      <c r="AE118" s="406" t="n"/>
      <c r="AF118" s="365" t="n"/>
      <c r="AG118" s="365" t="n"/>
      <c r="AH118" s="366" t="n"/>
    </row>
    <row r="119" ht="12" customHeight="1" s="160">
      <c r="G119" s="106" t="n">
        <v>8</v>
      </c>
      <c r="H119" s="493" t="inlineStr">
        <is>
          <t>顧客ID</t>
        </is>
      </c>
      <c r="I119" s="365" t="n"/>
      <c r="J119" s="365" t="n"/>
      <c r="K119" s="365" t="n"/>
      <c r="L119" s="365" t="n"/>
      <c r="M119" s="366" t="n"/>
      <c r="N119" s="432" t="n"/>
      <c r="R119" s="433" t="n"/>
      <c r="S119" s="495" t="inlineStr">
        <is>
          <t>顧客</t>
        </is>
      </c>
      <c r="T119" s="365" t="n"/>
      <c r="U119" s="365" t="n"/>
      <c r="V119" s="365" t="n"/>
      <c r="W119" s="365" t="n"/>
      <c r="X119" s="366" t="n"/>
      <c r="Y119" s="406" t="inlineStr">
        <is>
          <t>‐</t>
        </is>
      </c>
      <c r="Z119" s="365" t="n"/>
      <c r="AA119" s="365" t="n"/>
      <c r="AB119" s="365" t="n"/>
      <c r="AC119" s="365" t="n"/>
      <c r="AD119" s="366" t="n"/>
      <c r="AE119" s="406" t="n"/>
      <c r="AF119" s="365" t="n"/>
      <c r="AG119" s="365" t="n"/>
      <c r="AH119" s="366" t="n"/>
    </row>
    <row r="120" ht="39.95" customHeight="1" s="160">
      <c r="G120" s="106" t="n">
        <v>9</v>
      </c>
      <c r="H120" s="493" t="inlineStr">
        <is>
          <t>プロジェクトマネージャー</t>
        </is>
      </c>
      <c r="I120" s="365" t="n"/>
      <c r="J120" s="365" t="n"/>
      <c r="K120" s="365" t="n"/>
      <c r="L120" s="365" t="n"/>
      <c r="M120" s="366" t="n"/>
      <c r="N120" s="432" t="n"/>
      <c r="R120" s="433" t="n"/>
      <c r="S120" s="493" t="inlineStr">
        <is>
          <t>PM</t>
        </is>
      </c>
      <c r="T120" s="365" t="n"/>
      <c r="U120" s="365" t="n"/>
      <c r="V120" s="365" t="n"/>
      <c r="W120" s="365" t="n"/>
      <c r="X120" s="366" t="n"/>
      <c r="Y120" s="406" t="inlineStr">
        <is>
          <t>‐</t>
        </is>
      </c>
      <c r="Z120" s="365" t="n"/>
      <c r="AA120" s="365" t="n"/>
      <c r="AB120" s="365" t="n"/>
      <c r="AC120" s="365" t="n"/>
      <c r="AD120" s="366" t="n"/>
      <c r="AE120" s="406" t="n"/>
      <c r="AF120" s="365" t="n"/>
      <c r="AG120" s="365" t="n"/>
      <c r="AH120" s="366" t="n"/>
    </row>
    <row r="121" ht="12" customHeight="1" s="160">
      <c r="G121" s="106" t="n">
        <v>10</v>
      </c>
      <c r="H121" s="493" t="inlineStr">
        <is>
          <t>プロジェクトリーダー</t>
        </is>
      </c>
      <c r="I121" s="365" t="n"/>
      <c r="J121" s="365" t="n"/>
      <c r="K121" s="365" t="n"/>
      <c r="L121" s="365" t="n"/>
      <c r="M121" s="366" t="n"/>
      <c r="N121" s="432" t="n"/>
      <c r="R121" s="433" t="n"/>
      <c r="S121" s="493" t="inlineStr">
        <is>
          <t>PL</t>
        </is>
      </c>
      <c r="T121" s="365" t="n"/>
      <c r="U121" s="365" t="n"/>
      <c r="V121" s="365" t="n"/>
      <c r="W121" s="365" t="n"/>
      <c r="X121" s="366" t="n"/>
      <c r="Y121" s="406" t="inlineStr">
        <is>
          <t>‐</t>
        </is>
      </c>
      <c r="Z121" s="365" t="n"/>
      <c r="AA121" s="365" t="n"/>
      <c r="AB121" s="365" t="n"/>
      <c r="AC121" s="365" t="n"/>
      <c r="AD121" s="366" t="n"/>
      <c r="AE121" s="406" t="n"/>
      <c r="AF121" s="365" t="n"/>
      <c r="AG121" s="365" t="n"/>
      <c r="AH121" s="366" t="n"/>
    </row>
    <row r="122" ht="12" customHeight="1" s="160">
      <c r="G122" s="106" t="n">
        <v>11</v>
      </c>
      <c r="H122" s="495" t="inlineStr">
        <is>
          <t>備考</t>
        </is>
      </c>
      <c r="I122" s="365" t="n"/>
      <c r="J122" s="365" t="n"/>
      <c r="K122" s="365" t="n"/>
      <c r="L122" s="365" t="n"/>
      <c r="M122" s="366" t="n"/>
      <c r="N122" s="432" t="n"/>
      <c r="R122" s="433" t="n"/>
      <c r="S122" s="495" t="inlineStr">
        <is>
          <t>備考</t>
        </is>
      </c>
      <c r="T122" s="365" t="n"/>
      <c r="U122" s="365" t="n"/>
      <c r="V122" s="365" t="n"/>
      <c r="W122" s="365" t="n"/>
      <c r="X122" s="366" t="n"/>
      <c r="Y122" s="406" t="inlineStr">
        <is>
          <t>‐</t>
        </is>
      </c>
      <c r="Z122" s="365" t="n"/>
      <c r="AA122" s="365" t="n"/>
      <c r="AB122" s="365" t="n"/>
      <c r="AC122" s="365" t="n"/>
      <c r="AD122" s="366" t="n"/>
      <c r="AE122" s="406" t="n"/>
      <c r="AF122" s="365" t="n"/>
      <c r="AG122" s="365" t="n"/>
      <c r="AH122" s="366" t="n"/>
    </row>
    <row r="123" ht="12" customHeight="1" s="160">
      <c r="G123" s="106" t="n">
        <v>12</v>
      </c>
      <c r="H123" s="495" t="inlineStr">
        <is>
          <t>売上高</t>
        </is>
      </c>
      <c r="I123" s="365" t="n"/>
      <c r="J123" s="365" t="n"/>
      <c r="K123" s="365" t="n"/>
      <c r="L123" s="365" t="n"/>
      <c r="M123" s="366" t="n"/>
      <c r="N123" s="435" t="n"/>
      <c r="O123" s="436" t="n"/>
      <c r="P123" s="436" t="n"/>
      <c r="Q123" s="436" t="n"/>
      <c r="R123" s="437" t="n"/>
      <c r="S123" s="495" t="inlineStr">
        <is>
          <t>売上高</t>
        </is>
      </c>
      <c r="T123" s="365" t="n"/>
      <c r="U123" s="365" t="n"/>
      <c r="V123" s="365" t="n"/>
      <c r="W123" s="365" t="n"/>
      <c r="X123" s="366" t="n"/>
      <c r="Y123" s="406" t="inlineStr">
        <is>
          <t>‐</t>
        </is>
      </c>
      <c r="Z123" s="365" t="n"/>
      <c r="AA123" s="365" t="n"/>
      <c r="AB123" s="365" t="n"/>
      <c r="AC123" s="365" t="n"/>
      <c r="AD123" s="366" t="n"/>
      <c r="AE123" s="406" t="n"/>
      <c r="AF123" s="365" t="n"/>
      <c r="AG123" s="365" t="n"/>
      <c r="AH123" s="366" t="n"/>
    </row>
    <row r="124" ht="12" customHeight="1" s="160">
      <c r="G124" s="106" t="n">
        <v>13</v>
      </c>
      <c r="H124" s="493" t="inlineStr">
        <is>
          <t>バージョン番号</t>
        </is>
      </c>
      <c r="I124" s="365" t="n"/>
      <c r="J124" s="365" t="n"/>
      <c r="K124" s="365" t="n"/>
      <c r="L124" s="365" t="n"/>
      <c r="M124" s="366" t="n"/>
      <c r="N124" s="135" t="inlineStr">
        <is>
          <t>-</t>
        </is>
      </c>
      <c r="O124" s="127" t="n"/>
      <c r="P124" s="127" t="n"/>
      <c r="Q124" s="127" t="n"/>
      <c r="R124" s="128" t="n"/>
      <c r="S124" s="493" t="inlineStr">
        <is>
          <t>-</t>
        </is>
      </c>
      <c r="T124" s="365" t="n"/>
      <c r="U124" s="365" t="n"/>
      <c r="V124" s="365" t="n"/>
      <c r="W124" s="365" t="n"/>
      <c r="X124" s="366" t="n"/>
      <c r="Y124" s="268" t="inlineStr">
        <is>
          <t>「1」固定</t>
        </is>
      </c>
      <c r="Z124" s="365" t="n"/>
      <c r="AA124" s="365" t="n"/>
      <c r="AB124" s="365" t="n"/>
      <c r="AC124" s="365" t="n"/>
      <c r="AD124" s="366" t="n"/>
      <c r="AE124" s="406" t="n"/>
      <c r="AF124" s="365" t="n"/>
      <c r="AG124" s="365" t="n"/>
      <c r="AH124" s="366" t="n"/>
    </row>
    <row r="125" ht="12" customHeight="1" s="160"/>
    <row r="126"/>
    <row r="127">
      <c r="E127" s="16" t="inlineStr">
        <is>
          <t>(3) 表示処理</t>
        </is>
      </c>
    </row>
    <row r="128"/>
    <row r="129">
      <c r="F129" t="inlineStr">
        <is>
          <t>プロジェクト登録完了画面を表示する。画面レイアウト、表示項目については「4. プロジェクト登録完了画面」を参照。</t>
        </is>
      </c>
    </row>
    <row r="130"/>
    <row r="131"/>
    <row r="132">
      <c r="D132" t="inlineStr">
        <is>
          <t>3.6.2. 戻るイベント</t>
        </is>
      </c>
    </row>
    <row r="133"/>
    <row r="134">
      <c r="E134" s="16" t="inlineStr">
        <is>
          <t>(1) 表示処理</t>
        </is>
      </c>
    </row>
    <row r="135"/>
    <row r="136">
      <c r="F136" t="inlineStr">
        <is>
          <t>当画面に表示していた内容をプロジェクト登録画面に表示する。画面レイアウト、表示項目については「2. プロジェクト登録画面」を参照。</t>
        </is>
      </c>
    </row>
  </sheetData>
  <mergeCells count="294">
    <mergeCell ref="K80:N81"/>
    <mergeCell ref="U60:Y60"/>
    <mergeCell ref="S117:X117"/>
    <mergeCell ref="M53:T53"/>
    <mergeCell ref="U69:Y69"/>
    <mergeCell ref="E61:H61"/>
    <mergeCell ref="N42:P42"/>
    <mergeCell ref="S1:Z3"/>
    <mergeCell ref="M68:T68"/>
    <mergeCell ref="U59:Y59"/>
    <mergeCell ref="Z49:AB50"/>
    <mergeCell ref="M55:T55"/>
    <mergeCell ref="AL65:AP65"/>
    <mergeCell ref="M52:T52"/>
    <mergeCell ref="S116:X116"/>
    <mergeCell ref="H115:M115"/>
    <mergeCell ref="Z68:AB68"/>
    <mergeCell ref="R88:Y88"/>
    <mergeCell ref="U61:Y61"/>
    <mergeCell ref="Y119:AD119"/>
    <mergeCell ref="Z67:AB67"/>
    <mergeCell ref="S118:X118"/>
    <mergeCell ref="AD68:AG68"/>
    <mergeCell ref="R90:Y90"/>
    <mergeCell ref="E62:H62"/>
    <mergeCell ref="E71:H71"/>
    <mergeCell ref="AL57:AP57"/>
    <mergeCell ref="Z60:AB60"/>
    <mergeCell ref="V82:AH82"/>
    <mergeCell ref="AL66:AP66"/>
    <mergeCell ref="AD67:AG67"/>
    <mergeCell ref="H124:M124"/>
    <mergeCell ref="Z69:AB69"/>
    <mergeCell ref="M75:T75"/>
    <mergeCell ref="AL53:AP53"/>
    <mergeCell ref="E64:H64"/>
    <mergeCell ref="Z59:AB59"/>
    <mergeCell ref="E73:H73"/>
    <mergeCell ref="AD60:AG60"/>
    <mergeCell ref="E48:AC48"/>
    <mergeCell ref="AD69:AG69"/>
    <mergeCell ref="AL68:AP68"/>
    <mergeCell ref="U71:Y71"/>
    <mergeCell ref="E63:H63"/>
    <mergeCell ref="U58:Y58"/>
    <mergeCell ref="AL52:AP52"/>
    <mergeCell ref="AE120:AH120"/>
    <mergeCell ref="Z55:AB55"/>
    <mergeCell ref="I66:L66"/>
    <mergeCell ref="T81:U81"/>
    <mergeCell ref="H110:M111"/>
    <mergeCell ref="I58:L58"/>
    <mergeCell ref="I53:L53"/>
    <mergeCell ref="M57:T57"/>
    <mergeCell ref="E65:H65"/>
    <mergeCell ref="AA2:AB2"/>
    <mergeCell ref="U73:Y73"/>
    <mergeCell ref="AE88:AH88"/>
    <mergeCell ref="H113:M113"/>
    <mergeCell ref="Z70:AB70"/>
    <mergeCell ref="M72:T72"/>
    <mergeCell ref="E74:H74"/>
    <mergeCell ref="O1:R3"/>
    <mergeCell ref="H118:M118"/>
    <mergeCell ref="A2:D2"/>
    <mergeCell ref="U63:Y63"/>
    <mergeCell ref="E88:J88"/>
    <mergeCell ref="I68:L68"/>
    <mergeCell ref="E82:J82"/>
    <mergeCell ref="Z72:AB72"/>
    <mergeCell ref="M56:T56"/>
    <mergeCell ref="S120:X120"/>
    <mergeCell ref="M71:T71"/>
    <mergeCell ref="AG2:AI2"/>
    <mergeCell ref="AD54:AG54"/>
    <mergeCell ref="I52:L52"/>
    <mergeCell ref="Q43:U43"/>
    <mergeCell ref="M58:T58"/>
    <mergeCell ref="T82:U82"/>
    <mergeCell ref="Z62:AB62"/>
    <mergeCell ref="Y123:AD123"/>
    <mergeCell ref="Z56:AB56"/>
    <mergeCell ref="Z71:AB71"/>
    <mergeCell ref="Z58:AB58"/>
    <mergeCell ref="Q42:U42"/>
    <mergeCell ref="AC2:AF2"/>
    <mergeCell ref="AE124:AH124"/>
    <mergeCell ref="S112:X112"/>
    <mergeCell ref="E75:H75"/>
    <mergeCell ref="Z64:AB64"/>
    <mergeCell ref="M70:T70"/>
    <mergeCell ref="AE110:AH111"/>
    <mergeCell ref="AD71:AG71"/>
    <mergeCell ref="Z73:AB73"/>
    <mergeCell ref="AL70:AP70"/>
    <mergeCell ref="AD58:AG58"/>
    <mergeCell ref="Y124:AD124"/>
    <mergeCell ref="M54:T54"/>
    <mergeCell ref="AD73:AG73"/>
    <mergeCell ref="E67:H67"/>
    <mergeCell ref="R89:Y89"/>
    <mergeCell ref="S124:X124"/>
    <mergeCell ref="N113:R123"/>
    <mergeCell ref="I61:L61"/>
    <mergeCell ref="AD63:AG63"/>
    <mergeCell ref="H120:M120"/>
    <mergeCell ref="AL56:AP56"/>
    <mergeCell ref="I70:L70"/>
    <mergeCell ref="U72:Y72"/>
    <mergeCell ref="I57:L57"/>
    <mergeCell ref="AD59:AG59"/>
    <mergeCell ref="H116:M116"/>
    <mergeCell ref="I54:L54"/>
    <mergeCell ref="Y110:AD111"/>
    <mergeCell ref="I72:L72"/>
    <mergeCell ref="U62:Y62"/>
    <mergeCell ref="M49:T50"/>
    <mergeCell ref="AC49:AC50"/>
    <mergeCell ref="U54:Y54"/>
    <mergeCell ref="S119:X119"/>
    <mergeCell ref="Y112:AD112"/>
    <mergeCell ref="AG1:AI1"/>
    <mergeCell ref="M61:T61"/>
    <mergeCell ref="I56:L56"/>
    <mergeCell ref="U55:Y55"/>
    <mergeCell ref="I71:L71"/>
    <mergeCell ref="V80:AH81"/>
    <mergeCell ref="D48:D50"/>
    <mergeCell ref="M62:T62"/>
    <mergeCell ref="U64:Y64"/>
    <mergeCell ref="V83:AH83"/>
    <mergeCell ref="AL58:AP58"/>
    <mergeCell ref="Z61:AB61"/>
    <mergeCell ref="Z75:AB75"/>
    <mergeCell ref="Y114:AD114"/>
    <mergeCell ref="AC1:AF1"/>
    <mergeCell ref="E2:N2"/>
    <mergeCell ref="E80:J81"/>
    <mergeCell ref="AE119:AH119"/>
    <mergeCell ref="I49:L50"/>
    <mergeCell ref="V43:AC43"/>
    <mergeCell ref="AL60:AP60"/>
    <mergeCell ref="S111:X111"/>
    <mergeCell ref="AL69:AP69"/>
    <mergeCell ref="AD61:AG61"/>
    <mergeCell ref="Y113:AD113"/>
    <mergeCell ref="AE112:AH112"/>
    <mergeCell ref="K82:N82"/>
    <mergeCell ref="M59:T59"/>
    <mergeCell ref="V42:AC42"/>
    <mergeCell ref="D80:D81"/>
    <mergeCell ref="AL59:AP59"/>
    <mergeCell ref="U65:Y65"/>
    <mergeCell ref="AD72:AG72"/>
    <mergeCell ref="U74:Y74"/>
    <mergeCell ref="I59:L59"/>
    <mergeCell ref="E90:J90"/>
    <mergeCell ref="E66:H66"/>
    <mergeCell ref="AE114:AH114"/>
    <mergeCell ref="M64:T64"/>
    <mergeCell ref="I60:L60"/>
    <mergeCell ref="E53:H53"/>
    <mergeCell ref="AD62:AG62"/>
    <mergeCell ref="M73:T73"/>
    <mergeCell ref="AD56:AG56"/>
    <mergeCell ref="I69:L69"/>
    <mergeCell ref="I74:L74"/>
    <mergeCell ref="M60:T60"/>
    <mergeCell ref="AL61:AP61"/>
    <mergeCell ref="K83:N83"/>
    <mergeCell ref="AE113:AH113"/>
    <mergeCell ref="E68:H68"/>
    <mergeCell ref="AG3:AI3"/>
    <mergeCell ref="U57:Y57"/>
    <mergeCell ref="E55:H55"/>
    <mergeCell ref="AD64:AG64"/>
    <mergeCell ref="T83:U83"/>
    <mergeCell ref="U66:Y66"/>
    <mergeCell ref="E52:H52"/>
    <mergeCell ref="A1:D1"/>
    <mergeCell ref="Z63:AB63"/>
    <mergeCell ref="U53:Y53"/>
    <mergeCell ref="M65:T65"/>
    <mergeCell ref="N111:R111"/>
    <mergeCell ref="AE115:AH115"/>
    <mergeCell ref="S123:X123"/>
    <mergeCell ref="M74:T74"/>
    <mergeCell ref="U75:Y75"/>
    <mergeCell ref="AL72:AP72"/>
    <mergeCell ref="AC3:AF3"/>
    <mergeCell ref="U68:Y68"/>
    <mergeCell ref="Z65:AB65"/>
    <mergeCell ref="AL62:AP62"/>
    <mergeCell ref="S113:X113"/>
    <mergeCell ref="AL71:AP71"/>
    <mergeCell ref="Z74:AB74"/>
    <mergeCell ref="AE117:AH117"/>
    <mergeCell ref="E43:M43"/>
    <mergeCell ref="U52:Y52"/>
    <mergeCell ref="AE122:AH122"/>
    <mergeCell ref="E1:N1"/>
    <mergeCell ref="Z88:AD88"/>
    <mergeCell ref="AL64:AP64"/>
    <mergeCell ref="S115:X115"/>
    <mergeCell ref="Y117:AD117"/>
    <mergeCell ref="AD74:AG74"/>
    <mergeCell ref="E42:M42"/>
    <mergeCell ref="AL51:AP51"/>
    <mergeCell ref="AL73:AP73"/>
    <mergeCell ref="AL54:AP54"/>
    <mergeCell ref="Z57:AB57"/>
    <mergeCell ref="Y118:AD118"/>
    <mergeCell ref="Z90:AD90"/>
    <mergeCell ref="M63:T63"/>
    <mergeCell ref="I62:L62"/>
    <mergeCell ref="H121:M121"/>
    <mergeCell ref="Z66:AB66"/>
    <mergeCell ref="AL63:AP63"/>
    <mergeCell ref="AL50:AP50"/>
    <mergeCell ref="Z53:AB53"/>
    <mergeCell ref="S122:X122"/>
    <mergeCell ref="H117:M117"/>
    <mergeCell ref="E70:H70"/>
    <mergeCell ref="AE118:AH118"/>
    <mergeCell ref="I64:L64"/>
    <mergeCell ref="E57:H57"/>
    <mergeCell ref="H123:M123"/>
    <mergeCell ref="AD66:AG66"/>
    <mergeCell ref="I73:L73"/>
    <mergeCell ref="AD75:AG75"/>
    <mergeCell ref="AL74:AP74"/>
    <mergeCell ref="E54:H54"/>
    <mergeCell ref="AD53:AG53"/>
    <mergeCell ref="AA1:AB1"/>
    <mergeCell ref="M67:T67"/>
    <mergeCell ref="E72:H72"/>
    <mergeCell ref="N110:X110"/>
    <mergeCell ref="H119:M119"/>
    <mergeCell ref="Z52:AB52"/>
    <mergeCell ref="I63:L63"/>
    <mergeCell ref="AE89:AH89"/>
    <mergeCell ref="U70:Y70"/>
    <mergeCell ref="H114:M114"/>
    <mergeCell ref="AD55:AG55"/>
    <mergeCell ref="E56:H56"/>
    <mergeCell ref="E89:J89"/>
    <mergeCell ref="M69:T69"/>
    <mergeCell ref="AD52:AG52"/>
    <mergeCell ref="E58:H58"/>
    <mergeCell ref="I65:L65"/>
    <mergeCell ref="E3:N3"/>
    <mergeCell ref="AL75:AP75"/>
    <mergeCell ref="E49:H50"/>
    <mergeCell ref="AE90:AH90"/>
    <mergeCell ref="O80:O81"/>
    <mergeCell ref="K89:Q89"/>
    <mergeCell ref="U56:Y56"/>
    <mergeCell ref="Y120:AD120"/>
    <mergeCell ref="S114:X114"/>
    <mergeCell ref="K88:Q88"/>
    <mergeCell ref="AD48:AG50"/>
    <mergeCell ref="Y116:AD116"/>
    <mergeCell ref="Y122:AD122"/>
    <mergeCell ref="AE121:AH121"/>
    <mergeCell ref="G110:G111"/>
    <mergeCell ref="D51:AG51"/>
    <mergeCell ref="U49:Y50"/>
    <mergeCell ref="AL67:AP67"/>
    <mergeCell ref="K90:Q90"/>
    <mergeCell ref="I75:L75"/>
    <mergeCell ref="AA3:AB3"/>
    <mergeCell ref="E60:H60"/>
    <mergeCell ref="H112:M112"/>
    <mergeCell ref="Y121:AD121"/>
    <mergeCell ref="E69:H69"/>
    <mergeCell ref="Z54:AB54"/>
    <mergeCell ref="Y115:AD115"/>
    <mergeCell ref="AE123:AH123"/>
    <mergeCell ref="AL55:AP55"/>
    <mergeCell ref="A3:D3"/>
    <mergeCell ref="H122:M122"/>
    <mergeCell ref="AD65:AG65"/>
    <mergeCell ref="U67:Y67"/>
    <mergeCell ref="AD70:AG70"/>
    <mergeCell ref="E83:J83"/>
    <mergeCell ref="N43:P43"/>
    <mergeCell ref="E59:H59"/>
    <mergeCell ref="I55:L55"/>
    <mergeCell ref="AD57:AG57"/>
    <mergeCell ref="S121:X121"/>
    <mergeCell ref="AE116:AH116"/>
    <mergeCell ref="M66:T66"/>
    <mergeCell ref="I67:L67"/>
    <mergeCell ref="Z89:AD89"/>
  </mergeCells>
  <dataValidations disablePrompts="1" count="5">
    <dataValidation sqref="N43:P43" showDropDown="0" showInputMessage="1" showErrorMessage="1" allowBlank="1" type="list">
      <formula1>"-,○,×"</formula1>
    </dataValidation>
    <dataValidation sqref="P82:U83 AC52:AC75" showDropDown="0" showInputMessage="1" showErrorMessage="1" allowBlank="1" type="list">
      <formula1>"-,○"</formula1>
    </dataValidation>
    <dataValidation sqref="I52:I75" showDropDown="0" showInputMessage="1" showErrorMessage="1" allowBlank="1" type="list">
      <formula1>画面項目種類</formula1>
    </dataValidation>
    <dataValidation sqref="K82:N83" showDropDown="0" showInputMessage="1" showErrorMessage="1" allowBlank="1" type="list">
      <formula1>種別一覧</formula1>
    </dataValidation>
    <dataValidation sqref="O82:O83" showDropDown="0" showInputMessage="1" showErrorMessage="1" allowBlank="1" type="list">
      <formula1>"I,O"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3" manualBreakCount="3">
    <brk id="38" min="0" max="34" man="1"/>
    <brk id="76" min="0" max="34" man="1"/>
    <brk id="91" min="0" max="34" man="1"/>
  </rowBreaks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codeName="Sheet1">
    <outlinePr summaryBelow="1" summaryRight="1"/>
    <pageSetUpPr fitToPage="1"/>
  </sheetPr>
  <dimension ref="A1:BA72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7"/>
    <col width="4.83203125" customWidth="1" style="16" min="8" max="8"/>
    <col width="4.83203125" customWidth="1" style="16" min="9" max="39"/>
    <col width="4.83203125" customWidth="1" style="16" min="40" max="40"/>
    <col width="4.83203125" customWidth="1" style="16" min="41" max="16384"/>
  </cols>
  <sheetData>
    <row r="1" customFormat="1" s="11">
      <c r="A1" s="455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6">
        <f>IF(INDIRECT("変更履歴!AG1")&lt;&gt;"",INDIRECT("変更履歴!AG1"),"")</f>
        <v/>
      </c>
      <c r="AH1" s="365" t="n"/>
      <c r="AI1" s="366" t="n"/>
      <c r="AJ1" s="457" t="n"/>
    </row>
    <row r="2" customFormat="1" s="11">
      <c r="A2" s="455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6">
        <f>IF(INDIRECT("変更履歴!AG2")&lt;&gt;"",INDIRECT("変更履歴!AG2"),"")</f>
        <v/>
      </c>
      <c r="AH2" s="365" t="n"/>
      <c r="AI2" s="366" t="n"/>
      <c r="AJ2" s="457" t="n"/>
    </row>
    <row r="3" customFormat="1" s="11">
      <c r="A3" s="455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6">
        <f>IF(INDIRECT("変更履歴!AG3")&lt;&gt;"",INDIRECT("変更履歴!AG3"),"")</f>
        <v/>
      </c>
      <c r="AH3" s="365" t="n"/>
      <c r="AI3" s="366" t="n"/>
      <c r="AJ3" s="457" t="n"/>
    </row>
    <row r="4" ht="12" customHeight="1" s="160"/>
    <row r="5" ht="12" customHeight="1" s="160">
      <c r="B5" t="inlineStr">
        <is>
          <t>4. WA1020103(プロジェクト登録完了画面)</t>
        </is>
      </c>
    </row>
    <row r="6" ht="12" customHeight="1" s="160">
      <c r="B6" t="n"/>
      <c r="C6" s="16" t="inlineStr">
        <is>
          <t>4.1. 画面レイアウト</t>
        </is>
      </c>
    </row>
    <row r="7" ht="12" customHeight="1" s="160">
      <c r="B7" t="n"/>
    </row>
    <row r="8" ht="12" customHeight="1" s="160">
      <c r="B8" t="n"/>
      <c r="AK8" s="140" t="n"/>
    </row>
    <row r="9" ht="12" customHeight="1" s="160">
      <c r="B9" t="n"/>
    </row>
    <row r="10" ht="12" customHeight="1" s="160">
      <c r="B10" t="n"/>
    </row>
    <row r="11" ht="12" customHeight="1" s="160">
      <c r="B11" t="n"/>
    </row>
    <row r="12" ht="12" customHeight="1" s="160"/>
    <row r="13" ht="12" customHeight="1" s="160"/>
    <row r="14" ht="12" customHeight="1" s="160"/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>
      <c r="D34" s="103" t="n"/>
      <c r="E34" s="103" t="n"/>
      <c r="F34" s="103" t="n"/>
      <c r="G34" s="103" t="n"/>
      <c r="H34" s="103" t="n"/>
      <c r="I34" s="103" t="n"/>
      <c r="J34" s="103" t="n"/>
      <c r="K34" s="103" t="n"/>
      <c r="L34" s="103" t="n"/>
      <c r="M34" s="103" t="n"/>
      <c r="N34" s="103" t="n"/>
      <c r="O34" s="103" t="n"/>
      <c r="P34" s="103" t="n"/>
      <c r="Q34" s="103" t="n"/>
      <c r="R34" s="103" t="n"/>
      <c r="S34" s="103" t="n"/>
      <c r="T34" s="103" t="n"/>
      <c r="U34" s="103" t="n"/>
      <c r="V34" s="103" t="n"/>
      <c r="W34" s="103" t="n"/>
      <c r="X34" s="103" t="n"/>
      <c r="Y34" s="103" t="n"/>
      <c r="Z34" s="103" t="n"/>
      <c r="AA34" s="103" t="n"/>
      <c r="AB34" s="103" t="n"/>
      <c r="AC34" s="103" t="n"/>
      <c r="AD34" s="103" t="n"/>
      <c r="AE34" s="103" t="n"/>
      <c r="AF34" s="103" t="n"/>
      <c r="AG34" s="103" t="n"/>
      <c r="AH34" s="103" t="n"/>
    </row>
    <row r="35">
      <c r="C35" s="26" t="inlineStr">
        <is>
          <t>4.2. 一覧表示</t>
        </is>
      </c>
      <c r="D35" s="103" t="n"/>
      <c r="E35" s="103" t="n"/>
      <c r="G35" s="103" t="n"/>
      <c r="H35" s="103" t="n"/>
      <c r="I35" s="103" t="n"/>
      <c r="J35" s="103" t="n"/>
      <c r="K35" s="103" t="n"/>
      <c r="L35" s="103" t="n"/>
      <c r="M35" s="103" t="n"/>
      <c r="N35" s="103" t="n"/>
      <c r="O35" s="103" t="n"/>
      <c r="P35" s="103" t="n"/>
      <c r="Q35" s="103" t="n"/>
      <c r="R35" s="103" t="n"/>
      <c r="S35" s="103" t="n"/>
      <c r="T35" s="103" t="n"/>
      <c r="U35" s="103" t="n"/>
      <c r="V35" s="103" t="n"/>
      <c r="W35" s="103" t="n"/>
      <c r="X35" s="103" t="n"/>
      <c r="Y35" s="103" t="n"/>
      <c r="Z35" s="103" t="n"/>
      <c r="AA35" s="103" t="n"/>
      <c r="AB35" s="103" t="n"/>
      <c r="AC35" s="103" t="n"/>
      <c r="AD35" s="103" t="n"/>
      <c r="AE35" s="103" t="n"/>
      <c r="AF35" s="103" t="n"/>
      <c r="AG35" s="103" t="n"/>
      <c r="AH35" s="103" t="n"/>
    </row>
    <row r="36">
      <c r="C36" s="29" t="n"/>
      <c r="D36" s="103" t="n"/>
      <c r="E36" s="103" t="n"/>
      <c r="G36" s="103" t="n"/>
      <c r="H36" s="103" t="n"/>
      <c r="I36" s="103" t="n"/>
      <c r="J36" s="103" t="n"/>
      <c r="K36" s="103" t="n"/>
      <c r="L36" s="103" t="n"/>
      <c r="M36" s="103" t="n"/>
      <c r="N36" s="103" t="n"/>
      <c r="O36" s="103" t="n"/>
      <c r="P36" s="103" t="n"/>
      <c r="Q36" s="103" t="n"/>
      <c r="R36" s="103" t="n"/>
      <c r="S36" s="103" t="n"/>
      <c r="T36" s="103" t="n"/>
      <c r="U36" s="103" t="n"/>
      <c r="V36" s="103" t="n"/>
      <c r="W36" s="103" t="n"/>
      <c r="X36" s="103" t="n"/>
      <c r="Y36" s="103" t="n"/>
      <c r="Z36" s="103" t="n"/>
      <c r="AA36" s="103" t="n"/>
      <c r="AB36" s="103" t="n"/>
      <c r="AC36" s="103" t="n"/>
      <c r="AD36" s="103" t="n"/>
      <c r="AE36" s="103" t="n"/>
      <c r="AF36" s="103" t="n"/>
      <c r="AG36" s="103" t="n"/>
      <c r="AH36" s="103" t="n"/>
    </row>
    <row r="37">
      <c r="D37" s="97" t="inlineStr">
        <is>
          <t>No.</t>
        </is>
      </c>
      <c r="E37" s="392" t="inlineStr">
        <is>
          <t>領域名</t>
        </is>
      </c>
      <c r="F37" s="458" t="n"/>
      <c r="G37" s="458" t="n"/>
      <c r="H37" s="458" t="n"/>
      <c r="I37" s="458" t="n"/>
      <c r="J37" s="458" t="n"/>
      <c r="K37" s="458" t="n"/>
      <c r="L37" s="458" t="n"/>
      <c r="M37" s="459" t="n"/>
      <c r="N37" s="344" t="inlineStr">
        <is>
          <t>ページング有無</t>
        </is>
      </c>
      <c r="O37" s="458" t="n"/>
      <c r="P37" s="459" t="n"/>
      <c r="Q37" s="344" t="inlineStr">
        <is>
          <t>ソート条件</t>
        </is>
      </c>
      <c r="R37" s="458" t="n"/>
      <c r="S37" s="458" t="n"/>
      <c r="T37" s="458" t="n"/>
      <c r="U37" s="459" t="n"/>
      <c r="V37" s="392" t="inlineStr">
        <is>
          <t>備考</t>
        </is>
      </c>
      <c r="W37" s="458" t="n"/>
      <c r="X37" s="458" t="n"/>
      <c r="Y37" s="458" t="n"/>
      <c r="Z37" s="458" t="n"/>
      <c r="AA37" s="458" t="n"/>
      <c r="AB37" s="458" t="n"/>
      <c r="AC37" s="459" t="n"/>
      <c r="AD37" s="103" t="n"/>
      <c r="AE37" s="103" t="n"/>
      <c r="AF37" s="103" t="n"/>
      <c r="AG37" s="103" t="n"/>
      <c r="AH37" s="103" t="n"/>
    </row>
    <row r="38" ht="11.25" customHeight="1" s="160">
      <c r="D38" s="124" t="n">
        <v>1</v>
      </c>
      <c r="E38" s="354" t="inlineStr">
        <is>
          <t>-</t>
        </is>
      </c>
      <c r="F38" s="460" t="n"/>
      <c r="G38" s="460" t="n"/>
      <c r="H38" s="460" t="n"/>
      <c r="I38" s="460" t="n"/>
      <c r="J38" s="460" t="n"/>
      <c r="K38" s="460" t="n"/>
      <c r="L38" s="460" t="n"/>
      <c r="M38" s="461" t="n"/>
      <c r="N38" s="354" t="inlineStr">
        <is>
          <t>-</t>
        </is>
      </c>
      <c r="O38" s="460" t="n"/>
      <c r="P38" s="461" t="n"/>
      <c r="Q38" s="354" t="inlineStr">
        <is>
          <t>-</t>
        </is>
      </c>
      <c r="R38" s="460" t="n"/>
      <c r="S38" s="460" t="n"/>
      <c r="T38" s="460" t="n"/>
      <c r="U38" s="461" t="n"/>
      <c r="V38" s="354" t="n"/>
      <c r="W38" s="460" t="n"/>
      <c r="X38" s="460" t="n"/>
      <c r="Y38" s="460" t="n"/>
      <c r="Z38" s="460" t="n"/>
      <c r="AA38" s="460" t="n"/>
      <c r="AB38" s="460" t="n"/>
      <c r="AC38" s="461" t="n"/>
      <c r="AM38" s="29" t="n"/>
    </row>
    <row r="39" ht="11.25" customHeight="1" s="160">
      <c r="D39" s="103" t="n"/>
      <c r="E39" s="103" t="n"/>
      <c r="F39" s="103" t="n"/>
      <c r="G39" s="103" t="n"/>
      <c r="H39" s="103" t="n"/>
      <c r="I39" s="103" t="n"/>
      <c r="J39" s="103" t="n"/>
      <c r="K39" s="103" t="n"/>
      <c r="L39" s="103" t="n"/>
      <c r="M39" s="103" t="n"/>
      <c r="N39" s="103" t="n"/>
      <c r="O39" s="103" t="n"/>
      <c r="P39" s="103" t="n"/>
      <c r="Q39" s="103" t="n"/>
      <c r="R39" s="103" t="n"/>
      <c r="S39" s="103" t="n"/>
      <c r="T39" s="103" t="n"/>
      <c r="U39" s="103" t="n"/>
      <c r="V39" s="103" t="n"/>
      <c r="W39" s="103" t="n"/>
      <c r="X39" s="103" t="n"/>
      <c r="Y39" s="103" t="n"/>
      <c r="Z39" s="103" t="n"/>
      <c r="AA39" s="103" t="n"/>
      <c r="AB39" s="103" t="n"/>
      <c r="AC39" s="103" t="n"/>
      <c r="AM39" s="29" t="n"/>
    </row>
    <row r="40" ht="11.25" customHeight="1" s="160"/>
    <row r="41">
      <c r="C41" t="inlineStr">
        <is>
          <t>4.3. 画面項目定義</t>
        </is>
      </c>
      <c r="AK41" s="64" t="n"/>
      <c r="AL41" s="64" t="n"/>
      <c r="AM41" s="64" t="n"/>
      <c r="AN41" s="64" t="n"/>
      <c r="AO41" s="64" t="n"/>
      <c r="AP41" s="64" t="n"/>
      <c r="AQ41" s="64" t="n"/>
      <c r="AR41" s="64" t="n"/>
      <c r="AS41" s="64" t="n"/>
      <c r="AT41" s="64" t="n"/>
      <c r="AU41" s="64" t="n"/>
      <c r="AV41" s="64" t="n"/>
      <c r="AW41" s="64" t="n"/>
      <c r="AX41" s="64" t="n"/>
      <c r="AY41" s="64" t="n"/>
      <c r="AZ41" s="64" t="n"/>
      <c r="BA41" s="64" t="n"/>
    </row>
    <row r="42" customFormat="1" s="63">
      <c r="AC42" s="92" t="n"/>
      <c r="AD42" s="92" t="n"/>
      <c r="AE42" s="92" t="n"/>
      <c r="AF42" s="92" t="n"/>
      <c r="AG42" s="92" t="n"/>
      <c r="AH42" s="92" t="n"/>
      <c r="AI42" s="92" t="n"/>
      <c r="AJ42" s="92" t="n"/>
      <c r="AK42" s="92" t="n"/>
      <c r="AL42" s="92" t="n"/>
      <c r="AM42" s="92" t="n"/>
      <c r="AN42" s="92" t="n"/>
      <c r="AO42" s="92" t="n"/>
      <c r="AP42" s="92" t="n"/>
    </row>
    <row r="43" ht="11.25" customFormat="1" customHeight="1" s="64">
      <c r="D43" s="496" t="inlineStr">
        <is>
          <t>No.</t>
        </is>
      </c>
      <c r="E43" s="115" t="inlineStr">
        <is>
          <t>表示情報</t>
        </is>
      </c>
      <c r="F43" s="365" t="n"/>
      <c r="G43" s="365" t="n"/>
      <c r="H43" s="365" t="n"/>
      <c r="I43" s="365" t="n"/>
      <c r="J43" s="365" t="n"/>
      <c r="K43" s="365" t="n"/>
      <c r="L43" s="365" t="n"/>
      <c r="M43" s="365" t="n"/>
      <c r="N43" s="365" t="n"/>
      <c r="O43" s="365" t="n"/>
      <c r="P43" s="365" t="n"/>
      <c r="Q43" s="365" t="n"/>
      <c r="R43" s="365" t="n"/>
      <c r="S43" s="365" t="n"/>
      <c r="T43" s="365" t="n"/>
      <c r="U43" s="365" t="n"/>
      <c r="V43" s="365" t="n"/>
      <c r="W43" s="365" t="n"/>
      <c r="X43" s="365" t="n"/>
      <c r="Y43" s="365" t="n"/>
      <c r="Z43" s="365" t="n"/>
      <c r="AA43" s="365" t="n"/>
      <c r="AB43" s="365" t="n"/>
      <c r="AC43" s="366" t="n"/>
      <c r="AD43" s="239" t="inlineStr">
        <is>
          <t>ドメイン名</t>
        </is>
      </c>
      <c r="AE43" s="427" t="n"/>
      <c r="AF43" s="427" t="n"/>
      <c r="AG43" s="428" t="n"/>
      <c r="AH43" s="29" t="n"/>
      <c r="AI43" s="29" t="n"/>
      <c r="AK43" s="92" t="n"/>
      <c r="AL43" s="92" t="n"/>
    </row>
    <row r="44" ht="11.25" customFormat="1" customHeight="1" s="64">
      <c r="D44" s="462" t="n"/>
      <c r="E44" s="239" t="inlineStr">
        <is>
          <t>画面項目名</t>
        </is>
      </c>
      <c r="F44" s="427" t="n"/>
      <c r="G44" s="427" t="n"/>
      <c r="H44" s="428" t="n"/>
      <c r="I44" s="464" t="inlineStr">
        <is>
          <t>画面項目種別</t>
        </is>
      </c>
      <c r="J44" s="427" t="n"/>
      <c r="K44" s="427" t="n"/>
      <c r="L44" s="428" t="n"/>
      <c r="M44" s="464" t="inlineStr">
        <is>
          <t>情報取得元</t>
        </is>
      </c>
      <c r="N44" s="427" t="n"/>
      <c r="O44" s="427" t="n"/>
      <c r="P44" s="427" t="n"/>
      <c r="Q44" s="427" t="n"/>
      <c r="R44" s="427" t="n"/>
      <c r="S44" s="427" t="n"/>
      <c r="T44" s="428" t="n"/>
      <c r="U44" s="496" t="inlineStr">
        <is>
          <t>編集仕様</t>
        </is>
      </c>
      <c r="V44" s="427" t="n"/>
      <c r="W44" s="427" t="n"/>
      <c r="X44" s="427" t="n"/>
      <c r="Y44" s="428" t="n"/>
      <c r="Z44" s="496" t="inlineStr">
        <is>
          <t>初期値</t>
        </is>
      </c>
      <c r="AA44" s="427" t="n"/>
      <c r="AB44" s="428" t="n"/>
      <c r="AC44" s="239" t="inlineStr">
        <is>
          <t>必須</t>
        </is>
      </c>
      <c r="AD44" s="432" t="n"/>
      <c r="AG44" s="433" t="n"/>
      <c r="AH44" s="29" t="n"/>
      <c r="AI44" s="29" t="n"/>
      <c r="AK44" s="92" t="n"/>
      <c r="AL44" s="92" t="n"/>
    </row>
    <row r="45" customFormat="1" s="64">
      <c r="D45" s="465" t="n"/>
      <c r="E45" s="435" t="n"/>
      <c r="F45" s="436" t="n"/>
      <c r="G45" s="436" t="n"/>
      <c r="H45" s="437" t="n"/>
      <c r="I45" s="435" t="n"/>
      <c r="J45" s="436" t="n"/>
      <c r="K45" s="436" t="n"/>
      <c r="L45" s="437" t="n"/>
      <c r="M45" s="435" t="n"/>
      <c r="N45" s="436" t="n"/>
      <c r="O45" s="436" t="n"/>
      <c r="P45" s="436" t="n"/>
      <c r="Q45" s="436" t="n"/>
      <c r="R45" s="436" t="n"/>
      <c r="S45" s="436" t="n"/>
      <c r="T45" s="437" t="n"/>
      <c r="U45" s="435" t="n"/>
      <c r="V45" s="436" t="n"/>
      <c r="W45" s="436" t="n"/>
      <c r="X45" s="436" t="n"/>
      <c r="Y45" s="437" t="n"/>
      <c r="Z45" s="435" t="n"/>
      <c r="AA45" s="436" t="n"/>
      <c r="AB45" s="437" t="n"/>
      <c r="AC45" s="465" t="n"/>
      <c r="AD45" s="435" t="n"/>
      <c r="AE45" s="436" t="n"/>
      <c r="AF45" s="436" t="n"/>
      <c r="AG45" s="437" t="n"/>
      <c r="AH45" s="29" t="n"/>
      <c r="AI45" s="29" t="n"/>
      <c r="AK45" s="92" t="n"/>
      <c r="AL45" s="92" t="n"/>
    </row>
    <row r="46" ht="12" customHeight="1" s="160">
      <c r="D46" s="106" t="n">
        <v>1</v>
      </c>
      <c r="E46" s="406" t="inlineStr">
        <is>
          <t>完了メッセージ</t>
        </is>
      </c>
      <c r="F46" s="365" t="n"/>
      <c r="G46" s="365" t="n"/>
      <c r="H46" s="366" t="n"/>
      <c r="I46" s="405" t="inlineStr">
        <is>
          <t>label</t>
        </is>
      </c>
      <c r="J46" s="365" t="n"/>
      <c r="K46" s="365" t="n"/>
      <c r="L46" s="366" t="n"/>
      <c r="M46" s="268" t="inlineStr">
        <is>
          <t>-</t>
        </is>
      </c>
      <c r="N46" s="365" t="n"/>
      <c r="O46" s="365" t="n"/>
      <c r="P46" s="365" t="n"/>
      <c r="Q46" s="365" t="n"/>
      <c r="R46" s="365" t="n"/>
      <c r="S46" s="365" t="n"/>
      <c r="T46" s="366" t="n"/>
      <c r="U46" s="406" t="inlineStr">
        <is>
          <t>-</t>
        </is>
      </c>
      <c r="V46" s="365" t="n"/>
      <c r="W46" s="365" t="n"/>
      <c r="X46" s="365" t="n"/>
      <c r="Y46" s="366" t="n"/>
      <c r="Z46" s="485" t="inlineStr">
        <is>
          <t>-</t>
        </is>
      </c>
      <c r="AA46" s="365" t="n"/>
      <c r="AB46" s="366" t="n"/>
      <c r="AC46" s="370" t="inlineStr">
        <is>
          <t>-</t>
        </is>
      </c>
      <c r="AD46" s="325" t="inlineStr">
        <is>
          <t>-</t>
        </is>
      </c>
      <c r="AE46" s="260" t="n"/>
      <c r="AF46" s="260" t="n"/>
      <c r="AG46" s="261" t="n"/>
      <c r="AH46" s="103" t="n"/>
    </row>
    <row r="47" ht="11.25" customHeight="1" s="160">
      <c r="D47" s="95" t="n"/>
      <c r="E47" s="75" t="n"/>
      <c r="F47" s="75" t="n"/>
      <c r="G47" s="75" t="n"/>
      <c r="H47" s="75" t="n"/>
      <c r="I47" s="107" t="n"/>
      <c r="J47" s="107" t="n"/>
      <c r="K47" s="107" t="n"/>
      <c r="L47" s="107" t="n"/>
      <c r="M47" s="96" t="n"/>
      <c r="N47" s="96" t="n"/>
      <c r="O47" s="96" t="n"/>
      <c r="P47" s="96" t="n"/>
      <c r="Q47" s="96" t="n"/>
      <c r="R47" s="75" t="n"/>
      <c r="S47" s="75" t="n"/>
      <c r="T47" s="75" t="n"/>
      <c r="U47" s="99" t="n"/>
      <c r="V47" s="75" t="n"/>
      <c r="W47" s="75" t="n"/>
      <c r="X47" s="75" t="n"/>
      <c r="Y47" s="75" t="n"/>
      <c r="Z47" s="104" t="n"/>
      <c r="AA47" s="104" t="n"/>
      <c r="AB47" s="104" t="n"/>
      <c r="AC47" s="104" t="n"/>
      <c r="AD47" s="104" t="n"/>
      <c r="AE47" s="104" t="n"/>
      <c r="AF47" s="104" t="n"/>
      <c r="AG47" s="104" t="n"/>
      <c r="AH47" s="103" t="n"/>
      <c r="AJ47" s="117" t="n"/>
      <c r="AK47" s="117" t="n"/>
      <c r="AL47" s="117" t="n"/>
      <c r="AM47" s="117" t="n"/>
    </row>
    <row r="48">
      <c r="D48" s="64" t="n"/>
      <c r="E48" s="96" t="n"/>
      <c r="F48" s="96" t="n"/>
      <c r="G48" s="96" t="n"/>
      <c r="H48" s="96" t="n"/>
      <c r="I48" s="96" t="n"/>
      <c r="J48" s="96" t="n"/>
      <c r="K48" s="96" t="n"/>
      <c r="L48" s="96" t="n"/>
      <c r="M48" s="96" t="n"/>
      <c r="N48" s="96" t="n"/>
      <c r="O48" s="96" t="n"/>
      <c r="P48" s="96" t="n"/>
      <c r="Q48" s="96" t="n"/>
      <c r="R48" s="96" t="n"/>
      <c r="S48" s="96" t="n"/>
      <c r="T48" s="96" t="n"/>
      <c r="U48" s="96" t="n"/>
      <c r="V48" s="96" t="n"/>
      <c r="W48" s="96" t="n"/>
      <c r="X48" s="100" t="n"/>
      <c r="Y48" s="100" t="n"/>
      <c r="Z48" s="100" t="n"/>
      <c r="AA48" s="100" t="n"/>
      <c r="AB48" s="96" t="n"/>
      <c r="AC48" s="96" t="n"/>
      <c r="AD48" s="96" t="n"/>
      <c r="AE48" s="96" t="n"/>
      <c r="AF48" s="96" t="n"/>
      <c r="AG48" s="96" t="n"/>
      <c r="AH48" s="96" t="n"/>
      <c r="AI48" s="96" t="n"/>
      <c r="AJ48" s="96" t="n"/>
    </row>
    <row r="49">
      <c r="C49" s="16" t="inlineStr">
        <is>
          <t>4.4. 入出力一覧</t>
        </is>
      </c>
      <c r="D49" s="64" t="n"/>
      <c r="E49" s="96" t="n"/>
      <c r="F49" s="126" t="n"/>
      <c r="G49" s="96" t="n"/>
      <c r="H49" s="96" t="n"/>
      <c r="I49" s="96" t="n"/>
      <c r="J49" s="96" t="n"/>
      <c r="K49" s="96" t="n"/>
      <c r="L49" s="96" t="n"/>
      <c r="M49" s="96" t="n"/>
      <c r="N49" s="96" t="n"/>
      <c r="O49" s="96" t="n"/>
      <c r="P49" s="96" t="n"/>
      <c r="Q49" s="96" t="n"/>
      <c r="R49" s="96" t="n"/>
      <c r="S49" s="96" t="n"/>
      <c r="T49" s="96" t="n"/>
      <c r="U49" s="96" t="n"/>
      <c r="V49" s="96" t="n"/>
      <c r="W49" s="96" t="n"/>
      <c r="X49" s="100" t="n"/>
      <c r="Y49" s="100" t="n"/>
      <c r="Z49" s="100" t="n"/>
      <c r="AA49" s="100" t="n"/>
      <c r="AB49" s="96" t="n"/>
      <c r="AC49" s="96" t="n"/>
      <c r="AD49" s="96" t="n"/>
      <c r="AE49" s="96" t="n"/>
      <c r="AF49" s="96" t="n"/>
      <c r="AG49" s="96" t="n"/>
      <c r="AH49" s="96" t="n"/>
      <c r="AI49" s="96" t="n"/>
      <c r="AJ49" s="96" t="n"/>
    </row>
    <row r="50" ht="11.25" customHeight="1" s="160">
      <c r="AI50" s="96" t="n"/>
      <c r="AJ50" s="96" t="n"/>
    </row>
    <row r="51">
      <c r="D51" s="469" t="inlineStr">
        <is>
          <t>No.</t>
        </is>
      </c>
      <c r="E51" s="454" t="inlineStr">
        <is>
          <t>入出力名</t>
        </is>
      </c>
      <c r="F51" s="427" t="n"/>
      <c r="G51" s="427" t="n"/>
      <c r="H51" s="427" t="n"/>
      <c r="I51" s="427" t="n"/>
      <c r="J51" s="428" t="n"/>
      <c r="K51" s="454" t="inlineStr">
        <is>
          <t>種別</t>
        </is>
      </c>
      <c r="L51" s="427" t="n"/>
      <c r="M51" s="427" t="n"/>
      <c r="N51" s="428" t="n"/>
      <c r="O51" s="470" t="inlineStr">
        <is>
          <t>I/O</t>
        </is>
      </c>
      <c r="P51" s="108" t="inlineStr">
        <is>
          <t>DBアクセス種別</t>
        </is>
      </c>
      <c r="Q51" s="109" t="n"/>
      <c r="R51" s="109" t="n"/>
      <c r="S51" s="109" t="n"/>
      <c r="T51" s="109" t="n"/>
      <c r="U51" s="109" t="n"/>
      <c r="V51" s="454" t="inlineStr">
        <is>
          <t>備考</t>
        </is>
      </c>
      <c r="W51" s="427" t="n"/>
      <c r="X51" s="427" t="n"/>
      <c r="Y51" s="427" t="n"/>
      <c r="Z51" s="427" t="n"/>
      <c r="AA51" s="427" t="n"/>
      <c r="AB51" s="427" t="n"/>
      <c r="AC51" s="427" t="n"/>
      <c r="AD51" s="427" t="n"/>
      <c r="AE51" s="427" t="n"/>
      <c r="AF51" s="427" t="n"/>
      <c r="AG51" s="427" t="n"/>
      <c r="AH51" s="428" t="n"/>
    </row>
    <row r="52">
      <c r="D52" s="465" t="n"/>
      <c r="E52" s="435" t="n"/>
      <c r="F52" s="436" t="n"/>
      <c r="G52" s="436" t="n"/>
      <c r="H52" s="436" t="n"/>
      <c r="I52" s="436" t="n"/>
      <c r="J52" s="437" t="n"/>
      <c r="K52" s="435" t="n"/>
      <c r="L52" s="436" t="n"/>
      <c r="M52" s="436" t="n"/>
      <c r="N52" s="437" t="n"/>
      <c r="O52" s="465" t="n"/>
      <c r="P52" s="110" t="inlineStr">
        <is>
          <t>C</t>
        </is>
      </c>
      <c r="Q52" s="110" t="inlineStr">
        <is>
          <t>R</t>
        </is>
      </c>
      <c r="R52" s="110" t="inlineStr">
        <is>
          <t>U</t>
        </is>
      </c>
      <c r="S52" s="110" t="inlineStr">
        <is>
          <t>D</t>
        </is>
      </c>
      <c r="T52" s="110" t="inlineStr">
        <is>
          <t>ﾛｯｸ対象</t>
        </is>
      </c>
      <c r="U52" s="366" t="n"/>
      <c r="V52" s="435" t="n"/>
      <c r="W52" s="436" t="n"/>
      <c r="X52" s="436" t="n"/>
      <c r="Y52" s="436" t="n"/>
      <c r="Z52" s="436" t="n"/>
      <c r="AA52" s="436" t="n"/>
      <c r="AB52" s="436" t="n"/>
      <c r="AC52" s="436" t="n"/>
      <c r="AD52" s="436" t="n"/>
      <c r="AE52" s="436" t="n"/>
      <c r="AF52" s="436" t="n"/>
      <c r="AG52" s="436" t="n"/>
      <c r="AH52" s="437" t="n"/>
    </row>
    <row r="53">
      <c r="D53" s="111" t="n">
        <v>1</v>
      </c>
      <c r="E53" s="406" t="inlineStr">
        <is>
          <t>-</t>
        </is>
      </c>
      <c r="F53" s="365" t="n"/>
      <c r="G53" s="365" t="n"/>
      <c r="H53" s="365" t="n"/>
      <c r="I53" s="365" t="n"/>
      <c r="J53" s="366" t="n"/>
      <c r="K53" s="406" t="inlineStr">
        <is>
          <t>-</t>
        </is>
      </c>
      <c r="L53" s="365" t="n"/>
      <c r="M53" s="365" t="n"/>
      <c r="N53" s="366" t="n"/>
      <c r="O53" s="98" t="inlineStr">
        <is>
          <t>-</t>
        </is>
      </c>
      <c r="P53" s="370" t="inlineStr">
        <is>
          <t>-</t>
        </is>
      </c>
      <c r="Q53" s="370" t="inlineStr">
        <is>
          <t>-</t>
        </is>
      </c>
      <c r="R53" s="370" t="inlineStr">
        <is>
          <t>-</t>
        </is>
      </c>
      <c r="S53" s="370" t="inlineStr">
        <is>
          <t>-</t>
        </is>
      </c>
      <c r="T53" s="471" t="inlineStr">
        <is>
          <t>-</t>
        </is>
      </c>
      <c r="U53" s="366" t="n"/>
      <c r="V53" s="406" t="n"/>
      <c r="W53" s="365" t="n"/>
      <c r="X53" s="365" t="n"/>
      <c r="Y53" s="365" t="n"/>
      <c r="Z53" s="365" t="n"/>
      <c r="AA53" s="365" t="n"/>
      <c r="AB53" s="365" t="n"/>
      <c r="AC53" s="365" t="n"/>
      <c r="AD53" s="365" t="n"/>
      <c r="AE53" s="365" t="n"/>
      <c r="AF53" s="365" t="n"/>
      <c r="AG53" s="365" t="n"/>
      <c r="AH53" s="366" t="n"/>
    </row>
    <row r="54">
      <c r="D54" s="104" t="n"/>
      <c r="E54" s="104" t="n"/>
      <c r="F54" s="104" t="n"/>
      <c r="G54" s="104" t="n"/>
      <c r="H54" s="104" t="n"/>
      <c r="I54" s="104" t="n"/>
      <c r="J54" s="104" t="n"/>
      <c r="K54" s="104" t="n"/>
      <c r="L54" s="104" t="n"/>
      <c r="M54" s="104" t="n"/>
      <c r="N54" s="104" t="n"/>
      <c r="O54" s="104" t="n"/>
      <c r="P54" s="104" t="n"/>
      <c r="Q54" s="104" t="n"/>
      <c r="R54" s="104" t="n"/>
      <c r="S54" s="104" t="n"/>
      <c r="T54" s="104" t="n"/>
      <c r="U54" s="104" t="n"/>
      <c r="V54" s="104" t="n"/>
      <c r="W54" s="104" t="n"/>
      <c r="X54" s="104" t="n"/>
      <c r="Y54" s="104" t="n"/>
      <c r="Z54" s="104" t="n"/>
      <c r="AA54" s="104" t="n"/>
      <c r="AB54" s="104" t="n"/>
      <c r="AC54" s="104" t="n"/>
      <c r="AD54" s="104" t="n"/>
      <c r="AE54" s="104" t="n"/>
      <c r="AF54" s="104" t="n"/>
      <c r="AG54" s="104" t="n"/>
      <c r="AH54" s="104" t="n"/>
    </row>
    <row r="55">
      <c r="D55" s="318" t="n"/>
      <c r="E55" s="318" t="n"/>
      <c r="F55" s="318" t="n"/>
      <c r="G55" s="318" t="n"/>
      <c r="H55" s="318" t="n"/>
      <c r="I55" s="318" t="n"/>
      <c r="J55" s="318" t="n"/>
      <c r="K55" s="318" t="n"/>
      <c r="L55" s="318" t="n"/>
      <c r="M55" s="318" t="n"/>
      <c r="N55" s="318" t="n"/>
      <c r="O55" s="318" t="n"/>
      <c r="P55" s="318" t="n"/>
      <c r="Q55" s="318" t="n"/>
      <c r="R55" s="318" t="n"/>
      <c r="S55" s="318" t="n"/>
      <c r="T55" s="318" t="n"/>
      <c r="U55" s="318" t="n"/>
      <c r="V55" s="318" t="n"/>
      <c r="W55" s="318" t="n"/>
      <c r="X55" s="318" t="n"/>
      <c r="Y55" s="318" t="n"/>
      <c r="Z55" s="318" t="n"/>
      <c r="AA55" s="318" t="n"/>
      <c r="AB55" s="318" t="n"/>
      <c r="AC55" s="318" t="n"/>
      <c r="AD55" s="318" t="n"/>
      <c r="AE55" s="318" t="n"/>
      <c r="AF55" s="318" t="n"/>
      <c r="AG55" s="318" t="n"/>
      <c r="AH55" s="318" t="n"/>
    </row>
    <row r="56">
      <c r="C56" s="16" t="inlineStr">
        <is>
          <t>4.5. 画面イベント一覧</t>
        </is>
      </c>
    </row>
    <row r="57"/>
    <row r="58" ht="15" customHeight="1" s="160">
      <c r="D58" s="239" t="inlineStr">
        <is>
          <t>No.</t>
        </is>
      </c>
      <c r="E58" s="239" t="inlineStr">
        <is>
          <t>画面イベント名</t>
        </is>
      </c>
      <c r="F58" s="365" t="n"/>
      <c r="G58" s="365" t="n"/>
      <c r="H58" s="366" t="n"/>
      <c r="I58" s="239" t="inlineStr">
        <is>
          <t>発生タイミング</t>
        </is>
      </c>
      <c r="J58" s="365" t="n"/>
      <c r="K58" s="365" t="n"/>
      <c r="L58" s="365" t="n"/>
      <c r="M58" s="365" t="n"/>
      <c r="N58" s="365" t="n"/>
      <c r="O58" s="366" t="n"/>
      <c r="P58" s="463" t="inlineStr">
        <is>
          <t>画面イベント概要</t>
        </is>
      </c>
      <c r="Q58" s="365" t="n"/>
      <c r="R58" s="365" t="n"/>
      <c r="S58" s="365" t="n"/>
      <c r="T58" s="365" t="n"/>
      <c r="U58" s="365" t="n"/>
      <c r="V58" s="365" t="n"/>
      <c r="W58" s="365" t="n"/>
      <c r="X58" s="365" t="n"/>
      <c r="Y58" s="366" t="n"/>
      <c r="Z58" s="496" t="inlineStr">
        <is>
          <t>正常時遷移先画面</t>
        </is>
      </c>
      <c r="AA58" s="365" t="n"/>
      <c r="AB58" s="365" t="n"/>
      <c r="AC58" s="365" t="n"/>
      <c r="AD58" s="366" t="n"/>
      <c r="AE58" s="497" t="inlineStr">
        <is>
          <t>サーバ通信有無</t>
        </is>
      </c>
      <c r="AF58" s="458" t="n"/>
      <c r="AG58" s="458" t="n"/>
      <c r="AH58" s="459" t="n"/>
    </row>
    <row r="59" ht="24.95" customHeight="1" s="160">
      <c r="D59" s="116" t="n">
        <v>1</v>
      </c>
      <c r="E59" s="450" t="inlineStr">
        <is>
          <t>登録開始</t>
        </is>
      </c>
      <c r="F59" s="365" t="n"/>
      <c r="G59" s="365" t="n"/>
      <c r="H59" s="366" t="n"/>
      <c r="I59" s="268" t="inlineStr">
        <is>
          <t>「次へ」ボタン押下</t>
        </is>
      </c>
      <c r="J59" s="365" t="n"/>
      <c r="K59" s="365" t="n"/>
      <c r="L59" s="365" t="n"/>
      <c r="M59" s="365" t="n"/>
      <c r="N59" s="365" t="n"/>
      <c r="O59" s="366" t="n"/>
      <c r="P59" s="268" t="inlineStr">
        <is>
          <t>プロジェクト登録画面へ遷移する。</t>
        </is>
      </c>
      <c r="Q59" s="365" t="n"/>
      <c r="R59" s="365" t="n"/>
      <c r="S59" s="365" t="n"/>
      <c r="T59" s="365" t="n"/>
      <c r="U59" s="365" t="n"/>
      <c r="V59" s="365" t="n"/>
      <c r="W59" s="365" t="n"/>
      <c r="X59" s="365" t="n"/>
      <c r="Y59" s="366" t="n"/>
      <c r="Z59" s="268" t="inlineStr">
        <is>
          <t>プロジェクト登録</t>
        </is>
      </c>
      <c r="AA59" s="365" t="n"/>
      <c r="AB59" s="365" t="n"/>
      <c r="AC59" s="365" t="n"/>
      <c r="AD59" s="366" t="n"/>
      <c r="AE59" s="492" t="inlineStr">
        <is>
          <t>あり(同期)</t>
        </is>
      </c>
      <c r="AF59" s="460" t="n"/>
      <c r="AG59" s="460" t="n"/>
      <c r="AH59" s="461" t="n"/>
    </row>
    <row r="60">
      <c r="AE60" s="413" t="n"/>
      <c r="AF60" s="498" t="n"/>
      <c r="AG60" s="498" t="n"/>
      <c r="AH60" s="498" t="n"/>
    </row>
    <row r="61"/>
    <row r="62">
      <c r="C62" t="inlineStr">
        <is>
          <t>4.6. 画面イベント詳細</t>
        </is>
      </c>
    </row>
    <row r="63">
      <c r="D63" t="inlineStr">
        <is>
          <t>4.6.1 登録開始イベント</t>
        </is>
      </c>
    </row>
    <row r="64"/>
    <row r="65">
      <c r="E65" t="inlineStr">
        <is>
          <t>プロジェクト登録画面へ遷移する。</t>
        </is>
      </c>
    </row>
    <row r="66"/>
    <row r="67"/>
    <row r="68"/>
    <row r="69"/>
    <row r="70">
      <c r="A70" s="94" t="n"/>
    </row>
    <row r="71">
      <c r="A71" s="94" t="n"/>
    </row>
    <row r="72">
      <c r="A72" s="94" t="n"/>
    </row>
    <row r="74" ht="11.25" customHeight="1" s="160"/>
    <row r="76" ht="11.25" customHeight="1" s="160"/>
  </sheetData>
  <mergeCells count="60">
    <mergeCell ref="AG2:AI2"/>
    <mergeCell ref="D43:D45"/>
    <mergeCell ref="AE60:AH60"/>
    <mergeCell ref="S1:Z3"/>
    <mergeCell ref="Z44:AB45"/>
    <mergeCell ref="K53:N53"/>
    <mergeCell ref="K51:N52"/>
    <mergeCell ref="V53:AH53"/>
    <mergeCell ref="AA1:AB1"/>
    <mergeCell ref="V38:AC38"/>
    <mergeCell ref="Q37:U37"/>
    <mergeCell ref="U46:Y46"/>
    <mergeCell ref="AC2:AF2"/>
    <mergeCell ref="T53:U53"/>
    <mergeCell ref="I59:O59"/>
    <mergeCell ref="E44:H45"/>
    <mergeCell ref="P58:Y58"/>
    <mergeCell ref="N38:P38"/>
    <mergeCell ref="E58:H58"/>
    <mergeCell ref="E3:N3"/>
    <mergeCell ref="Q38:U38"/>
    <mergeCell ref="AD43:AG45"/>
    <mergeCell ref="I46:L46"/>
    <mergeCell ref="AG3:AI3"/>
    <mergeCell ref="E43:AC43"/>
    <mergeCell ref="E51:J52"/>
    <mergeCell ref="AE59:AH59"/>
    <mergeCell ref="Z58:AD58"/>
    <mergeCell ref="U44:Y45"/>
    <mergeCell ref="M44:T45"/>
    <mergeCell ref="A1:D1"/>
    <mergeCell ref="AC44:AC45"/>
    <mergeCell ref="Z46:AB46"/>
    <mergeCell ref="AE58:AH58"/>
    <mergeCell ref="AC3:AF3"/>
    <mergeCell ref="E37:M37"/>
    <mergeCell ref="O51:O52"/>
    <mergeCell ref="E53:J53"/>
    <mergeCell ref="V51:AH52"/>
    <mergeCell ref="M46:T46"/>
    <mergeCell ref="P59:Y59"/>
    <mergeCell ref="E1:N1"/>
    <mergeCell ref="AA3:AB3"/>
    <mergeCell ref="AG1:AI1"/>
    <mergeCell ref="I44:L45"/>
    <mergeCell ref="T52:U52"/>
    <mergeCell ref="D51:D52"/>
    <mergeCell ref="I58:O58"/>
    <mergeCell ref="AA2:AB2"/>
    <mergeCell ref="A3:D3"/>
    <mergeCell ref="N37:P37"/>
    <mergeCell ref="E46:H46"/>
    <mergeCell ref="E59:H59"/>
    <mergeCell ref="O1:R3"/>
    <mergeCell ref="Z59:AD59"/>
    <mergeCell ref="A2:D2"/>
    <mergeCell ref="V37:AC37"/>
    <mergeCell ref="AC1:AF1"/>
    <mergeCell ref="E2:N2"/>
    <mergeCell ref="E38:M38"/>
  </mergeCells>
  <dataValidations disablePrompts="1" count="5">
    <dataValidation sqref="I46:I47" showDropDown="0" showInputMessage="1" showErrorMessage="1" allowBlank="1" type="list">
      <formula1>画面項目種類</formula1>
    </dataValidation>
    <dataValidation sqref="N38:P38" showDropDown="0" showInputMessage="1" showErrorMessage="1" allowBlank="1" type="list">
      <formula1>"-,有,無"</formula1>
    </dataValidation>
    <dataValidation sqref="P53:T53 AC46" showDropDown="0" showInputMessage="1" showErrorMessage="1" allowBlank="1" type="list">
      <formula1>"-,○,×"</formula1>
    </dataValidation>
    <dataValidation sqref="K53:N53" showDropDown="0" showInputMessage="1" showErrorMessage="1" allowBlank="1" type="list">
      <formula1>種別一覧</formula1>
    </dataValidation>
    <dataValidation sqref="O53" showDropDown="0" showInputMessage="1" showErrorMessage="1" allowBlank="1" type="list">
      <formula1>"-,I,O"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1" manualBreakCount="1">
    <brk id="33" min="0" max="34" man="1"/>
  </rowBreaks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 codeName="Sheet6">
    <outlinePr summaryBelow="1" summaryRight="1"/>
    <pageSetUpPr fitToPage="1"/>
  </sheetPr>
  <dimension ref="A1:D14"/>
  <sheetViews>
    <sheetView showGridLines="0" view="pageBreakPreview" zoomScaleNormal="100" zoomScaleSheetLayoutView="100" workbookViewId="0">
      <selection activeCell="A1" sqref="A1"/>
    </sheetView>
  </sheetViews>
  <sheetFormatPr baseColWidth="8" defaultColWidth="9.33203125" defaultRowHeight="11.25"/>
  <cols>
    <col width="21" customWidth="1" style="160" min="1" max="1"/>
    <col width="30.5" bestFit="1" customWidth="1" style="160" min="2" max="2"/>
    <col width="16.83203125" bestFit="1" customWidth="1" style="160" min="3" max="3"/>
    <col width="25.1640625" customWidth="1" style="160" min="4" max="4"/>
  </cols>
  <sheetData>
    <row r="1">
      <c r="A1" s="53" t="inlineStr">
        <is>
          <t>画面項目種類</t>
        </is>
      </c>
      <c r="B1" s="54" t="inlineStr">
        <is>
          <t>引継項目格納先</t>
        </is>
      </c>
      <c r="C1" s="55" t="inlineStr">
        <is>
          <t xml:space="preserve"> 種別一覧</t>
        </is>
      </c>
      <c r="D1" s="55" t="inlineStr">
        <is>
          <t>サーバ通信有無</t>
        </is>
      </c>
    </row>
    <row r="2">
      <c r="A2" s="52" t="inlineStr">
        <is>
          <t>-</t>
        </is>
      </c>
      <c r="B2" s="297" t="inlineStr">
        <is>
          <t>リクエストスコープ</t>
        </is>
      </c>
      <c r="C2" s="57" t="inlineStr">
        <is>
          <t>-</t>
        </is>
      </c>
      <c r="D2" s="52" t="inlineStr">
        <is>
          <t>あり(同期)</t>
        </is>
      </c>
    </row>
    <row r="3">
      <c r="A3" s="52" t="inlineStr">
        <is>
          <t>label</t>
        </is>
      </c>
      <c r="B3" s="297" t="inlineStr">
        <is>
          <t>HIDDENストア</t>
        </is>
      </c>
      <c r="C3" s="52" t="inlineStr">
        <is>
          <t>テーブル</t>
        </is>
      </c>
      <c r="D3" s="52" t="inlineStr">
        <is>
          <t>あり(非同期)</t>
        </is>
      </c>
    </row>
    <row r="4">
      <c r="A4" s="52" t="inlineStr">
        <is>
          <t>text</t>
        </is>
      </c>
      <c r="B4" s="52" t="inlineStr">
        <is>
          <t>DBストア</t>
        </is>
      </c>
      <c r="C4" s="52" t="inlineStr">
        <is>
          <t>電文</t>
        </is>
      </c>
      <c r="D4" s="52" t="inlineStr">
        <is>
          <t>なし</t>
        </is>
      </c>
    </row>
    <row r="5">
      <c r="A5" s="52" t="inlineStr">
        <is>
          <t>text(disable)</t>
        </is>
      </c>
      <c r="B5" s="52" t="inlineStr">
        <is>
          <t>HTTPセッションストア</t>
        </is>
      </c>
      <c r="C5" s="52" t="inlineStr">
        <is>
          <t>I/Fファイル</t>
        </is>
      </c>
    </row>
    <row r="6">
      <c r="A6" s="52" t="inlineStr">
        <is>
          <t>textarea</t>
        </is>
      </c>
      <c r="C6" s="52" t="inlineStr">
        <is>
          <t>帳票</t>
        </is>
      </c>
    </row>
    <row r="7">
      <c r="A7" s="52" t="inlineStr">
        <is>
          <t>radio</t>
        </is>
      </c>
      <c r="C7" s="52" t="inlineStr">
        <is>
          <t>電子メール</t>
        </is>
      </c>
    </row>
    <row r="8">
      <c r="A8" s="52" t="inlineStr">
        <is>
          <t>checkbox</t>
        </is>
      </c>
    </row>
    <row r="9">
      <c r="A9" s="52" t="inlineStr">
        <is>
          <t>select(pulldown)</t>
        </is>
      </c>
    </row>
    <row r="10">
      <c r="A10" s="52" t="inlineStr">
        <is>
          <t>select(multiple)</t>
        </is>
      </c>
    </row>
    <row r="11">
      <c r="A11" s="52" t="inlineStr">
        <is>
          <t>password</t>
        </is>
      </c>
    </row>
    <row r="12">
      <c r="A12" s="52" t="inlineStr">
        <is>
          <t>calendar</t>
        </is>
      </c>
    </row>
    <row r="13">
      <c r="A13" s="52" t="inlineStr">
        <is>
          <t>hidden</t>
        </is>
      </c>
    </row>
    <row r="14">
      <c r="A14" s="52" t="inlineStr">
        <is>
          <t>file</t>
        </is>
      </c>
    </row>
  </sheetData>
  <pageMargins left="0.7480314960629921" right="0.7480314960629921" top="0.984251968503937" bottom="0.984251968503937" header="0.5118110236220472" footer="0.5118110236220472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2022-09-22T01:54:30Z</dcterms:created>
  <dcterms:modified xsi:type="dcterms:W3CDTF">2026-03-15T05:52:45Z</dcterms:modified>
</cp:coreProperties>
</file>