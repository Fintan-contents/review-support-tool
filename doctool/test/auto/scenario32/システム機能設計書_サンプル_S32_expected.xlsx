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31\"/>
    </mc:Choice>
  </mc:AlternateContent>
  <xr:revisionPtr revIDLastSave="0" documentId="13_ncr:1_{D5EAFB83-60F4-4ADD-B58C-E7C5C28DB933}" xr6:coauthVersionLast="47" xr6:coauthVersionMax="47" xr10:uidLastSave="{00000000-0000-0000-0000-000000000000}"/>
  <bookViews>
    <workbookView xWindow="-120" yWindow="-120" windowWidth="51840" windowHeight="21120" tabRatio="822" xr2:uid="{00000000-000D-0000-FFFF-FFFF00000000}"/>
  </bookViews>
  <sheets>
    <sheet name="レビュー結果1回目" sheetId="11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レビュー結果1回目!$A$1:$Q$30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0" i="11" l="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AG20" i="11"/>
  <c r="AF20" i="11"/>
  <c r="P9" i="11" s="1"/>
  <c r="AE20" i="11"/>
  <c r="O9" i="11" s="1"/>
  <c r="AD20" i="11"/>
  <c r="N9" i="11" s="1"/>
  <c r="AC20" i="11"/>
  <c r="M9" i="11" s="1"/>
  <c r="AB20" i="11"/>
  <c r="AA20" i="11"/>
  <c r="K9" i="11" s="1"/>
  <c r="Z20" i="11"/>
  <c r="J9" i="11" s="1"/>
  <c r="Y20" i="11"/>
  <c r="I9" i="11" s="1"/>
  <c r="X20" i="11"/>
  <c r="H9" i="11" s="1"/>
  <c r="W20" i="11"/>
  <c r="G9" i="11" s="1"/>
  <c r="V20" i="11"/>
  <c r="F9" i="11" s="1"/>
  <c r="U20" i="11"/>
  <c r="E9" i="11" s="1"/>
  <c r="T20" i="11"/>
  <c r="D9" i="11" s="1"/>
  <c r="S20" i="11"/>
  <c r="C9" i="11" s="1"/>
  <c r="R20" i="11"/>
  <c r="B9" i="11" s="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L9" i="11"/>
  <c r="I10" i="11" l="1"/>
  <c r="I11" i="11" s="1"/>
  <c r="E10" i="11"/>
  <c r="E11" i="11" s="1"/>
  <c r="F10" i="11"/>
  <c r="F11" i="11" s="1"/>
  <c r="H10" i="11"/>
  <c r="H11" i="11" s="1"/>
  <c r="G10" i="11"/>
  <c r="G11" i="11" s="1"/>
  <c r="K10" i="11"/>
  <c r="K11" i="11" s="1"/>
  <c r="D10" i="11"/>
  <c r="D11" i="11" s="1"/>
  <c r="J10" i="11"/>
  <c r="J11" i="11" s="1"/>
  <c r="L10" i="11"/>
  <c r="L11" i="11" s="1"/>
  <c r="M10" i="11"/>
  <c r="M11" i="11" s="1"/>
  <c r="B10" i="11"/>
  <c r="B11" i="11" s="1"/>
  <c r="N10" i="11"/>
  <c r="N11" i="11" s="1"/>
  <c r="C10" i="11"/>
  <c r="C11" i="11" s="1"/>
  <c r="O10" i="11"/>
  <c r="O11" i="11" s="1"/>
  <c r="P10" i="11"/>
  <c r="P11" i="11" s="1"/>
  <c r="Q9" i="11"/>
  <c r="Q10" i="11" l="1"/>
  <c r="Q11" i="11"/>
  <c r="AG2" i="2" l="1"/>
  <c r="AG1" i="2"/>
  <c r="AC1" i="2"/>
  <c r="AG3" i="7"/>
  <c r="E3" i="6"/>
  <c r="AG1" i="4"/>
  <c r="S1" i="3"/>
  <c r="AG2" i="6"/>
  <c r="E2" i="5"/>
  <c r="AC1" i="4"/>
  <c r="E1" i="3"/>
  <c r="AG1" i="6"/>
  <c r="S1" i="5"/>
  <c r="AG3" i="3"/>
  <c r="AC3" i="7"/>
  <c r="E3" i="7"/>
  <c r="AG1" i="5"/>
  <c r="S1" i="4"/>
  <c r="AG2" i="7"/>
  <c r="E2" i="6"/>
  <c r="AC1" i="5"/>
  <c r="E1" i="4"/>
  <c r="AC2" i="2"/>
  <c r="E2" i="7"/>
  <c r="AC1" i="6"/>
  <c r="E1" i="5"/>
  <c r="AC3" i="3"/>
  <c r="AG1" i="7"/>
  <c r="S1" i="6"/>
  <c r="AG3" i="4"/>
  <c r="E3" i="3"/>
  <c r="I25" i="1"/>
  <c r="AC1" i="7"/>
  <c r="AC3" i="4"/>
  <c r="AG2" i="3"/>
  <c r="S1" i="7"/>
  <c r="AG3" i="5"/>
  <c r="E3" i="4"/>
  <c r="AC2" i="3"/>
  <c r="E1" i="7"/>
  <c r="AC3" i="5"/>
  <c r="AG2" i="4"/>
  <c r="E2" i="3"/>
  <c r="AG3" i="6"/>
  <c r="E3" i="5"/>
  <c r="AC2" i="4"/>
  <c r="AG1" i="3"/>
  <c r="AC3" i="6"/>
  <c r="AG2" i="5"/>
  <c r="E2" i="4"/>
  <c r="AC1" i="3"/>
  <c r="E1" i="6"/>
  <c r="AC2" i="6"/>
  <c r="AC2" i="7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山田　太郎</author>
  </authors>
  <commentList>
    <comment ref="E65" authorId="0" shapeId="0" xr:uid="{00000000-0006-0000-0100-000001000000}">
      <text>
        <r>
          <rPr>
            <sz val="9"/>
            <rFont val="ＭＳ 明朝"/>
            <family val="1"/>
            <charset val="128"/>
          </rPr>
          <t>山田　太郎:m
mカテゴリの指摘コメント。</t>
        </r>
      </text>
    </comment>
    <comment ref="E70" authorId="0" shapeId="0" xr:uid="{00000000-0006-0000-0100-000002000000}">
      <text>
        <r>
          <rPr>
            <sz val="9"/>
            <rFont val="ＭＳ 明朝"/>
            <family val="1"/>
            <charset val="128"/>
          </rPr>
          <t>山田　太郎:n
nカテゴリの指摘コメント。</t>
        </r>
      </text>
    </comment>
    <comment ref="E75" authorId="0" shapeId="0" xr:uid="{00000000-0006-0000-0100-000003000000}">
      <text>
        <r>
          <rPr>
            <sz val="9"/>
            <rFont val="ＭＳ 明朝"/>
            <family val="1"/>
            <charset val="128"/>
          </rPr>
          <t>山田　太郎:o
oカテゴリの指摘コメント。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E66" authorId="1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太郎:g
疑問点・確認の指摘例（カテゴリg）。</t>
        </r>
      </text>
    </comment>
    <comment ref="E67" authorId="1" shapeId="0" xr:uid="{00000000-0006-0000-0400-000009000000}">
      <text>
        <r>
          <rPr>
            <sz val="9"/>
            <rFont val="ＭＳ 明朝"/>
            <family val="1"/>
            <charset val="128"/>
          </rPr>
          <t>山田　太郎:h
改善要望の指摘例（カテゴリh）。</t>
        </r>
      </text>
    </comment>
    <comment ref="E68" authorId="1" shapeId="0" xr:uid="{00000000-0006-0000-0400-00000A000000}">
      <text>
        <r>
          <rPr>
            <sz val="9"/>
            <rFont val="ＭＳ 明朝"/>
            <family val="1"/>
            <charset val="128"/>
          </rPr>
          <t>山田　太郎:i
仕様変更の指摘例（カテゴリi）。</t>
        </r>
      </text>
    </comment>
    <comment ref="E69" authorId="1" shapeId="0" xr:uid="{00000000-0006-0000-0400-00000B000000}">
      <text>
        <r>
          <rPr>
            <sz val="9"/>
            <rFont val="ＭＳ 明朝"/>
            <family val="1"/>
            <charset val="128"/>
          </rPr>
          <t>山田　太郎:j
テスト項目漏れの指摘例（カテゴリj）。</t>
        </r>
      </text>
    </comment>
    <comment ref="E70" authorId="1" shapeId="0" xr:uid="{00000000-0006-0000-0400-00000C000000}">
      <text>
        <r>
          <rPr>
            <sz val="9"/>
            <rFont val="ＭＳ 明朝"/>
            <family val="1"/>
            <charset val="128"/>
          </rPr>
          <t>山田　太郎:k
テスト漏れの指摘例（カテゴリk）。</t>
        </r>
      </text>
    </comment>
    <comment ref="A71" authorId="0" shapeId="0" xr:uid="{00000000-0006-0000-0400-00000D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  <comment ref="E71" authorId="1" shapeId="0" xr:uid="{00000000-0006-0000-0400-00000E000000}">
      <text>
        <r>
          <rPr>
            <sz val="9"/>
            <rFont val="ＭＳ 明朝"/>
            <family val="1"/>
            <charset val="128"/>
          </rPr>
          <t>山田　太郎:l
その他の指摘例（カテゴリl）。</t>
        </r>
      </text>
    </comment>
  </commentList>
</comments>
</file>

<file path=xl/sharedStrings.xml><?xml version="1.0" encoding="utf-8"?>
<sst xmlns="http://schemas.openxmlformats.org/spreadsheetml/2006/main" count="934" uniqueCount="366">
  <si>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</si>
  <si>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</si>
  <si>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</si>
  <si>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</si>
  <si>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</si>
  <si>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</si>
  <si>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</si>
  <si>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</si>
  <si>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</si>
  <si>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</si>
  <si>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</si>
  <si>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</si>
  <si>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</si>
  <si>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</si>
  <si>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</si>
  <si>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</si>
  <si>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</si>
  <si>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</si>
  <si>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</si>
  <si>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</si>
  <si>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</si>
  <si>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</si>
  <si>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</si>
  <si>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</si>
  <si>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</si>
  <si>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</si>
  <si>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</si>
  <si>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</si>
  <si>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</si>
  <si>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</si>
  <si>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</si>
  <si>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</si>
  <si>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</si>
  <si>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</si>
  <si>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</si>
  <si>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</si>
  <si>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</si>
  <si>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</si>
  <si>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</si>
  <si>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</si>
  <si>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</si>
  <si>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</si>
  <si>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</si>
  <si>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</si>
  <si>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</si>
  <si>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</si>
  <si>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</si>
  <si>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</si>
  <si>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</si>
  <si>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</si>
  <si>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</si>
  <si>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</si>
  <si>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</si>
  <si>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</si>
  <si>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</si>
  <si>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</si>
  <si>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</si>
  <si>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</si>
  <si>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</si>
  <si>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</si>
  <si>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</si>
  <si>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</si>
  <si>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</si>
  <si>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</si>
  <si>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</si>
  <si>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</si>
  <si>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</si>
  <si>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</si>
  <si>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</si>
  <si>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</si>
  <si>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</si>
  <si>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</si>
  <si>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</si>
  <si>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</si>
  <si>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</si>
  <si>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</si>
  <si>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</si>
  <si>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</si>
  <si>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</si>
  <si>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</si>
  <si>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</si>
  <si>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</si>
  <si>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</si>
  <si>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</si>
  <si>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</si>
  <si>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</si>
  <si>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</si>
  <si>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</si>
  <si>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</si>
  <si>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</si>
  <si>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</si>
  <si>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</si>
  <si>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</si>
  <si>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</si>
  <si>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</si>
  <si>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</si>
  <si>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</si>
  <si>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</si>
  <si>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</si>
  <si>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</si>
  <si>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</si>
  <si>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</si>
  <si>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</si>
  <si>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</si>
  <si>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</si>
  <si>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</si>
  <si>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</si>
  <si>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</si>
  <si>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</si>
  <si>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</si>
  <si>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</si>
  <si>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</si>
  <si>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</si>
  <si>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</si>
  <si>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</si>
  <si>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</si>
  <si>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</si>
  <si>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</si>
  <si>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</si>
  <si>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</si>
  <si>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</si>
  <si>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</si>
  <si>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</si>
  <si>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</si>
  <si>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</si>
  <si>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</si>
  <si>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</si>
  <si>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</si>
  <si>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</si>
  <si>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</si>
  <si>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</si>
  <si>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</si>
  <si>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</si>
  <si>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</si>
  <si>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</si>
  <si>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</si>
  <si>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</si>
  <si>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</si>
  <si>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</si>
  <si>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</si>
  <si>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</si>
  <si>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</si>
  <si>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</si>
  <si>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</si>
  <si>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</si>
  <si>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</si>
  <si>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</si>
  <si>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</si>
  <si>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</si>
  <si>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</si>
  <si>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</si>
  <si>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</si>
  <si>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</si>
  <si>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</si>
  <si>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</si>
  <si>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</si>
  <si>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</si>
  <si>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</si>
  <si>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</si>
  <si>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</si>
  <si>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</si>
  <si>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</si>
  <si>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</si>
  <si>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</si>
  <si>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</si>
  <si>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</si>
  <si>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</si>
  <si>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</si>
  <si>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</si>
  <si>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</si>
  <si>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</si>
  <si>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</si>
  <si>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</si>
  <si>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</si>
  <si>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</si>
  <si>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</si>
  <si>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</si>
  <si>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</si>
  <si>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</si>
  <si>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</si>
  <si>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</si>
  <si>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</si>
  <si>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</si>
  <si>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</si>
  <si>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</si>
  <si>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</si>
  <si>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</si>
  <si>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</si>
  <si>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</si>
  <si>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</si>
  <si>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</si>
  <si>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</si>
  <si>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</si>
  <si>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</si>
  <si>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</si>
  <si>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</si>
  <si>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</si>
  <si>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</si>
  <si>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</si>
  <si>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</si>
  <si>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</si>
  <si>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</si>
  <si>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</si>
  <si>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</si>
  <si>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</si>
  <si>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</si>
  <si>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</si>
  <si>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</si>
  <si>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</si>
  <si>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</si>
  <si>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</si>
  <si>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</si>
  <si>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</si>
  <si>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</si>
  <si>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</si>
  <si>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</si>
  <si>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</si>
  <si>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</si>
  <si>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</si>
  <si>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</si>
  <si>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</si>
  <si>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</si>
  <si>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</si>
  <si>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</si>
  <si>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</si>
  <si>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</si>
  <si>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</si>
  <si>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</si>
  <si>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</si>
  <si>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</si>
  <si>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</si>
  <si>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</si>
  <si>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</si>
  <si>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</si>
  <si>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</si>
  <si>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</si>
  <si>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</si>
  <si>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</si>
  <si>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</si>
  <si>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</si>
  <si>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</si>
  <si>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</si>
  <si>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</si>
  <si>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</si>
  <si>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</si>
  <si>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</si>
  <si>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</si>
  <si>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</si>
  <si>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</si>
  <si>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</si>
  <si>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</si>
  <si>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</si>
  <si>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</si>
  <si>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</si>
  <si>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</si>
  <si>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</si>
  <si>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</si>
  <si>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</si>
  <si>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</si>
  <si>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</si>
  <si>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</si>
  <si>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</si>
  <si>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</si>
  <si>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</si>
  <si>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</si>
  <si>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</si>
  <si>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</si>
  <si>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</si>
  <si>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</si>
  <si>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</si>
  <si>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</si>
  <si>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</si>
  <si>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</si>
  <si>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</si>
  <si>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</si>
  <si>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</si>
  <si>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</si>
  <si>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</si>
  <si>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</si>
  <si>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</si>
  <si>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</si>
  <si>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</si>
  <si>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</si>
  <si>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</si>
  <si>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</si>
  <si>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</si>
  <si>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</si>
  <si>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</si>
  <si>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</si>
  <si>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</si>
  <si>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</si>
  <si>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</si>
  <si>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</si>
  <si>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</si>
  <si>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</si>
  <si>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</si>
  <si>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91_疑問点、確認</t>
    <phoneticPr fontId="13"/>
  </si>
  <si>
    <t>92_改善要望</t>
    <phoneticPr fontId="13"/>
  </si>
  <si>
    <t>93_仕様変更</t>
    <phoneticPr fontId="13"/>
  </si>
  <si>
    <t>94_テスト項目漏れ</t>
    <phoneticPr fontId="13"/>
  </si>
  <si>
    <t>95_テスト漏れ</t>
    <phoneticPr fontId="13"/>
  </si>
  <si>
    <t>96_その他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</si>
  <si>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</si>
  <si>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</si>
  <si>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</si>
  <si>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</si>
  <si>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</si>
  <si>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</si>
  <si>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</si>
  <si>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</si>
  <si>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</si>
  <si>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</si>
  <si>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システム機能設計書_サンプル_S31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</si>
  <si>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</si>
  <si>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</si>
  <si>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</si>
  <si>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</si>
  <si>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</si>
  <si>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</si>
  <si>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</si>
  <si>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</si>
  <si>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</si>
  <si>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</si>
  <si>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</si>
  <si>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</si>
  <si>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</si>
  <si>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</si>
  <si>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</si>
  <si>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</si>
  <si>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</si>
  <si>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</si>
  <si>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</si>
  <si>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</si>
  <si>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</si>
  <si>
    <t>E66</t>
  </si>
  <si>
    <t>g</t>
  </si>
  <si>
    <t>疑問点・確認の指摘例（カテゴリg）。</t>
  </si>
  <si>
    <t>E67</t>
  </si>
  <si>
    <t>h</t>
  </si>
  <si>
    <t>改善要望の指摘例（カテゴリh）。</t>
  </si>
  <si>
    <t>E68</t>
  </si>
  <si>
    <t>i</t>
  </si>
  <si>
    <t>仕様変更の指摘例（カテゴリi）。</t>
  </si>
  <si>
    <t>E69</t>
  </si>
  <si>
    <t>j</t>
  </si>
  <si>
    <t>テスト項目漏れの指摘例（カテゴリj）。</t>
  </si>
  <si>
    <t>E70</t>
  </si>
  <si>
    <t>k</t>
  </si>
  <si>
    <t>テスト漏れの指摘例（カテゴリk）。</t>
  </si>
  <si>
    <t>E71</t>
  </si>
  <si>
    <t>l</t>
  </si>
  <si>
    <t>その他の指摘例（カテゴリl）。</t>
  </si>
  <si>
    <t>m</t>
    <phoneticPr fontId="13"/>
  </si>
  <si>
    <t>n</t>
    <phoneticPr fontId="13"/>
  </si>
  <si>
    <t>o</t>
    <phoneticPr fontId="13"/>
  </si>
  <si>
    <t>97_性能問題</t>
    <phoneticPr fontId="13"/>
  </si>
  <si>
    <t>98_セキュリティ</t>
    <phoneticPr fontId="13"/>
  </si>
  <si>
    <t>99_その他2</t>
    <phoneticPr fontId="13"/>
  </si>
  <si>
    <t>変更履歴</t>
  </si>
  <si>
    <t>m</t>
  </si>
  <si>
    <t>mカテゴリの指摘コメント。</t>
  </si>
  <si>
    <t>n</t>
  </si>
  <si>
    <t>nカテゴリの指摘コメント。</t>
  </si>
  <si>
    <t>E75</t>
  </si>
  <si>
    <t>o</t>
  </si>
  <si>
    <t>oカテゴリの指摘コメント。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</si>
</sst>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178" fontId="22" fillId="9" borderId="0" xfId="11" applyNumberFormat="1" applyFont="1" applyFill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9" borderId="0" xfId="11" applyNumberFormat="1" applyFont="1" applyFill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E0D3-F4C6-4381-9644-6AB1EF741361}">
  <sheetPr codeName="SheetTemplate">
    <tabColor indexed="44"/>
    <pageSetUpPr fitToPage="1"/>
  </sheetPr>
  <dimension ref="A1:AL30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F14" sqref="AF14:AF16"/>
    </sheetView>
  </sheetViews>
  <sheetFormatPr defaultRowHeight="13.5" x14ac:dyDescent="0.15"/>
  <cols>
    <col min="1" max="1" width="9.33203125" style="262"/>
    <col min="2" max="17" width="17.6640625" style="262" customWidth="1"/>
    <col min="18" max="32" width="4.5" style="262" customWidth="1"/>
    <col min="33" max="33" width="98.1640625" style="262" customWidth="1"/>
    <col min="34" max="16384" width="9.33203125" style="262"/>
  </cols>
  <sheetData>
    <row r="1" spans="1:38" x14ac:dyDescent="0.15">
      <c r="A1" s="261" t="s">
        <v>265</v>
      </c>
      <c r="R1" s="263"/>
      <c r="AG1" s="264" t="s">
        <v>266</v>
      </c>
    </row>
    <row r="2" spans="1:38" x14ac:dyDescent="0.15">
      <c r="A2" s="262" t="s">
        <v>267</v>
      </c>
      <c r="E2" s="265" t="s">
        <v>268</v>
      </c>
      <c r="F2" s="266"/>
      <c r="G2" s="266"/>
      <c r="H2" s="266"/>
      <c r="I2" s="267"/>
      <c r="R2" s="263"/>
    </row>
    <row r="3" spans="1:38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38" x14ac:dyDescent="0.15">
      <c r="A4" s="271" t="s">
        <v>312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38" x14ac:dyDescent="0.15">
      <c r="A6" s="261" t="s">
        <v>276</v>
      </c>
    </row>
    <row r="7" spans="1:38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  <c r="K7" s="270" t="s">
        <v>286</v>
      </c>
      <c r="L7" s="270" t="s">
        <v>287</v>
      </c>
      <c r="M7" s="270" t="s">
        <v>288</v>
      </c>
      <c r="N7" s="270" t="s">
        <v>352</v>
      </c>
      <c r="O7" s="270" t="s">
        <v>353</v>
      </c>
      <c r="P7" s="270" t="s">
        <v>354</v>
      </c>
    </row>
    <row r="8" spans="1:38" ht="27" x14ac:dyDescent="0.15">
      <c r="A8" s="269" t="s">
        <v>289</v>
      </c>
      <c r="B8" s="277" t="s">
        <v>290</v>
      </c>
      <c r="C8" s="277" t="s">
        <v>291</v>
      </c>
      <c r="D8" s="277" t="s">
        <v>292</v>
      </c>
      <c r="E8" s="278" t="s">
        <v>293</v>
      </c>
      <c r="F8" s="277" t="s">
        <v>294</v>
      </c>
      <c r="G8" s="277" t="s">
        <v>295</v>
      </c>
      <c r="H8" s="277" t="s">
        <v>296</v>
      </c>
      <c r="I8" s="277" t="s">
        <v>297</v>
      </c>
      <c r="J8" s="278" t="s">
        <v>298</v>
      </c>
      <c r="K8" s="278" t="s">
        <v>299</v>
      </c>
      <c r="L8" s="278" t="s">
        <v>300</v>
      </c>
      <c r="M8" s="278" t="s">
        <v>301</v>
      </c>
      <c r="N8" s="278" t="s">
        <v>355</v>
      </c>
      <c r="O8" s="278" t="s">
        <v>356</v>
      </c>
      <c r="P8" s="278" t="s">
        <v>357</v>
      </c>
      <c r="Q8" s="279" t="s">
        <v>302</v>
      </c>
      <c r="R8" s="280"/>
      <c r="S8" s="280"/>
      <c r="T8" s="280"/>
      <c r="U8" s="280"/>
      <c r="V8" s="280"/>
      <c r="W8" s="280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  <c r="AK8" s="281"/>
      <c r="AL8" s="281"/>
    </row>
    <row r="9" spans="1:38" x14ac:dyDescent="0.15">
      <c r="A9" s="269" t="s">
        <v>303</v>
      </c>
      <c r="B9" s="282" t="str">
        <f>IF(SUMIF($K15:$K30,$A9,R15:R30)=0,"",SUMIF($K15:$K30,$A9,R15:R30))</f>
        <v/>
      </c>
      <c r="C9" s="282" t="str">
        <f>IF(SUMIF($K15:$K30,$A9,S15:S30)=0,"",SUMIF($K15:$K30,$A9,S15:S30))</f>
        <v/>
      </c>
      <c r="D9" s="282">
        <f>IF(SUMIF($K15:$K30,$A9,T15:T30)=0,"",SUMIF($K15:$K30,$A9,T15:T30))</f>
        <v>1</v>
      </c>
      <c r="E9" s="282" t="str">
        <f>IF(SUMIF($K15:$K30,$A9,U15:U30)=0,"",SUMIF($K15:$K30,$A9,U15:U30))</f>
        <v/>
      </c>
      <c r="F9" s="282" t="str">
        <f>IF(SUMIF($K15:$K30,$A9,V15:V30)=0,"",SUMIF($K15:$K30,$A9,V15:V30))</f>
        <v/>
      </c>
      <c r="G9" s="282" t="str">
        <f>IF(SUMIF($K15:$K30,$A9,W15:W30)=0,"",SUMIF($K15:$K30,$A9,W15:W30))</f>
        <v/>
      </c>
      <c r="H9" s="282" t="str">
        <f>IF(SUMIF($K15:$K30,$A9,X15:X30)=0,"",SUMIF($K15:$K30,$A9,X15:X30))</f>
        <v/>
      </c>
      <c r="I9" s="282" t="str">
        <f>IF(SUMIF($K15:$K30,$A9,Y15:Y30)=0,"",SUMIF($K15:$K30,$A9,Y15:Y30))</f>
        <v/>
      </c>
      <c r="J9" s="282" t="str">
        <f>IF(SUMIF($K15:$K30,$A9,Z15:Z30)=0,"",SUMIF($K15:$K30,$A9,Z15:Z30))</f>
        <v/>
      </c>
      <c r="K9" s="282" t="str">
        <f>IF(SUMIF($K15:$K30,$A9,AA15:AA30)=0,"",SUMIF($K15:$K30,$A9,AA15:AA30))</f>
        <v/>
      </c>
      <c r="L9" s="282" t="str">
        <f>IF(SUMIF($K15:$K30,$A9,AB15:AB30)=0,"",SUMIF($K15:$K30,$A9,AB15:AB30))</f>
        <v/>
      </c>
      <c r="M9" s="282" t="str">
        <f>IF(SUMIF($K15:$K30,$A9,AC15:AC30)=0,"",SUMIF($K15:$K30,$A9,AC15:AC30))</f>
        <v/>
      </c>
      <c r="N9" s="282" t="str">
        <f>IF(SUMIF($K15:$K30,$A9,AD15:AD30)=0,"",SUMIF($K15:$K30,$A9,AD15:AD30))</f>
        <v/>
      </c>
      <c r="O9" s="282" t="str">
        <f>IF(SUMIF($K15:$K30,$A9,AE15:AE30)=0,"",SUMIF($K15:$K30,$A9,AE15:AE30))</f>
        <v/>
      </c>
      <c r="P9" s="282" t="str">
        <f>IF(SUMIF($K15:$K30,$A9,AF15:AF30)=0,"",SUMIF($K15:$K30,$A9,AF15:AF30))</f>
        <v/>
      </c>
      <c r="Q9" s="283">
        <f>SUM(B9:P9)</f>
        <v>1</v>
      </c>
      <c r="R9" s="284"/>
      <c r="S9" s="284"/>
      <c r="T9" s="284"/>
      <c r="U9" s="284"/>
      <c r="V9" s="284"/>
      <c r="W9" s="284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</row>
    <row r="10" spans="1:38" x14ac:dyDescent="0.15">
      <c r="A10" s="269" t="s">
        <v>304</v>
      </c>
      <c r="B10" s="282">
        <f>IF(SUMIF($K15:$K30,$A10,R15:R30)=0,"",SUMIF($K15:$K30,$A10,R15:R30))</f>
        <v>1</v>
      </c>
      <c r="C10" s="282">
        <f>IF(SUMIF($K15:$K30,$A10,S15:S30)=0,"",SUMIF($K15:$K30,$A10,S15:S30))</f>
        <v>1</v>
      </c>
      <c r="D10" s="282" t="str">
        <f>IF(SUMIF($K15:$K30,$A10,T15:T30)=0,"",SUMIF($K15:$K30,$A10,T15:T30))</f>
        <v/>
      </c>
      <c r="E10" s="282">
        <f>IF(SUMIF($K15:$K30,$A10,U15:U30)=0,"",SUMIF($K15:$K30,$A10,U15:U30))</f>
        <v>1</v>
      </c>
      <c r="F10" s="282">
        <f>IF(SUMIF($K15:$K30,$A10,V15:V30)=0,"",SUMIF($K15:$K30,$A10,V15:V30))</f>
        <v>1</v>
      </c>
      <c r="G10" s="282">
        <f>IF(SUMIF($K15:$K30,$A10,W15:W30)=0,"",SUMIF($K15:$K30,$A10,W15:W30))</f>
        <v>1</v>
      </c>
      <c r="H10" s="282">
        <f>IF(SUMIF($K15:$K30,$A10,X15:X30)=0,"",SUMIF($K15:$K30,$A10,X15:X30))</f>
        <v>1</v>
      </c>
      <c r="I10" s="282">
        <f>IF(SUMIF($K15:$K30,$A10,Y15:Y30)=0,"",SUMIF($K15:$K30,$A10,Y15:Y30))</f>
        <v>1</v>
      </c>
      <c r="J10" s="282">
        <f>IF(SUMIF($K15:$K30,$A10,Z15:Z30)=0,"",SUMIF($K15:$K30,$A10,Z15:Z30))</f>
        <v>1</v>
      </c>
      <c r="K10" s="282">
        <f>IF(SUMIF($K15:$K30,$A10,AA15:AA30)=0,"",SUMIF($K15:$K30,$A10,AA15:AA30))</f>
        <v>1</v>
      </c>
      <c r="L10" s="282">
        <f>IF(SUMIF($K15:$K30,$A10,AB15:AB30)=0,"",SUMIF($K15:$K30,$A10,AB15:AB30))</f>
        <v>1</v>
      </c>
      <c r="M10" s="282">
        <f>IF(SUMIF($K15:$K30,$A10,AC15:AC30)=0,"",SUMIF($K15:$K30,$A10,AC15:AC30))</f>
        <v>1</v>
      </c>
      <c r="N10" s="282">
        <f>IF(SUMIF($K15:$K30,$A10,AD15:AD30)=0,"",SUMIF($K15:$K30,$A10,AD15:AD30))</f>
        <v>1</v>
      </c>
      <c r="O10" s="282">
        <f>IF(SUMIF($K15:$K30,$A10,AE15:AE30)=0,"",SUMIF($K15:$K30,$A10,AE15:AE30))</f>
        <v>1</v>
      </c>
      <c r="P10" s="282">
        <f>IF(SUMIF($K15:$K30,$A10,AF15:AF30)=0,"",SUMIF($K15:$K30,$A10,AF15:AF30))</f>
        <v>1</v>
      </c>
      <c r="Q10" s="283">
        <f>SUM(B10:P10)</f>
        <v>14</v>
      </c>
      <c r="R10" s="284"/>
      <c r="S10" s="284"/>
      <c r="T10" s="284"/>
      <c r="U10" s="284"/>
      <c r="V10" s="284"/>
      <c r="W10" s="284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</row>
    <row r="11" spans="1:38" x14ac:dyDescent="0.15">
      <c r="A11" s="285" t="s">
        <v>302</v>
      </c>
      <c r="B11" s="286">
        <f>SUM(B9:B10)</f>
        <v>1</v>
      </c>
      <c r="C11" s="286">
        <f t="shared" ref="C11:P11" si="0">SUM(C9:C10)</f>
        <v>1</v>
      </c>
      <c r="D11" s="286">
        <f t="shared" si="0"/>
        <v>1</v>
      </c>
      <c r="E11" s="286">
        <f t="shared" si="0"/>
        <v>1</v>
      </c>
      <c r="F11" s="286">
        <f t="shared" si="0"/>
        <v>1</v>
      </c>
      <c r="G11" s="286">
        <f t="shared" si="0"/>
        <v>1</v>
      </c>
      <c r="H11" s="286">
        <f t="shared" si="0"/>
        <v>1</v>
      </c>
      <c r="I11" s="286">
        <f t="shared" si="0"/>
        <v>1</v>
      </c>
      <c r="J11" s="286">
        <f t="shared" si="0"/>
        <v>1</v>
      </c>
      <c r="K11" s="286">
        <f t="shared" si="0"/>
        <v>1</v>
      </c>
      <c r="L11" s="286">
        <f t="shared" si="0"/>
        <v>1</v>
      </c>
      <c r="M11" s="286">
        <f t="shared" si="0"/>
        <v>1</v>
      </c>
      <c r="N11" s="286">
        <f t="shared" si="0"/>
        <v>1</v>
      </c>
      <c r="O11" s="286">
        <f t="shared" si="0"/>
        <v>1</v>
      </c>
      <c r="P11" s="286">
        <f t="shared" si="0"/>
        <v>1</v>
      </c>
      <c r="Q11" s="286">
        <f>SUM(B11:P11)</f>
        <v>15</v>
      </c>
      <c r="R11" s="287"/>
      <c r="S11" s="287"/>
      <c r="T11" s="287"/>
      <c r="U11" s="287"/>
      <c r="V11" s="287"/>
      <c r="W11" s="287"/>
    </row>
    <row r="12" spans="1:38" x14ac:dyDescent="0.15">
      <c r="A12" s="261"/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  <c r="Q12" s="288"/>
    </row>
    <row r="13" spans="1:38" x14ac:dyDescent="0.15">
      <c r="A13" s="289" t="s">
        <v>305</v>
      </c>
      <c r="B13" s="290"/>
      <c r="C13" s="290"/>
      <c r="D13" s="290"/>
      <c r="F13" s="290"/>
      <c r="R13" s="263" t="s">
        <v>306</v>
      </c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</row>
    <row r="14" spans="1:38" x14ac:dyDescent="0.15">
      <c r="A14" s="291" t="s">
        <v>307</v>
      </c>
      <c r="B14" s="291" t="s">
        <v>308</v>
      </c>
      <c r="C14" s="291" t="s">
        <v>309</v>
      </c>
      <c r="D14" s="291" t="s">
        <v>310</v>
      </c>
      <c r="E14" s="292" t="s">
        <v>311</v>
      </c>
      <c r="F14" s="293"/>
      <c r="G14" s="294"/>
      <c r="H14" s="294"/>
      <c r="I14" s="294"/>
      <c r="J14" s="295"/>
      <c r="K14" s="296" t="s">
        <v>289</v>
      </c>
      <c r="R14" s="297" t="s">
        <v>277</v>
      </c>
      <c r="S14" s="297" t="s">
        <v>278</v>
      </c>
      <c r="T14" s="297" t="s">
        <v>279</v>
      </c>
      <c r="U14" s="297" t="s">
        <v>280</v>
      </c>
      <c r="V14" s="297" t="s">
        <v>281</v>
      </c>
      <c r="W14" s="297" t="s">
        <v>282</v>
      </c>
      <c r="X14" s="297" t="s">
        <v>283</v>
      </c>
      <c r="Y14" s="297" t="s">
        <v>284</v>
      </c>
      <c r="Z14" s="297" t="s">
        <v>285</v>
      </c>
      <c r="AA14" s="297" t="s">
        <v>286</v>
      </c>
      <c r="AB14" s="297" t="s">
        <v>287</v>
      </c>
      <c r="AC14" s="297" t="s">
        <v>288</v>
      </c>
      <c r="AD14" s="297" t="s">
        <v>352</v>
      </c>
      <c r="AE14" s="297" t="s">
        <v>353</v>
      </c>
      <c r="AF14" s="297" t="s">
        <v>354</v>
      </c>
    </row>
    <row r="15" spans="1:38" x14ac:dyDescent="0.15">
      <c r="A15" s="272" t="s">
        <v>358</v>
      </c>
      <c r="B15" s="300" t="s">
        <v>331</v>
      </c>
      <c r="C15" s="272" t="s">
        <v>314</v>
      </c>
      <c r="D15" s="272" t="s">
        <v>359</v>
      </c>
      <c r="E15" s="271" t="s">
        <v>360</v>
      </c>
      <c r="F15" s="271"/>
      <c r="G15" s="271"/>
      <c r="H15" s="271"/>
      <c r="I15" s="271"/>
      <c r="J15" s="271"/>
      <c r="K15" s="272" t="s">
        <v>317</v>
      </c>
      <c r="R15" s="298">
        <f t="shared" ref="R15:AF30" si="1">IF($D15=R$14,1,0)</f>
        <v>0</v>
      </c>
      <c r="S15" s="298">
        <f t="shared" si="1"/>
        <v>0</v>
      </c>
      <c r="T15" s="298">
        <f t="shared" si="1"/>
        <v>0</v>
      </c>
      <c r="U15" s="298">
        <f t="shared" si="1"/>
        <v>0</v>
      </c>
      <c r="V15" s="298">
        <f t="shared" si="1"/>
        <v>0</v>
      </c>
      <c r="W15" s="298">
        <f t="shared" si="1"/>
        <v>0</v>
      </c>
      <c r="X15" s="298">
        <f t="shared" si="1"/>
        <v>0</v>
      </c>
      <c r="Y15" s="298">
        <f t="shared" si="1"/>
        <v>0</v>
      </c>
      <c r="Z15" s="298">
        <f t="shared" si="1"/>
        <v>0</v>
      </c>
      <c r="AA15" s="298">
        <f t="shared" si="1"/>
        <v>0</v>
      </c>
      <c r="AB15" s="298">
        <f t="shared" si="1"/>
        <v>0</v>
      </c>
      <c r="AC15" s="298">
        <f t="shared" si="1"/>
        <v>0</v>
      </c>
      <c r="AD15" s="298">
        <f t="shared" si="1"/>
        <v>1</v>
      </c>
      <c r="AE15" s="298">
        <f t="shared" si="1"/>
        <v>0</v>
      </c>
      <c r="AF15" s="298">
        <f t="shared" si="1"/>
        <v>0</v>
      </c>
      <c r="AG15" s="299" t="str">
        <f>IF(E15&lt;&gt;"",E15,"")</f>
        <v>mカテゴリの指摘コメント。</v>
      </c>
    </row>
    <row r="16" spans="1:38" x14ac:dyDescent="0.15">
      <c r="A16" s="272" t="s">
        <v>358</v>
      </c>
      <c r="B16" s="300" t="s">
        <v>346</v>
      </c>
      <c r="C16" s="272" t="s">
        <v>314</v>
      </c>
      <c r="D16" s="272" t="s">
        <v>361</v>
      </c>
      <c r="E16" s="271" t="s">
        <v>362</v>
      </c>
      <c r="F16" s="271"/>
      <c r="G16" s="271"/>
      <c r="H16" s="271"/>
      <c r="I16" s="271"/>
      <c r="J16" s="271"/>
      <c r="K16" s="272" t="s">
        <v>317</v>
      </c>
      <c r="R16" s="298">
        <f t="shared" si="1"/>
        <v>0</v>
      </c>
      <c r="S16" s="298">
        <f t="shared" si="1"/>
        <v>0</v>
      </c>
      <c r="T16" s="298">
        <f t="shared" si="1"/>
        <v>0</v>
      </c>
      <c r="U16" s="298">
        <f t="shared" si="1"/>
        <v>0</v>
      </c>
      <c r="V16" s="298">
        <f t="shared" si="1"/>
        <v>0</v>
      </c>
      <c r="W16" s="298">
        <f t="shared" si="1"/>
        <v>0</v>
      </c>
      <c r="X16" s="298">
        <f t="shared" si="1"/>
        <v>0</v>
      </c>
      <c r="Y16" s="298">
        <f t="shared" si="1"/>
        <v>0</v>
      </c>
      <c r="Z16" s="298">
        <f t="shared" si="1"/>
        <v>0</v>
      </c>
      <c r="AA16" s="298">
        <f t="shared" si="1"/>
        <v>0</v>
      </c>
      <c r="AB16" s="298">
        <f t="shared" si="1"/>
        <v>0</v>
      </c>
      <c r="AC16" s="298">
        <f t="shared" si="1"/>
        <v>0</v>
      </c>
      <c r="AD16" s="298">
        <f t="shared" si="1"/>
        <v>0</v>
      </c>
      <c r="AE16" s="298">
        <f t="shared" si="1"/>
        <v>1</v>
      </c>
      <c r="AF16" s="298">
        <f t="shared" si="1"/>
        <v>0</v>
      </c>
      <c r="AG16" s="299" t="str">
        <f>IF(E16&lt;&gt;"",E16,"")</f>
        <v>nカテゴリの指摘コメント。</v>
      </c>
    </row>
    <row r="17" spans="1:33" x14ac:dyDescent="0.15">
      <c r="A17" s="272" t="s">
        <v>358</v>
      </c>
      <c r="B17" s="300" t="s">
        <v>363</v>
      </c>
      <c r="C17" s="272" t="s">
        <v>314</v>
      </c>
      <c r="D17" s="272" t="s">
        <v>364</v>
      </c>
      <c r="E17" s="271" t="s">
        <v>365</v>
      </c>
      <c r="F17" s="271"/>
      <c r="G17" s="271"/>
      <c r="H17" s="271"/>
      <c r="I17" s="271"/>
      <c r="J17" s="271"/>
      <c r="K17" s="272" t="s">
        <v>317</v>
      </c>
      <c r="R17" s="298">
        <f t="shared" si="1"/>
        <v>0</v>
      </c>
      <c r="S17" s="298">
        <f t="shared" si="1"/>
        <v>0</v>
      </c>
      <c r="T17" s="298">
        <f t="shared" si="1"/>
        <v>0</v>
      </c>
      <c r="U17" s="298">
        <f t="shared" si="1"/>
        <v>0</v>
      </c>
      <c r="V17" s="298">
        <f t="shared" si="1"/>
        <v>0</v>
      </c>
      <c r="W17" s="298">
        <f t="shared" si="1"/>
        <v>0</v>
      </c>
      <c r="X17" s="298">
        <f t="shared" si="1"/>
        <v>0</v>
      </c>
      <c r="Y17" s="298">
        <f t="shared" si="1"/>
        <v>0</v>
      </c>
      <c r="Z17" s="298">
        <f t="shared" si="1"/>
        <v>0</v>
      </c>
      <c r="AA17" s="298">
        <f t="shared" si="1"/>
        <v>0</v>
      </c>
      <c r="AB17" s="298">
        <f t="shared" si="1"/>
        <v>0</v>
      </c>
      <c r="AC17" s="298">
        <f t="shared" si="1"/>
        <v>0</v>
      </c>
      <c r="AD17" s="298">
        <f t="shared" si="1"/>
        <v>0</v>
      </c>
      <c r="AE17" s="298">
        <f t="shared" si="1"/>
        <v>0</v>
      </c>
      <c r="AF17" s="298">
        <f t="shared" si="1"/>
        <v>1</v>
      </c>
      <c r="AG17" s="299" t="str">
        <f>IF(E17&lt;&gt;"",E17,"")</f>
        <v>oカテゴリの指摘コメント。</v>
      </c>
    </row>
    <row r="18" spans="1:33" ht="40.5" x14ac:dyDescent="0.15">
      <c r="A18" s="272" t="s">
        <v>38</v>
      </c>
      <c r="B18" s="300" t="s">
        <v>313</v>
      </c>
      <c r="C18" s="272" t="s">
        <v>314</v>
      </c>
      <c r="D18" s="272" t="s">
        <v>315</v>
      </c>
      <c r="E18" s="301" t="s">
        <v>316</v>
      </c>
      <c r="F18" s="271"/>
      <c r="G18" s="271"/>
      <c r="H18" s="271"/>
      <c r="I18" s="271"/>
      <c r="J18" s="271"/>
      <c r="K18" s="272" t="s">
        <v>317</v>
      </c>
      <c r="R18" s="298">
        <f t="shared" si="1"/>
        <v>1</v>
      </c>
      <c r="S18" s="298">
        <f t="shared" si="1"/>
        <v>0</v>
      </c>
      <c r="T18" s="298">
        <f t="shared" si="1"/>
        <v>0</v>
      </c>
      <c r="U18" s="298">
        <f t="shared" si="1"/>
        <v>0</v>
      </c>
      <c r="V18" s="298">
        <f t="shared" si="1"/>
        <v>0</v>
      </c>
      <c r="W18" s="298">
        <f t="shared" si="1"/>
        <v>0</v>
      </c>
      <c r="X18" s="298">
        <f t="shared" si="1"/>
        <v>0</v>
      </c>
      <c r="Y18" s="298">
        <f t="shared" si="1"/>
        <v>0</v>
      </c>
      <c r="Z18" s="298">
        <f t="shared" si="1"/>
        <v>0</v>
      </c>
      <c r="AA18" s="298">
        <f t="shared" si="1"/>
        <v>0</v>
      </c>
      <c r="AB18" s="298">
        <f t="shared" si="1"/>
        <v>0</v>
      </c>
      <c r="AC18" s="298">
        <f t="shared" si="1"/>
        <v>0</v>
      </c>
      <c r="AD18" s="298">
        <f t="shared" si="1"/>
        <v>0</v>
      </c>
      <c r="AE18" s="298">
        <f t="shared" si="1"/>
        <v>0</v>
      </c>
      <c r="AF18" s="298">
        <f t="shared" si="1"/>
        <v>0</v>
      </c>
      <c r="AG18" s="299" t="str">
        <f>IF(E18&lt;&gt;"",E18,"")</f>
        <v>レビュー指摘コメントの例。
自動で挿入される名前とコロンの直後に指摘分類をa～iで書く。
※レビュー日時を書く場合はコロンの直後に*を書く。</v>
      </c>
    </row>
    <row r="19" spans="1:33" ht="40.5" x14ac:dyDescent="0.15">
      <c r="A19" s="272" t="s">
        <v>38</v>
      </c>
      <c r="B19" s="300" t="s">
        <v>318</v>
      </c>
      <c r="C19" s="272" t="s">
        <v>314</v>
      </c>
      <c r="D19" s="272" t="s">
        <v>319</v>
      </c>
      <c r="E19" s="301" t="s">
        <v>320</v>
      </c>
      <c r="F19" s="271"/>
      <c r="G19" s="271"/>
      <c r="H19" s="271"/>
      <c r="I19" s="271"/>
      <c r="J19" s="271"/>
      <c r="K19" s="272" t="s">
        <v>317</v>
      </c>
      <c r="R19" s="298">
        <f t="shared" si="1"/>
        <v>0</v>
      </c>
      <c r="S19" s="298">
        <f t="shared" si="1"/>
        <v>1</v>
      </c>
      <c r="T19" s="298">
        <f t="shared" si="1"/>
        <v>0</v>
      </c>
      <c r="U19" s="298">
        <f t="shared" si="1"/>
        <v>0</v>
      </c>
      <c r="V19" s="298">
        <f t="shared" si="1"/>
        <v>0</v>
      </c>
      <c r="W19" s="298">
        <f t="shared" si="1"/>
        <v>0</v>
      </c>
      <c r="X19" s="298">
        <f t="shared" si="1"/>
        <v>0</v>
      </c>
      <c r="Y19" s="298">
        <f t="shared" si="1"/>
        <v>0</v>
      </c>
      <c r="Z19" s="298">
        <f t="shared" si="1"/>
        <v>0</v>
      </c>
      <c r="AA19" s="298">
        <f t="shared" si="1"/>
        <v>0</v>
      </c>
      <c r="AB19" s="298">
        <f t="shared" si="1"/>
        <v>0</v>
      </c>
      <c r="AC19" s="298">
        <f t="shared" si="1"/>
        <v>0</v>
      </c>
      <c r="AD19" s="298">
        <f t="shared" si="1"/>
        <v>0</v>
      </c>
      <c r="AE19" s="298">
        <f t="shared" si="1"/>
        <v>0</v>
      </c>
      <c r="AF19" s="298">
        <f t="shared" si="1"/>
        <v>0</v>
      </c>
      <c r="AG19" s="299" t="str">
        <f>IF(E19&lt;&gt;"",E19,"")</f>
        <v>対応内容の例。
---
対応内容はデリミタ（---）の後に記入する。</v>
      </c>
    </row>
    <row r="20" spans="1:33" ht="67.5" x14ac:dyDescent="0.15">
      <c r="A20" s="272" t="s">
        <v>38</v>
      </c>
      <c r="B20" s="300" t="s">
        <v>321</v>
      </c>
      <c r="C20" s="272" t="s">
        <v>314</v>
      </c>
      <c r="D20" s="272" t="s">
        <v>322</v>
      </c>
      <c r="E20" s="301" t="s">
        <v>323</v>
      </c>
      <c r="F20" s="271"/>
      <c r="G20" s="271"/>
      <c r="H20" s="271"/>
      <c r="I20" s="271"/>
      <c r="J20" s="271"/>
      <c r="K20" s="272" t="s">
        <v>324</v>
      </c>
      <c r="R20" s="298">
        <f t="shared" si="1"/>
        <v>0</v>
      </c>
      <c r="S20" s="298">
        <f t="shared" si="1"/>
        <v>0</v>
      </c>
      <c r="T20" s="298">
        <f t="shared" si="1"/>
        <v>1</v>
      </c>
      <c r="U20" s="298">
        <f t="shared" si="1"/>
        <v>0</v>
      </c>
      <c r="V20" s="298">
        <f t="shared" si="1"/>
        <v>0</v>
      </c>
      <c r="W20" s="298">
        <f t="shared" si="1"/>
        <v>0</v>
      </c>
      <c r="X20" s="298">
        <f t="shared" si="1"/>
        <v>0</v>
      </c>
      <c r="Y20" s="298">
        <f t="shared" si="1"/>
        <v>0</v>
      </c>
      <c r="Z20" s="298">
        <f t="shared" si="1"/>
        <v>0</v>
      </c>
      <c r="AA20" s="298">
        <f t="shared" si="1"/>
        <v>0</v>
      </c>
      <c r="AB20" s="298">
        <f t="shared" si="1"/>
        <v>0</v>
      </c>
      <c r="AC20" s="298">
        <f t="shared" si="1"/>
        <v>0</v>
      </c>
      <c r="AD20" s="298">
        <f t="shared" si="1"/>
        <v>0</v>
      </c>
      <c r="AE20" s="298">
        <f t="shared" si="1"/>
        <v>0</v>
      </c>
      <c r="AF20" s="298">
        <f t="shared" si="1"/>
        <v>0</v>
      </c>
      <c r="AG20" s="299" t="str">
        <f>IF(E20&lt;&gt;"",E20,"")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21" spans="1:33" x14ac:dyDescent="0.15">
      <c r="A21" s="272" t="s">
        <v>38</v>
      </c>
      <c r="B21" s="300" t="s">
        <v>325</v>
      </c>
      <c r="C21" s="272" t="s">
        <v>314</v>
      </c>
      <c r="D21" s="272" t="s">
        <v>326</v>
      </c>
      <c r="E21" s="271" t="s">
        <v>327</v>
      </c>
      <c r="F21" s="271"/>
      <c r="G21" s="271"/>
      <c r="H21" s="271"/>
      <c r="I21" s="271"/>
      <c r="J21" s="271"/>
      <c r="K21" s="272" t="s">
        <v>317</v>
      </c>
      <c r="R21" s="298">
        <f t="shared" si="1"/>
        <v>0</v>
      </c>
      <c r="S21" s="298">
        <f t="shared" si="1"/>
        <v>0</v>
      </c>
      <c r="T21" s="298">
        <f t="shared" si="1"/>
        <v>0</v>
      </c>
      <c r="U21" s="298">
        <f t="shared" si="1"/>
        <v>1</v>
      </c>
      <c r="V21" s="298">
        <f t="shared" si="1"/>
        <v>0</v>
      </c>
      <c r="W21" s="298">
        <f t="shared" si="1"/>
        <v>0</v>
      </c>
      <c r="X21" s="298">
        <f t="shared" si="1"/>
        <v>0</v>
      </c>
      <c r="Y21" s="298">
        <f t="shared" si="1"/>
        <v>0</v>
      </c>
      <c r="Z21" s="298">
        <f t="shared" si="1"/>
        <v>0</v>
      </c>
      <c r="AA21" s="298">
        <f t="shared" si="1"/>
        <v>0</v>
      </c>
      <c r="AB21" s="298">
        <f t="shared" si="1"/>
        <v>0</v>
      </c>
      <c r="AC21" s="298">
        <f t="shared" si="1"/>
        <v>0</v>
      </c>
      <c r="AD21" s="298">
        <f t="shared" si="1"/>
        <v>0</v>
      </c>
      <c r="AE21" s="298">
        <f t="shared" si="1"/>
        <v>0</v>
      </c>
      <c r="AF21" s="298">
        <f t="shared" si="1"/>
        <v>0</v>
      </c>
      <c r="AG21" s="299" t="str">
        <f>IF(E21&lt;&gt;"",E21,"")</f>
        <v>機能・仕様誤りの指摘例（カテゴリd）。</v>
      </c>
    </row>
    <row r="22" spans="1:33" x14ac:dyDescent="0.15">
      <c r="A22" s="272" t="s">
        <v>38</v>
      </c>
      <c r="B22" s="300" t="s">
        <v>328</v>
      </c>
      <c r="C22" s="272" t="s">
        <v>314</v>
      </c>
      <c r="D22" s="272" t="s">
        <v>329</v>
      </c>
      <c r="E22" s="271" t="s">
        <v>330</v>
      </c>
      <c r="F22" s="271"/>
      <c r="G22" s="271"/>
      <c r="H22" s="271"/>
      <c r="I22" s="271"/>
      <c r="J22" s="271"/>
      <c r="K22" s="272" t="s">
        <v>317</v>
      </c>
      <c r="R22" s="298">
        <f t="shared" si="1"/>
        <v>0</v>
      </c>
      <c r="S22" s="298">
        <f t="shared" si="1"/>
        <v>0</v>
      </c>
      <c r="T22" s="298">
        <f t="shared" si="1"/>
        <v>0</v>
      </c>
      <c r="U22" s="298">
        <f t="shared" si="1"/>
        <v>0</v>
      </c>
      <c r="V22" s="298">
        <f t="shared" si="1"/>
        <v>1</v>
      </c>
      <c r="W22" s="298">
        <f t="shared" si="1"/>
        <v>0</v>
      </c>
      <c r="X22" s="298">
        <f t="shared" si="1"/>
        <v>0</v>
      </c>
      <c r="Y22" s="298">
        <f t="shared" si="1"/>
        <v>0</v>
      </c>
      <c r="Z22" s="298">
        <f t="shared" si="1"/>
        <v>0</v>
      </c>
      <c r="AA22" s="298">
        <f t="shared" si="1"/>
        <v>0</v>
      </c>
      <c r="AB22" s="298">
        <f t="shared" si="1"/>
        <v>0</v>
      </c>
      <c r="AC22" s="298">
        <f t="shared" si="1"/>
        <v>0</v>
      </c>
      <c r="AD22" s="298">
        <f t="shared" si="1"/>
        <v>0</v>
      </c>
      <c r="AE22" s="298">
        <f t="shared" si="1"/>
        <v>0</v>
      </c>
      <c r="AF22" s="298">
        <f t="shared" si="1"/>
        <v>0</v>
      </c>
      <c r="AG22" s="299" t="str">
        <f>IF(E22&lt;&gt;"",E22,"")</f>
        <v>設計・ドキュメント規約違反の指摘例（カテゴリe）。</v>
      </c>
    </row>
    <row r="23" spans="1:33" x14ac:dyDescent="0.15">
      <c r="A23" s="272" t="s">
        <v>38</v>
      </c>
      <c r="B23" s="300" t="s">
        <v>331</v>
      </c>
      <c r="C23" s="272" t="s">
        <v>314</v>
      </c>
      <c r="D23" s="272" t="s">
        <v>332</v>
      </c>
      <c r="E23" s="271" t="s">
        <v>333</v>
      </c>
      <c r="F23" s="271"/>
      <c r="G23" s="271"/>
      <c r="H23" s="271"/>
      <c r="I23" s="271"/>
      <c r="J23" s="271"/>
      <c r="K23" s="272" t="s">
        <v>317</v>
      </c>
      <c r="R23" s="298">
        <f t="shared" si="1"/>
        <v>0</v>
      </c>
      <c r="S23" s="298">
        <f t="shared" si="1"/>
        <v>0</v>
      </c>
      <c r="T23" s="298">
        <f t="shared" si="1"/>
        <v>0</v>
      </c>
      <c r="U23" s="298">
        <f t="shared" si="1"/>
        <v>0</v>
      </c>
      <c r="V23" s="298">
        <f t="shared" si="1"/>
        <v>0</v>
      </c>
      <c r="W23" s="298">
        <f t="shared" si="1"/>
        <v>1</v>
      </c>
      <c r="X23" s="298">
        <f t="shared" si="1"/>
        <v>0</v>
      </c>
      <c r="Y23" s="298">
        <f t="shared" si="1"/>
        <v>0</v>
      </c>
      <c r="Z23" s="298">
        <f t="shared" si="1"/>
        <v>0</v>
      </c>
      <c r="AA23" s="298">
        <f t="shared" si="1"/>
        <v>0</v>
      </c>
      <c r="AB23" s="298">
        <f t="shared" si="1"/>
        <v>0</v>
      </c>
      <c r="AC23" s="298">
        <f t="shared" si="1"/>
        <v>0</v>
      </c>
      <c r="AD23" s="298">
        <f t="shared" si="1"/>
        <v>0</v>
      </c>
      <c r="AE23" s="298">
        <f t="shared" si="1"/>
        <v>0</v>
      </c>
      <c r="AF23" s="298">
        <f t="shared" si="1"/>
        <v>0</v>
      </c>
      <c r="AG23" s="299" t="str">
        <f>IF(E23&lt;&gt;"",E23,"")</f>
        <v>記述誤りの指摘例（カテゴリf）。</v>
      </c>
    </row>
    <row r="24" spans="1:33" x14ac:dyDescent="0.15">
      <c r="A24" s="272" t="s">
        <v>38</v>
      </c>
      <c r="B24" s="300" t="s">
        <v>334</v>
      </c>
      <c r="C24" s="272" t="s">
        <v>314</v>
      </c>
      <c r="D24" s="272" t="s">
        <v>335</v>
      </c>
      <c r="E24" s="271" t="s">
        <v>336</v>
      </c>
      <c r="F24" s="271"/>
      <c r="G24" s="271"/>
      <c r="H24" s="271"/>
      <c r="I24" s="271"/>
      <c r="J24" s="271"/>
      <c r="K24" s="272" t="s">
        <v>317</v>
      </c>
      <c r="R24" s="298">
        <f t="shared" si="1"/>
        <v>0</v>
      </c>
      <c r="S24" s="298">
        <f t="shared" si="1"/>
        <v>0</v>
      </c>
      <c r="T24" s="298">
        <f t="shared" si="1"/>
        <v>0</v>
      </c>
      <c r="U24" s="298">
        <f t="shared" si="1"/>
        <v>0</v>
      </c>
      <c r="V24" s="298">
        <f t="shared" si="1"/>
        <v>0</v>
      </c>
      <c r="W24" s="298">
        <f t="shared" si="1"/>
        <v>0</v>
      </c>
      <c r="X24" s="298">
        <f t="shared" si="1"/>
        <v>1</v>
      </c>
      <c r="Y24" s="298">
        <f t="shared" si="1"/>
        <v>0</v>
      </c>
      <c r="Z24" s="298">
        <f t="shared" si="1"/>
        <v>0</v>
      </c>
      <c r="AA24" s="298">
        <f t="shared" si="1"/>
        <v>0</v>
      </c>
      <c r="AB24" s="298">
        <f t="shared" si="1"/>
        <v>0</v>
      </c>
      <c r="AC24" s="298">
        <f t="shared" si="1"/>
        <v>0</v>
      </c>
      <c r="AD24" s="298">
        <f t="shared" si="1"/>
        <v>0</v>
      </c>
      <c r="AE24" s="298">
        <f t="shared" si="1"/>
        <v>0</v>
      </c>
      <c r="AF24" s="298">
        <f t="shared" si="1"/>
        <v>0</v>
      </c>
      <c r="AG24" s="299" t="str">
        <f>IF(E24&lt;&gt;"",E24,"")</f>
        <v>疑問点・確認の指摘例（カテゴリg）。</v>
      </c>
    </row>
    <row r="25" spans="1:33" x14ac:dyDescent="0.15">
      <c r="A25" s="272" t="s">
        <v>38</v>
      </c>
      <c r="B25" s="300" t="s">
        <v>337</v>
      </c>
      <c r="C25" s="272" t="s">
        <v>314</v>
      </c>
      <c r="D25" s="272" t="s">
        <v>338</v>
      </c>
      <c r="E25" s="271" t="s">
        <v>339</v>
      </c>
      <c r="F25" s="271"/>
      <c r="G25" s="271"/>
      <c r="H25" s="271"/>
      <c r="I25" s="271"/>
      <c r="J25" s="271"/>
      <c r="K25" s="272" t="s">
        <v>317</v>
      </c>
      <c r="R25" s="298">
        <f t="shared" si="1"/>
        <v>0</v>
      </c>
      <c r="S25" s="298">
        <f t="shared" si="1"/>
        <v>0</v>
      </c>
      <c r="T25" s="298">
        <f t="shared" si="1"/>
        <v>0</v>
      </c>
      <c r="U25" s="298">
        <f t="shared" si="1"/>
        <v>0</v>
      </c>
      <c r="V25" s="298">
        <f t="shared" si="1"/>
        <v>0</v>
      </c>
      <c r="W25" s="298">
        <f t="shared" si="1"/>
        <v>0</v>
      </c>
      <c r="X25" s="298">
        <f t="shared" si="1"/>
        <v>0</v>
      </c>
      <c r="Y25" s="298">
        <f t="shared" si="1"/>
        <v>1</v>
      </c>
      <c r="Z25" s="298">
        <f t="shared" si="1"/>
        <v>0</v>
      </c>
      <c r="AA25" s="298">
        <f t="shared" si="1"/>
        <v>0</v>
      </c>
      <c r="AB25" s="298">
        <f t="shared" si="1"/>
        <v>0</v>
      </c>
      <c r="AC25" s="298">
        <f t="shared" si="1"/>
        <v>0</v>
      </c>
      <c r="AD25" s="298">
        <f t="shared" si="1"/>
        <v>0</v>
      </c>
      <c r="AE25" s="298">
        <f t="shared" si="1"/>
        <v>0</v>
      </c>
      <c r="AF25" s="298">
        <f t="shared" si="1"/>
        <v>0</v>
      </c>
      <c r="AG25" s="299" t="str">
        <f>IF(E25&lt;&gt;"",E25,"")</f>
        <v>改善要望の指摘例（カテゴリh）。</v>
      </c>
    </row>
    <row r="26" spans="1:33" x14ac:dyDescent="0.15">
      <c r="A26" s="272" t="s">
        <v>38</v>
      </c>
      <c r="B26" s="300" t="s">
        <v>340</v>
      </c>
      <c r="C26" s="272" t="s">
        <v>314</v>
      </c>
      <c r="D26" s="272" t="s">
        <v>341</v>
      </c>
      <c r="E26" s="271" t="s">
        <v>342</v>
      </c>
      <c r="F26" s="271"/>
      <c r="G26" s="271"/>
      <c r="H26" s="271"/>
      <c r="I26" s="271"/>
      <c r="J26" s="271"/>
      <c r="K26" s="272" t="s">
        <v>317</v>
      </c>
      <c r="R26" s="298">
        <f t="shared" si="1"/>
        <v>0</v>
      </c>
      <c r="S26" s="298">
        <f t="shared" si="1"/>
        <v>0</v>
      </c>
      <c r="T26" s="298">
        <f t="shared" si="1"/>
        <v>0</v>
      </c>
      <c r="U26" s="298">
        <f t="shared" si="1"/>
        <v>0</v>
      </c>
      <c r="V26" s="298">
        <f t="shared" si="1"/>
        <v>0</v>
      </c>
      <c r="W26" s="298">
        <f t="shared" si="1"/>
        <v>0</v>
      </c>
      <c r="X26" s="298">
        <f t="shared" si="1"/>
        <v>0</v>
      </c>
      <c r="Y26" s="298">
        <f t="shared" si="1"/>
        <v>0</v>
      </c>
      <c r="Z26" s="298">
        <f t="shared" si="1"/>
        <v>1</v>
      </c>
      <c r="AA26" s="298">
        <f t="shared" si="1"/>
        <v>0</v>
      </c>
      <c r="AB26" s="298">
        <f t="shared" si="1"/>
        <v>0</v>
      </c>
      <c r="AC26" s="298">
        <f t="shared" si="1"/>
        <v>0</v>
      </c>
      <c r="AD26" s="298">
        <f t="shared" si="1"/>
        <v>0</v>
      </c>
      <c r="AE26" s="298">
        <f t="shared" si="1"/>
        <v>0</v>
      </c>
      <c r="AF26" s="298">
        <f t="shared" si="1"/>
        <v>0</v>
      </c>
      <c r="AG26" s="299" t="str">
        <f>IF(E26&lt;&gt;"",E26,"")</f>
        <v>仕様変更の指摘例（カテゴリi）。</v>
      </c>
    </row>
    <row r="27" spans="1:33" x14ac:dyDescent="0.15">
      <c r="A27" s="272" t="s">
        <v>38</v>
      </c>
      <c r="B27" s="300" t="s">
        <v>343</v>
      </c>
      <c r="C27" s="272" t="s">
        <v>314</v>
      </c>
      <c r="D27" s="272" t="s">
        <v>344</v>
      </c>
      <c r="E27" s="271" t="s">
        <v>345</v>
      </c>
      <c r="F27" s="271"/>
      <c r="G27" s="271"/>
      <c r="H27" s="271"/>
      <c r="I27" s="271"/>
      <c r="J27" s="271"/>
      <c r="K27" s="272" t="s">
        <v>317</v>
      </c>
      <c r="R27" s="298">
        <f t="shared" si="1"/>
        <v>0</v>
      </c>
      <c r="S27" s="298">
        <f t="shared" si="1"/>
        <v>0</v>
      </c>
      <c r="T27" s="298">
        <f t="shared" si="1"/>
        <v>0</v>
      </c>
      <c r="U27" s="298">
        <f t="shared" si="1"/>
        <v>0</v>
      </c>
      <c r="V27" s="298">
        <f t="shared" si="1"/>
        <v>0</v>
      </c>
      <c r="W27" s="298">
        <f t="shared" si="1"/>
        <v>0</v>
      </c>
      <c r="X27" s="298">
        <f t="shared" si="1"/>
        <v>0</v>
      </c>
      <c r="Y27" s="298">
        <f t="shared" si="1"/>
        <v>0</v>
      </c>
      <c r="Z27" s="298">
        <f t="shared" si="1"/>
        <v>0</v>
      </c>
      <c r="AA27" s="298">
        <f t="shared" si="1"/>
        <v>1</v>
      </c>
      <c r="AB27" s="298">
        <f t="shared" si="1"/>
        <v>0</v>
      </c>
      <c r="AC27" s="298">
        <f t="shared" si="1"/>
        <v>0</v>
      </c>
      <c r="AD27" s="298">
        <f t="shared" si="1"/>
        <v>0</v>
      </c>
      <c r="AE27" s="298">
        <f t="shared" si="1"/>
        <v>0</v>
      </c>
      <c r="AF27" s="298">
        <f t="shared" si="1"/>
        <v>0</v>
      </c>
      <c r="AG27" s="299" t="str">
        <f>IF(E27&lt;&gt;"",E27,"")</f>
        <v>テスト項目漏れの指摘例（カテゴリj）。</v>
      </c>
    </row>
    <row r="28" spans="1:33" x14ac:dyDescent="0.15">
      <c r="A28" s="272" t="s">
        <v>38</v>
      </c>
      <c r="B28" s="300" t="s">
        <v>346</v>
      </c>
      <c r="C28" s="272" t="s">
        <v>314</v>
      </c>
      <c r="D28" s="272" t="s">
        <v>347</v>
      </c>
      <c r="E28" s="271" t="s">
        <v>348</v>
      </c>
      <c r="F28" s="271"/>
      <c r="G28" s="271"/>
      <c r="H28" s="271"/>
      <c r="I28" s="271"/>
      <c r="J28" s="271"/>
      <c r="K28" s="272" t="s">
        <v>317</v>
      </c>
      <c r="R28" s="298">
        <f t="shared" si="1"/>
        <v>0</v>
      </c>
      <c r="S28" s="298">
        <f t="shared" si="1"/>
        <v>0</v>
      </c>
      <c r="T28" s="298">
        <f t="shared" si="1"/>
        <v>0</v>
      </c>
      <c r="U28" s="298">
        <f t="shared" si="1"/>
        <v>0</v>
      </c>
      <c r="V28" s="298">
        <f t="shared" si="1"/>
        <v>0</v>
      </c>
      <c r="W28" s="298">
        <f t="shared" si="1"/>
        <v>0</v>
      </c>
      <c r="X28" s="298">
        <f t="shared" si="1"/>
        <v>0</v>
      </c>
      <c r="Y28" s="298">
        <f t="shared" si="1"/>
        <v>0</v>
      </c>
      <c r="Z28" s="298">
        <f t="shared" si="1"/>
        <v>0</v>
      </c>
      <c r="AA28" s="298">
        <f t="shared" si="1"/>
        <v>0</v>
      </c>
      <c r="AB28" s="298">
        <f t="shared" si="1"/>
        <v>1</v>
      </c>
      <c r="AC28" s="298">
        <f t="shared" si="1"/>
        <v>0</v>
      </c>
      <c r="AD28" s="298">
        <f t="shared" si="1"/>
        <v>0</v>
      </c>
      <c r="AE28" s="298">
        <f t="shared" si="1"/>
        <v>0</v>
      </c>
      <c r="AF28" s="298">
        <f t="shared" si="1"/>
        <v>0</v>
      </c>
      <c r="AG28" s="299" t="str">
        <f>IF(E28&lt;&gt;"",E28,"")</f>
        <v>テスト漏れの指摘例（カテゴリk）。</v>
      </c>
    </row>
    <row r="29" spans="1:33" x14ac:dyDescent="0.15">
      <c r="A29" s="272" t="s">
        <v>38</v>
      </c>
      <c r="B29" s="300" t="s">
        <v>349</v>
      </c>
      <c r="C29" s="272" t="s">
        <v>314</v>
      </c>
      <c r="D29" s="272" t="s">
        <v>350</v>
      </c>
      <c r="E29" s="271" t="s">
        <v>351</v>
      </c>
      <c r="F29" s="271"/>
      <c r="G29" s="271"/>
      <c r="H29" s="271"/>
      <c r="I29" s="271"/>
      <c r="J29" s="271"/>
      <c r="K29" s="272" t="s">
        <v>317</v>
      </c>
      <c r="R29" s="298">
        <f t="shared" si="1"/>
        <v>0</v>
      </c>
      <c r="S29" s="298">
        <f t="shared" si="1"/>
        <v>0</v>
      </c>
      <c r="T29" s="298">
        <f t="shared" si="1"/>
        <v>0</v>
      </c>
      <c r="U29" s="298">
        <f t="shared" si="1"/>
        <v>0</v>
      </c>
      <c r="V29" s="298">
        <f t="shared" si="1"/>
        <v>0</v>
      </c>
      <c r="W29" s="298">
        <f t="shared" si="1"/>
        <v>0</v>
      </c>
      <c r="X29" s="298">
        <f t="shared" si="1"/>
        <v>0</v>
      </c>
      <c r="Y29" s="298">
        <f t="shared" si="1"/>
        <v>0</v>
      </c>
      <c r="Z29" s="298">
        <f t="shared" si="1"/>
        <v>0</v>
      </c>
      <c r="AA29" s="298">
        <f t="shared" si="1"/>
        <v>0</v>
      </c>
      <c r="AB29" s="298">
        <f t="shared" si="1"/>
        <v>0</v>
      </c>
      <c r="AC29" s="298">
        <f t="shared" si="1"/>
        <v>1</v>
      </c>
      <c r="AD29" s="298">
        <f t="shared" si="1"/>
        <v>0</v>
      </c>
      <c r="AE29" s="298">
        <f t="shared" si="1"/>
        <v>0</v>
      </c>
      <c r="AF29" s="298">
        <f t="shared" si="1"/>
        <v>0</v>
      </c>
      <c r="AG29" s="299" t="str">
        <f>IF(E29&lt;&gt;"",E29,"")</f>
        <v>その他の指摘例（カテゴリl）。</v>
      </c>
    </row>
    <row r="30" spans="1:33" x14ac:dyDescent="0.15">
      <c r="A30" s="272"/>
      <c r="B30" s="272"/>
      <c r="C30" s="272"/>
      <c r="D30" s="272"/>
      <c r="E30" s="271"/>
      <c r="F30" s="271"/>
      <c r="G30" s="271"/>
      <c r="H30" s="271"/>
      <c r="I30" s="271"/>
      <c r="J30" s="271"/>
      <c r="K30" s="272"/>
      <c r="R30" s="298">
        <f t="shared" si="1"/>
        <v>0</v>
      </c>
      <c r="S30" s="298">
        <f t="shared" si="1"/>
        <v>0</v>
      </c>
      <c r="T30" s="298">
        <f t="shared" si="1"/>
        <v>0</v>
      </c>
      <c r="U30" s="298">
        <f t="shared" si="1"/>
        <v>0</v>
      </c>
      <c r="V30" s="298">
        <f t="shared" si="1"/>
        <v>0</v>
      </c>
      <c r="W30" s="298">
        <f t="shared" si="1"/>
        <v>0</v>
      </c>
      <c r="X30" s="298">
        <f t="shared" si="1"/>
        <v>0</v>
      </c>
      <c r="Y30" s="298">
        <f t="shared" si="1"/>
        <v>0</v>
      </c>
      <c r="Z30" s="298">
        <f t="shared" si="1"/>
        <v>0</v>
      </c>
      <c r="AA30" s="298">
        <f t="shared" si="1"/>
        <v>0</v>
      </c>
      <c r="AB30" s="298">
        <f t="shared" si="1"/>
        <v>0</v>
      </c>
      <c r="AC30" s="298">
        <f t="shared" si="1"/>
        <v>0</v>
      </c>
      <c r="AD30" s="298">
        <f t="shared" si="1"/>
        <v>0</v>
      </c>
      <c r="AE30" s="298">
        <f t="shared" si="1"/>
        <v>0</v>
      </c>
      <c r="AF30" s="298">
        <f t="shared" si="1"/>
        <v>0</v>
      </c>
      <c r="AG30" s="299" t="str">
        <f>IF(E30&lt;&gt;"",E30,"")</f>
        <v/>
      </c>
    </row>
  </sheetData>
  <mergeCells count="18">
    <mergeCell ref="E28:J28"/>
    <mergeCell ref="E29:J29"/>
    <mergeCell ref="E30:J30"/>
    <mergeCell ref="E22:J22"/>
    <mergeCell ref="E23:J23"/>
    <mergeCell ref="E24:J24"/>
    <mergeCell ref="E25:J25"/>
    <mergeCell ref="E26:J26"/>
    <mergeCell ref="E27:J27"/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30">
    <cfRule type="expression" dxfId="0" priority="1" stopIfTrue="1">
      <formula>$K15="済"</formula>
    </cfRule>
  </conditionalFormatting>
  <dataValidations count="1">
    <dataValidation type="list" allowBlank="1" showInputMessage="1" showErrorMessage="1" sqref="K15:Q30" xr:uid="{9BE6D98D-84E9-4E2A-BB49-89ED8A7523A0}">
      <formula1>"未,済"</formula1>
    </dataValidation>
  </dataValidations>
  <hyperlinks>
    <hyperlink ref="B15" location="'変更履歴'!$E$65" display="'変更履歴'!$E$65" xr:uid="{27ACB1D0-C8C3-4F37-9B2B-C0843B36D966}"/>
    <hyperlink ref="B16" location="'変更履歴'!$E$70" display="'変更履歴'!$E$70" xr:uid="{DAEDF2CD-4EEB-4AD3-B926-FAD03177CB31}"/>
    <hyperlink ref="B17" location="'変更履歴'!$E$75" display="'変更履歴'!$E$75" xr:uid="{83C3B087-4FD2-43D8-9115-0FB62BE63DF9}"/>
    <hyperlink ref="B18" location="'2. WA1020101(プロジェクト登録画面)'!$B$5" display="'2. WA1020101(プロジェクト登録画面)'!$B$5" xr:uid="{D8075166-8D6B-4457-A3C7-A83865F3219C}"/>
    <hyperlink ref="B19" location="'2. WA1020101(プロジェクト登録画面)'!$E$60" display="'2. WA1020101(プロジェクト登録画面)'!$E$60" xr:uid="{F778890E-60CF-4842-89B4-E3325807C923}"/>
    <hyperlink ref="B20" location="'2. WA1020101(プロジェクト登録画面)'!$E$62" display="'2. WA1020101(プロジェクト登録画面)'!$E$62" xr:uid="{A36686D8-BA15-4DDC-853F-780E99886FD0}"/>
    <hyperlink ref="B21" location="'2. WA1020101(プロジェクト登録画面)'!$E$63" display="'2. WA1020101(プロジェクト登録画面)'!$E$63" xr:uid="{5897464C-D7FB-436F-AFCE-15F36843FEF8}"/>
    <hyperlink ref="B22" location="'2. WA1020101(プロジェクト登録画面)'!$E$64" display="'2. WA1020101(プロジェクト登録画面)'!$E$64" xr:uid="{810C0EE3-0C39-4084-BA07-8CC3023D21EA}"/>
    <hyperlink ref="B23" location="'2. WA1020101(プロジェクト登録画面)'!$E$65" display="'2. WA1020101(プロジェクト登録画面)'!$E$65" xr:uid="{D60A4E58-E1FA-41BD-B942-6D308C4877A5}"/>
    <hyperlink ref="B24" location="'2. WA1020101(プロジェクト登録画面)'!$E$66" display="'2. WA1020101(プロジェクト登録画面)'!$E$66" xr:uid="{66C92CF3-07F8-4677-A9A6-F0EA7F228E61}"/>
    <hyperlink ref="B25" location="'2. WA1020101(プロジェクト登録画面)'!$E$67" display="'2. WA1020101(プロジェクト登録画面)'!$E$67" xr:uid="{7F2D3476-9348-493B-B1ED-8C73DBD5D2D9}"/>
    <hyperlink ref="B26" location="'2. WA1020101(プロジェクト登録画面)'!$E$68" display="'2. WA1020101(プロジェクト登録画面)'!$E$68" xr:uid="{71D916B6-B133-4E6D-849B-E1AD1EA0F47F}"/>
    <hyperlink ref="B27" location="'2. WA1020101(プロジェクト登録画面)'!$E$69" display="'2. WA1020101(プロジェクト登録画面)'!$E$69" xr:uid="{14EE1DBF-D8A9-4425-95F2-9369B7902476}"/>
    <hyperlink ref="B28" location="'2. WA1020101(プロジェクト登録画面)'!$E$70" display="'2. WA1020101(プロジェクト登録画面)'!$E$70" xr:uid="{132C7DCC-61EA-4A52-909A-2C6375D03A9B}"/>
    <hyperlink ref="B29" location="'2. WA1020101(プロジェクト登録画面)'!$E$71" display="'2. WA1020101(プロジェクト登録画面)'!$E$71" xr:uid="{D71C0125-1F0A-4633-B113-0F675530C0AE}"/>
  </hyperlinks>
  <pageMargins left="0.75" right="0.75" top="1" bottom="1" header="0.51200000000000001" footer="0.51200000000000001"/>
  <pageSetup paperSize="9" scale="55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75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  <row r="65" spans="5:5" x14ac:dyDescent="0.15"/>
    <row r="70" spans="5:5" x14ac:dyDescent="0.15"/>
    <row r="75" spans="5:5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2026-03-13T00:27:34Z</dcterms:modified>
</cp:coreProperties>
</file>