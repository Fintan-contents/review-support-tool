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ie303229\AppData\Local\Temp\pytest-of-tie303229\pytest-21\scenario05_0\scenario05\"/>
    </mc:Choice>
  </mc:AlternateContent>
  <xr:revisionPtr revIDLastSave="0" documentId="13_ncr:1_{33045A1C-39D7-4B10-B22C-06B2103059A4}" xr6:coauthVersionLast="47" xr6:coauthVersionMax="47" xr10:uidLastSave="{00000000-0000-0000-0000-000000000000}"/>
  <bookViews>
    <workbookView xWindow="780" yWindow="780" windowWidth="38700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レビュー結果1回目!$A$1:$K$18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9" l="1"/>
  <c r="T18" i="9"/>
  <c r="S18" i="9"/>
  <c r="R18" i="9"/>
  <c r="Q18" i="9"/>
  <c r="P18" i="9"/>
  <c r="O18" i="9"/>
  <c r="N18" i="9"/>
  <c r="M18" i="9"/>
  <c r="L18" i="9"/>
  <c r="U17" i="9"/>
  <c r="T17" i="9"/>
  <c r="S17" i="9"/>
  <c r="R17" i="9"/>
  <c r="Q17" i="9"/>
  <c r="P17" i="9"/>
  <c r="O17" i="9"/>
  <c r="N17" i="9"/>
  <c r="M17" i="9"/>
  <c r="L17" i="9"/>
  <c r="U16" i="9"/>
  <c r="T16" i="9"/>
  <c r="S16" i="9"/>
  <c r="R16" i="9"/>
  <c r="Q16" i="9"/>
  <c r="P16" i="9"/>
  <c r="O16" i="9"/>
  <c r="N16" i="9"/>
  <c r="M16" i="9"/>
  <c r="L16" i="9"/>
  <c r="U15" i="9"/>
  <c r="T15" i="9"/>
  <c r="J10" i="9" s="1"/>
  <c r="S15" i="9"/>
  <c r="R15" i="9"/>
  <c r="Q15" i="9"/>
  <c r="P15" i="9"/>
  <c r="F10" i="9" s="1"/>
  <c r="O15" i="9"/>
  <c r="N15" i="9"/>
  <c r="D10" i="9" s="1"/>
  <c r="M15" i="9"/>
  <c r="C10" i="9" s="1"/>
  <c r="L15" i="9"/>
  <c r="I10" i="9"/>
  <c r="H10" i="9"/>
  <c r="G10" i="9"/>
  <c r="J9" i="9"/>
  <c r="I9" i="9"/>
  <c r="H9" i="9"/>
  <c r="G9" i="9"/>
  <c r="F9" i="9"/>
  <c r="E9" i="9"/>
  <c r="D9" i="9"/>
  <c r="C9" i="9"/>
  <c r="B9" i="9"/>
  <c r="E10" i="9" l="1"/>
  <c r="B10" i="9"/>
  <c r="B11" i="9" s="1"/>
  <c r="F11" i="9"/>
  <c r="I11" i="9"/>
  <c r="G11" i="9"/>
  <c r="H11" i="9"/>
  <c r="C11" i="9"/>
  <c r="D11" i="9"/>
  <c r="E11" i="9"/>
  <c r="J11" i="9"/>
  <c r="K9" i="9"/>
  <c r="K10" i="9" l="1"/>
  <c r="K11" i="9" s="1"/>
  <c r="AG2" i="2" l="1"/>
  <c r="AG1" i="2"/>
  <c r="AC1" i="2"/>
  <c r="AG3" i="7"/>
  <c r="E3" i="6"/>
  <c r="AG1" i="4"/>
  <c r="S1" i="3"/>
  <c r="AC1" i="4"/>
  <c r="AG1" i="6"/>
  <c r="S1" i="5"/>
  <c r="AC3" i="7"/>
  <c r="AG2" i="6"/>
  <c r="E2" i="5"/>
  <c r="E1" i="3"/>
  <c r="AG3" i="3"/>
  <c r="E2" i="7"/>
  <c r="AC1" i="6"/>
  <c r="E1" i="5"/>
  <c r="AC3" i="3"/>
  <c r="E3" i="7"/>
  <c r="AG1" i="5"/>
  <c r="S1" i="4"/>
  <c r="AG2" i="7"/>
  <c r="E2" i="6"/>
  <c r="AC1" i="5"/>
  <c r="E1" i="4"/>
  <c r="AC2" i="2"/>
  <c r="AC1" i="7"/>
  <c r="E1" i="6"/>
  <c r="AC3" i="4"/>
  <c r="AG2" i="3"/>
  <c r="AG3" i="5"/>
  <c r="AC2" i="3"/>
  <c r="E1" i="7"/>
  <c r="AC3" i="5"/>
  <c r="AG2" i="4"/>
  <c r="E2" i="3"/>
  <c r="AC3" i="6"/>
  <c r="AG2" i="5"/>
  <c r="E2" i="4"/>
  <c r="AC1" i="3"/>
  <c r="S1" i="6"/>
  <c r="AG3" i="4"/>
  <c r="S1" i="7"/>
  <c r="E3" i="4"/>
  <c r="I25" i="1"/>
  <c r="AG3" i="6"/>
  <c r="E3" i="5"/>
  <c r="AC2" i="4"/>
  <c r="AG1" i="3"/>
  <c r="AG1" i="7"/>
  <c r="E3" i="3"/>
  <c r="AC2" i="6"/>
  <c r="AC2" i="7"/>
  <c r="AC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A71" authorId="0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</commentList>
</comments>
</file>

<file path=xl/sharedStrings.xml><?xml version="1.0" encoding="utf-8"?>
<sst xmlns="http://schemas.openxmlformats.org/spreadsheetml/2006/main" count="844" uniqueCount="319">
  <si>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</si>
  <si>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</si>
  <si>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</si>
  <si>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</si>
  <si>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</si>
  <si>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</si>
  <si>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</si>
  <si>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</si>
  <si>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</si>
  <si>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</si>
  <si>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</si>
  <si>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</si>
  <si>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</si>
  <si>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</si>
  <si>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</si>
  <si>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</si>
  <si>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</si>
  <si>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</si>
  <si>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</si>
  <si>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</si>
  <si>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</si>
  <si>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</si>
  <si>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</si>
  <si>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</si>
  <si>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</si>
  <si>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</si>
  <si>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</si>
  <si>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</si>
  <si>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</si>
  <si>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</si>
  <si>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</si>
  <si>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</si>
  <si>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</si>
  <si>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</si>
  <si>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</si>
  <si>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</si>
  <si>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</si>
  <si>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</si>
  <si>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</si>
  <si>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</si>
  <si>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</si>
  <si>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</si>
  <si>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</si>
  <si>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</si>
  <si>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</si>
  <si>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</si>
  <si>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</si>
  <si>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</si>
  <si>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</si>
  <si>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</si>
  <si>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</si>
  <si>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</si>
  <si>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</si>
  <si>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</si>
  <si>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</si>
  <si>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</si>
  <si>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</si>
  <si>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</si>
  <si>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</si>
  <si>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</si>
  <si>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</si>
  <si>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</si>
  <si>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</si>
  <si>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</si>
  <si>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</si>
  <si>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</si>
  <si>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</si>
  <si>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</si>
  <si>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</si>
  <si>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</si>
  <si>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</si>
  <si>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</si>
  <si>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</si>
  <si>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</si>
  <si>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</si>
  <si>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</si>
  <si>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</si>
  <si>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</si>
  <si>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</si>
  <si>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</si>
  <si>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</si>
  <si>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</si>
  <si>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</si>
  <si>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</si>
  <si>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</si>
  <si>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</si>
  <si>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</si>
  <si>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</si>
  <si>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</si>
  <si>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</si>
  <si>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</si>
  <si>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</si>
  <si>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</si>
  <si>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</si>
  <si>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</si>
  <si>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</si>
  <si>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</si>
  <si>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</si>
  <si>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</si>
  <si>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</si>
  <si>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</si>
  <si>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</si>
  <si>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</si>
  <si>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</si>
  <si>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</si>
  <si>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</si>
  <si>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</si>
  <si>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</si>
  <si>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</si>
  <si>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</si>
  <si>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</si>
  <si>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</si>
  <si>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</si>
  <si>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</si>
  <si>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</si>
  <si>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</si>
  <si>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</si>
  <si>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</si>
  <si>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</si>
  <si>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</si>
  <si>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</si>
  <si>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</si>
  <si>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</si>
  <si>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</si>
  <si>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</si>
  <si>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</si>
  <si>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</si>
  <si>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</si>
  <si>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</si>
  <si>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</si>
  <si>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</si>
  <si>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</si>
  <si>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</si>
  <si>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</si>
  <si>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</si>
  <si>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</si>
  <si>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</si>
  <si>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</si>
  <si>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</si>
  <si>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</si>
  <si>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</si>
  <si>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</si>
  <si>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</si>
  <si>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</si>
  <si>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</si>
  <si>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</si>
  <si>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</si>
  <si>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</si>
  <si>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</si>
  <si>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</si>
  <si>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</si>
  <si>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</si>
  <si>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</si>
  <si>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</si>
  <si>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</si>
  <si>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</si>
  <si>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</si>
  <si>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</si>
  <si>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</si>
  <si>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</si>
  <si>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</si>
  <si>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</si>
  <si>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</si>
  <si>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</si>
  <si>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</si>
  <si>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</si>
  <si>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</si>
  <si>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</si>
  <si>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</si>
  <si>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</si>
  <si>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</si>
  <si>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</si>
  <si>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</si>
  <si>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</si>
  <si>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</si>
  <si>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</si>
  <si>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</si>
  <si>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</si>
  <si>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</si>
  <si>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</si>
  <si>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</si>
  <si>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</si>
  <si>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</si>
  <si>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</si>
  <si>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</si>
  <si>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</si>
  <si>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</si>
  <si>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</si>
  <si>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</si>
  <si>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</si>
  <si>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</si>
  <si>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</si>
  <si>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</si>
  <si>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</si>
  <si>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</si>
  <si>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</si>
  <si>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</si>
  <si>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</si>
  <si>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</si>
  <si>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</si>
  <si>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</si>
  <si>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</si>
  <si>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</si>
  <si>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</si>
  <si>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</si>
  <si>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</si>
  <si>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</si>
  <si>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</si>
  <si>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</si>
  <si>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</si>
  <si>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</si>
  <si>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</si>
  <si>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</si>
  <si>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</si>
  <si>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</si>
  <si>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</si>
  <si>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</si>
  <si>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</si>
  <si>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</si>
  <si>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</si>
  <si>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</si>
  <si>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</si>
  <si>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</si>
  <si>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</si>
  <si>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</si>
  <si>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</si>
  <si>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</si>
  <si>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</si>
  <si>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</si>
  <si>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</si>
  <si>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</si>
  <si>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</si>
  <si>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</si>
  <si>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</si>
  <si>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</si>
  <si>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</si>
  <si>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</si>
  <si>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</si>
  <si>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</si>
  <si>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</si>
  <si>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</si>
  <si>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</si>
  <si>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</si>
  <si>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</si>
  <si>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</si>
  <si>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</si>
  <si>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</si>
  <si>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</si>
  <si>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</si>
  <si>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</si>
  <si>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</si>
  <si>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</si>
  <si>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</si>
  <si>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</si>
  <si>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</si>
  <si>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</si>
  <si>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</si>
  <si>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</si>
  <si>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</si>
  <si>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</si>
  <si>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</si>
  <si>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</si>
  <si>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</si>
  <si>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</si>
  <si>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</si>
  <si>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</si>
  <si>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</si>
  <si>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</si>
  <si>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</si>
  <si>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</si>
  <si>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</si>
  <si>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</si>
  <si>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</si>
  <si>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</si>
  <si>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</si>
  <si>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</si>
  <si>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</si>
  <si>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</si>
  <si>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</si>
  <si>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</si>
  <si>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</si>
  <si>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</si>
  <si>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</si>
  <si>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</si>
  <si>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</si>
  <si>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</si>
  <si>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対応状況</t>
    <rPh sb="0" eb="2">
      <t>タイオウ</t>
    </rPh>
    <rPh sb="2" eb="4">
      <t>ジョウキョウ</t>
    </rPh>
    <phoneticPr fontId="13"/>
  </si>
  <si>
    <t>01_要件漏れ</t>
  </si>
  <si>
    <t>02_要件誤り</t>
  </si>
  <si>
    <t>11_機能・仕様漏れ</t>
  </si>
  <si>
    <t>12_機能・仕様誤り</t>
  </si>
  <si>
    <t>21_設計・ドキュメント規約違反</t>
  </si>
  <si>
    <t>22_記述誤り</t>
  </si>
  <si>
    <t>91_疑問点、確認</t>
  </si>
  <si>
    <t>92_改善要望</t>
  </si>
  <si>
    <t>93_仕様変更</t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</si>
  <si>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</si>
  <si>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</si>
  <si>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</si>
  <si>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</si>
  <si>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</si>
  <si>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</si>
  <si>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</si>
  <si>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</si>
  <si>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</si>
  <si>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</si>
  <si>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システム機能設計書_サンプルA_S05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</si>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</sst>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410A-7BCE-42E3-8E86-B72D4052DD12}">
  <sheetPr codeName="SheetTemplate">
    <tabColor indexed="44"/>
    <pageSetUpPr fitToPage="1"/>
  </sheetPr>
  <dimension ref="A1:U18"/>
  <sheetViews>
    <sheetView showGridLines="0" tabSelected="1" view="pageBreakPreview" zoomScale="85" zoomScaleNormal="75" workbookViewId="0">
      <pane ySplit="14" topLeftCell="A15" activePane="bottomLeft" state="frozen"/>
      <selection pane="bottomLeft"/>
    </sheetView>
  </sheetViews>
  <sheetFormatPr defaultRowHeight="13.5" x14ac:dyDescent="0.15"/>
  <cols>
    <col min="1" max="1" width="9.33203125" style="262"/>
    <col min="2" max="11" width="17.6640625" style="262" customWidth="1"/>
    <col min="12" max="20" width="4.5" style="262" customWidth="1"/>
    <col min="21" max="21" width="98.1640625" style="262" customWidth="1"/>
    <col min="22" max="16384" width="9.33203125" style="262"/>
  </cols>
  <sheetData>
    <row r="1" spans="1:21" x14ac:dyDescent="0.15">
      <c r="A1" s="261" t="s">
        <v>265</v>
      </c>
      <c r="L1" s="263"/>
      <c r="U1" s="264" t="s">
        <v>266</v>
      </c>
    </row>
    <row r="2" spans="1:21" x14ac:dyDescent="0.15">
      <c r="A2" s="262" t="s">
        <v>267</v>
      </c>
      <c r="E2" s="265" t="s">
        <v>268</v>
      </c>
      <c r="F2" s="266"/>
      <c r="G2" s="266"/>
      <c r="H2" s="266"/>
      <c r="I2" s="267"/>
      <c r="L2" s="263"/>
    </row>
    <row r="3" spans="1:21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1" x14ac:dyDescent="0.15">
      <c r="A4" s="271" t="s">
        <v>306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21" x14ac:dyDescent="0.15">
      <c r="A6" s="261" t="s">
        <v>276</v>
      </c>
    </row>
    <row r="7" spans="1:21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</row>
    <row r="8" spans="1:21" ht="27" x14ac:dyDescent="0.15">
      <c r="A8" s="269" t="s">
        <v>286</v>
      </c>
      <c r="B8" s="277" t="s">
        <v>287</v>
      </c>
      <c r="C8" s="277" t="s">
        <v>288</v>
      </c>
      <c r="D8" s="277" t="s">
        <v>289</v>
      </c>
      <c r="E8" s="278" t="s">
        <v>290</v>
      </c>
      <c r="F8" s="277" t="s">
        <v>291</v>
      </c>
      <c r="G8" s="277" t="s">
        <v>292</v>
      </c>
      <c r="H8" s="277" t="s">
        <v>293</v>
      </c>
      <c r="I8" s="277" t="s">
        <v>294</v>
      </c>
      <c r="J8" s="278" t="s">
        <v>295</v>
      </c>
      <c r="K8" s="279" t="s">
        <v>296</v>
      </c>
      <c r="L8" s="280"/>
      <c r="M8" s="280"/>
      <c r="N8" s="280"/>
      <c r="O8" s="280"/>
      <c r="P8" s="280"/>
      <c r="Q8" s="280"/>
      <c r="R8" s="280"/>
      <c r="S8" s="280"/>
      <c r="T8" s="280"/>
    </row>
    <row r="9" spans="1:21" x14ac:dyDescent="0.15">
      <c r="A9" s="269" t="s">
        <v>297</v>
      </c>
      <c r="B9" s="281" t="str">
        <f>IF(SUMIF($K15:$K18,$A9,L15:L18)=0,"",SUMIF($K15:$K18,$A9,L15:L18))</f>
        <v/>
      </c>
      <c r="C9" s="281" t="str">
        <f>IF(SUMIF($K15:$K18,$A9,M15:M18)=0,"",SUMIF($K15:$K18,$A9,M15:M18))</f>
        <v/>
      </c>
      <c r="D9" s="281">
        <f>IF(SUMIF($K15:$K18,$A9,N15:N18)=0,"",SUMIF($K15:$K18,$A9,N15:N18))</f>
        <v>1</v>
      </c>
      <c r="E9" s="281" t="str">
        <f>IF(SUMIF($K15:$K18,$A9,O15:O18)=0,"",SUMIF($K15:$K18,$A9,O15:O18))</f>
        <v/>
      </c>
      <c r="F9" s="281" t="str">
        <f>IF(SUMIF($K15:$K18,$A9,P15:P18)=0,"",SUMIF($K15:$K18,$A9,P15:P18))</f>
        <v/>
      </c>
      <c r="G9" s="281" t="str">
        <f>IF(SUMIF($K15:$K18,$A9,Q15:Q18)=0,"",SUMIF($K15:$K18,$A9,Q15:Q18))</f>
        <v/>
      </c>
      <c r="H9" s="281" t="str">
        <f>IF(SUMIF($K15:$K18,$A9,R15:R18)=0,"",SUMIF($K15:$K18,$A9,R15:R18))</f>
        <v/>
      </c>
      <c r="I9" s="281" t="str">
        <f>IF(SUMIF($K15:$K18,$A9,S15:S18)=0,"",SUMIF($K15:$K18,$A9,S15:S18))</f>
        <v/>
      </c>
      <c r="J9" s="281" t="str">
        <f>IF(SUMIF($K15:$K18,$A9,T15:T18)=0,"",SUMIF($K15:$K18,$A9,T15:T18))</f>
        <v/>
      </c>
      <c r="K9" s="282">
        <f>SUM(B9:J9)</f>
        <v>1</v>
      </c>
      <c r="L9" s="261"/>
      <c r="M9" s="261"/>
      <c r="N9" s="261"/>
      <c r="O9" s="261"/>
      <c r="P9" s="261"/>
      <c r="Q9" s="261"/>
      <c r="R9" s="261"/>
      <c r="S9" s="261"/>
      <c r="T9" s="261"/>
    </row>
    <row r="10" spans="1:21" x14ac:dyDescent="0.15">
      <c r="A10" s="269" t="s">
        <v>298</v>
      </c>
      <c r="B10" s="281">
        <f>IF(SUMIF($K15:$K18,$A10,L15:L18)=0,"",SUMIF($K15:$K18,$A10,L15:L18))</f>
        <v>1</v>
      </c>
      <c r="C10" s="281">
        <f>IF(SUMIF($K15:$K18,$A10,M15:M18)=0,"",SUMIF($K15:$K18,$A10,M15:M18))</f>
        <v>1</v>
      </c>
      <c r="D10" s="281" t="str">
        <f>IF(SUMIF($K15:$K18,$A10,N15:N18)=0,"",SUMIF($K15:$K18,$A10,N15:N18))</f>
        <v/>
      </c>
      <c r="E10" s="281" t="str">
        <f>IF(SUMIF($K15:$K18,$A10,O15:O18)=0,"",SUMIF($K15:$K18,$A10,O15:O18))</f>
        <v/>
      </c>
      <c r="F10" s="281" t="str">
        <f>IF(SUMIF($K15:$K18,$A10,P15:P18)=0,"",SUMIF($K15:$K18,$A10,P15:P18))</f>
        <v/>
      </c>
      <c r="G10" s="281" t="str">
        <f>IF(SUMIF($K15:$K18,$A10,Q15:Q18)=0,"",SUMIF($K15:$K18,$A10,Q15:Q18))</f>
        <v/>
      </c>
      <c r="H10" s="281" t="str">
        <f>IF(SUMIF($K15:$K18,$A10,R15:R18)=0,"",SUMIF($K15:$K18,$A10,R15:R18))</f>
        <v/>
      </c>
      <c r="I10" s="281" t="str">
        <f>IF(SUMIF($K15:$K18,$A10,S15:S18)=0,"",SUMIF($K15:$K18,$A10,S15:S18))</f>
        <v/>
      </c>
      <c r="J10" s="281" t="str">
        <f>IF(SUMIF($K15:$K18,$A10,T15:T18)=0,"",SUMIF($K15:$K18,$A10,T15:T18))</f>
        <v/>
      </c>
      <c r="K10" s="282">
        <f>SUM(B10:J10)</f>
        <v>2</v>
      </c>
      <c r="L10" s="261"/>
      <c r="M10" s="261"/>
      <c r="N10" s="261"/>
      <c r="O10" s="261"/>
      <c r="P10" s="261"/>
      <c r="Q10" s="261"/>
      <c r="R10" s="261"/>
      <c r="S10" s="261"/>
      <c r="T10" s="261"/>
    </row>
    <row r="11" spans="1:21" x14ac:dyDescent="0.15">
      <c r="A11" s="283" t="s">
        <v>296</v>
      </c>
      <c r="B11" s="284">
        <f>SUM(B9:B10)</f>
        <v>1</v>
      </c>
      <c r="C11" s="284">
        <f t="shared" ref="C11:K11" si="0">SUM(C9:C10)</f>
        <v>1</v>
      </c>
      <c r="D11" s="284">
        <f t="shared" si="0"/>
        <v>1</v>
      </c>
      <c r="E11" s="284">
        <f t="shared" si="0"/>
        <v>0</v>
      </c>
      <c r="F11" s="284">
        <f t="shared" si="0"/>
        <v>0</v>
      </c>
      <c r="G11" s="284">
        <f t="shared" si="0"/>
        <v>0</v>
      </c>
      <c r="H11" s="284">
        <f t="shared" si="0"/>
        <v>0</v>
      </c>
      <c r="I11" s="284">
        <f t="shared" si="0"/>
        <v>0</v>
      </c>
      <c r="J11" s="284">
        <f t="shared" si="0"/>
        <v>0</v>
      </c>
      <c r="K11" s="284">
        <f t="shared" si="0"/>
        <v>3</v>
      </c>
    </row>
    <row r="12" spans="1:21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</row>
    <row r="13" spans="1:21" x14ac:dyDescent="0.15">
      <c r="A13" s="286" t="s">
        <v>299</v>
      </c>
      <c r="B13" s="287"/>
      <c r="C13" s="287"/>
      <c r="D13" s="287"/>
      <c r="F13" s="287"/>
      <c r="L13" s="263" t="s">
        <v>300</v>
      </c>
      <c r="M13" s="263"/>
      <c r="N13" s="263"/>
      <c r="O13" s="263"/>
      <c r="P13" s="263"/>
      <c r="Q13" s="263"/>
      <c r="R13" s="263"/>
      <c r="S13" s="263"/>
      <c r="T13" s="263"/>
    </row>
    <row r="14" spans="1:21" x14ac:dyDescent="0.15">
      <c r="A14" s="288" t="s">
        <v>301</v>
      </c>
      <c r="B14" s="288" t="s">
        <v>302</v>
      </c>
      <c r="C14" s="288" t="s">
        <v>303</v>
      </c>
      <c r="D14" s="288" t="s">
        <v>304</v>
      </c>
      <c r="E14" s="289" t="s">
        <v>305</v>
      </c>
      <c r="F14" s="290"/>
      <c r="G14" s="291"/>
      <c r="H14" s="291"/>
      <c r="I14" s="291"/>
      <c r="J14" s="292"/>
      <c r="K14" s="293" t="s">
        <v>286</v>
      </c>
      <c r="L14" s="294" t="s">
        <v>277</v>
      </c>
      <c r="M14" s="294" t="s">
        <v>278</v>
      </c>
      <c r="N14" s="294" t="s">
        <v>279</v>
      </c>
      <c r="O14" s="294" t="s">
        <v>280</v>
      </c>
      <c r="P14" s="294" t="s">
        <v>281</v>
      </c>
      <c r="Q14" s="294" t="s">
        <v>282</v>
      </c>
      <c r="R14" s="294" t="s">
        <v>283</v>
      </c>
      <c r="S14" s="294" t="s">
        <v>284</v>
      </c>
      <c r="T14" s="294" t="s">
        <v>285</v>
      </c>
    </row>
    <row r="15" spans="1:21" ht="40.5" x14ac:dyDescent="0.15">
      <c r="A15" s="272" t="s">
        <v>38</v>
      </c>
      <c r="B15" s="297" t="s">
        <v>307</v>
      </c>
      <c r="C15" s="272" t="s">
        <v>308</v>
      </c>
      <c r="D15" s="272" t="s">
        <v>309</v>
      </c>
      <c r="E15" s="298" t="s">
        <v>310</v>
      </c>
      <c r="F15" s="271"/>
      <c r="G15" s="271"/>
      <c r="H15" s="271"/>
      <c r="I15" s="271"/>
      <c r="J15" s="271"/>
      <c r="K15" s="272" t="s">
        <v>311</v>
      </c>
      <c r="L15" s="295">
        <f t="shared" ref="L15:T18" si="1">IF($D15=L$14,1,0)</f>
        <v>1</v>
      </c>
      <c r="M15" s="295">
        <f t="shared" si="1"/>
        <v>0</v>
      </c>
      <c r="N15" s="295">
        <f t="shared" si="1"/>
        <v>0</v>
      </c>
      <c r="O15" s="295">
        <f t="shared" si="1"/>
        <v>0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21" ht="40.5" x14ac:dyDescent="0.15">
      <c r="A16" s="272" t="s">
        <v>38</v>
      </c>
      <c r="B16" s="297" t="s">
        <v>312</v>
      </c>
      <c r="C16" s="272" t="s">
        <v>308</v>
      </c>
      <c r="D16" s="272" t="s">
        <v>313</v>
      </c>
      <c r="E16" s="298" t="s">
        <v>314</v>
      </c>
      <c r="F16" s="271"/>
      <c r="G16" s="271"/>
      <c r="H16" s="271"/>
      <c r="I16" s="271"/>
      <c r="J16" s="271"/>
      <c r="K16" s="272" t="s">
        <v>311</v>
      </c>
      <c r="L16" s="295">
        <f t="shared" si="1"/>
        <v>0</v>
      </c>
      <c r="M16" s="295">
        <f t="shared" si="1"/>
        <v>1</v>
      </c>
      <c r="N16" s="295">
        <f t="shared" si="1"/>
        <v>0</v>
      </c>
      <c r="O16" s="295">
        <f t="shared" si="1"/>
        <v>0</v>
      </c>
      <c r="P16" s="295">
        <f t="shared" si="1"/>
        <v>0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6" t="str">
        <f>IF(E16&lt;&gt;"",E16,"")</f>
        <v>対応内容の例。
---
対応内容はデリミタ（---）の後に記入する。</v>
      </c>
    </row>
    <row r="17" spans="1:21" ht="67.5" x14ac:dyDescent="0.15">
      <c r="A17" s="272" t="s">
        <v>38</v>
      </c>
      <c r="B17" s="297" t="s">
        <v>315</v>
      </c>
      <c r="C17" s="272" t="s">
        <v>308</v>
      </c>
      <c r="D17" s="272" t="s">
        <v>316</v>
      </c>
      <c r="E17" s="298" t="s">
        <v>317</v>
      </c>
      <c r="F17" s="271"/>
      <c r="G17" s="271"/>
      <c r="H17" s="271"/>
      <c r="I17" s="271"/>
      <c r="J17" s="271"/>
      <c r="K17" s="272" t="s">
        <v>318</v>
      </c>
      <c r="L17" s="295">
        <f t="shared" si="1"/>
        <v>0</v>
      </c>
      <c r="M17" s="295">
        <f t="shared" si="1"/>
        <v>0</v>
      </c>
      <c r="N17" s="295">
        <f t="shared" si="1"/>
        <v>1</v>
      </c>
      <c r="O17" s="295">
        <f t="shared" si="1"/>
        <v>0</v>
      </c>
      <c r="P17" s="295">
        <f t="shared" si="1"/>
        <v>0</v>
      </c>
      <c r="Q17" s="295">
        <f t="shared" si="1"/>
        <v>0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1" x14ac:dyDescent="0.15">
      <c r="A18" s="272"/>
      <c r="B18" s="272"/>
      <c r="C18" s="272"/>
      <c r="D18" s="272"/>
      <c r="E18" s="271"/>
      <c r="F18" s="271"/>
      <c r="G18" s="271"/>
      <c r="H18" s="271"/>
      <c r="I18" s="271"/>
      <c r="J18" s="271"/>
      <c r="K18" s="272"/>
      <c r="L18" s="295">
        <f t="shared" si="1"/>
        <v>0</v>
      </c>
      <c r="M18" s="295">
        <f t="shared" si="1"/>
        <v>0</v>
      </c>
      <c r="N18" s="295">
        <f t="shared" si="1"/>
        <v>0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0</v>
      </c>
      <c r="S18" s="295">
        <f t="shared" si="1"/>
        <v>0</v>
      </c>
      <c r="T18" s="295">
        <f t="shared" si="1"/>
        <v>0</v>
      </c>
      <c r="U18" s="296" t="str">
        <f>IF(E18&lt;&gt;"",E18,"")</f>
        <v/>
      </c>
    </row>
  </sheetData>
  <mergeCells count="6">
    <mergeCell ref="A3:B3"/>
    <mergeCell ref="A4:B4"/>
    <mergeCell ref="E15:J15"/>
    <mergeCell ref="E16:J16"/>
    <mergeCell ref="E17:J17"/>
    <mergeCell ref="E18:J18"/>
  </mergeCells>
  <phoneticPr fontId="10"/>
  <conditionalFormatting sqref="A15:T18">
    <cfRule type="expression" dxfId="0" priority="1" stopIfTrue="1">
      <formula>$K15="済"</formula>
    </cfRule>
  </conditionalFormatting>
  <dataValidations count="1">
    <dataValidation type="list" allowBlank="1" showInputMessage="1" showErrorMessage="1" sqref="K15:K18" xr:uid="{3CE9A1FE-7D6C-442D-A555-B7E2A619D18E}">
      <formula1>"未,済"</formula1>
    </dataValidation>
  </dataValidations>
  <hyperlinks>
    <hyperlink ref="B15" location="'2. WA1020101(プロジェクト登録画面)'!$B$5" display="'2. WA1020101(プロジェクト登録画面)'!$B$5" xr:uid="{D59654E0-3723-40D9-AFD6-AF11487DF24A}"/>
    <hyperlink ref="B16" location="'2. WA1020101(プロジェクト登録画面)'!$E$60" display="'2. WA1020101(プロジェクト登録画面)'!$E$60" xr:uid="{FA0B28C2-6002-4069-8512-B985841E132B}"/>
    <hyperlink ref="B17" location="'2. WA1020101(プロジェクト登録画面)'!$E$62" display="'2. WA1020101(プロジェクト登録画面)'!$E$62" xr:uid="{F7EF2AD7-B031-4FA6-92A3-A73BE419D240}"/>
  </hyperlinks>
  <pageMargins left="0.75" right="0.75" top="1" bottom="1" header="0.51200000000000001" footer="0.51200000000000001"/>
  <pageSetup paperSize="9" scale="86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熊野　吾郎</cp:lastModifiedBy>
  <dcterms:created xsi:type="dcterms:W3CDTF">2022-09-22T01:54:30Z</dcterms:created>
  <dcterms:modified xsi:type="dcterms:W3CDTF">2026-03-09T08:11:18Z</dcterms:modified>
</cp:coreProperties>
</file>