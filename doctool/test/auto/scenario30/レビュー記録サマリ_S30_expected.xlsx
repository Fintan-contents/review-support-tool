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645" yWindow="4665" windowWidth="38700" windowHeight="15345" tabRatio="600" firstSheet="0" activeTab="1" autoFilterDateGrouping="1"/>
  </bookViews>
  <sheets>
    <sheet name="品質指標" sheetId="1" state="visible" r:id="rId1"/>
    <sheet name="レビュー記録一覧" sheetId="2" state="visible" r:id="rId2"/>
    <sheet name="List" sheetId="3" state="visible" r:id="rId3"/>
  </sheets>
  <definedNames>
    <definedName name="Method">List!$C$2:$C$3</definedName>
    <definedName name="Necessity">List!$F$2:$F$3</definedName>
    <definedName name="Person">List!#REF!</definedName>
    <definedName name="Phase">List!$A$2:$A$10</definedName>
    <definedName name="Result">List!$E$2:$E$4</definedName>
    <definedName name="Time">List!$D$2:$D$3</definedName>
    <definedName name="Volume">List!$B$2:$B$4</definedName>
    <definedName name="_xlnm._FilterDatabase" localSheetId="1" hidden="1">'レビュー記録一覧'!$A$5:$AR$5</definedName>
    <definedName name="_xlnm.Print_Area" localSheetId="1">'レビュー記録一覧'!$A$1:$AK$23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_ "/>
    <numFmt numFmtId="165" formatCode="0.0_ "/>
    <numFmt numFmtId="166" formatCode="yyyy/mm/dd"/>
    <numFmt numFmtId="167" formatCode="hh:mm"/>
    <numFmt numFmtId="168" formatCode="#&quot;分&quot;"/>
    <numFmt numFmtId="169" formatCode="0&quot;件&quot;"/>
    <numFmt numFmtId="170" formatCode="0.00_ "/>
  </numFmts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MS UI Gothic"/>
      <charset val="128"/>
      <family val="3"/>
      <sz val="11"/>
    </font>
    <font>
      <name val="MS UI Gothic"/>
      <charset val="128"/>
      <family val="3"/>
      <b val="1"/>
      <sz val="11"/>
    </font>
    <font>
      <name val="MS UI Gothic"/>
      <charset val="128"/>
      <family val="3"/>
      <sz val="9"/>
    </font>
    <font>
      <name val="ＭＳ Ｐゴシック"/>
      <charset val="128"/>
      <family val="3"/>
      <sz val="11"/>
    </font>
    <font>
      <name val="MS UI Gothic"/>
      <charset val="128"/>
      <family val="3"/>
      <color indexed="22"/>
      <sz val="11"/>
    </font>
    <font>
      <name val="MS UI Gothic"/>
      <charset val="128"/>
      <family val="3"/>
      <color indexed="48"/>
      <sz val="11"/>
    </font>
    <font>
      <name val="MS UI Gothic"/>
      <charset val="128"/>
      <family val="3"/>
      <color indexed="12"/>
      <sz val="11"/>
    </font>
  </fonts>
  <fills count="7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6" fillId="0" borderId="0"/>
    <xf numFmtId="9" fontId="6" fillId="0" borderId="0"/>
    <xf numFmtId="0" fontId="6" fillId="0" borderId="0"/>
  </cellStyleXfs>
  <cellXfs count="76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3" borderId="2" pivotButton="0" quotePrefix="0" xfId="0"/>
    <xf numFmtId="0" fontId="3" fillId="3" borderId="3" pivotButton="0" quotePrefix="0" xfId="0"/>
    <xf numFmtId="0" fontId="3" fillId="3" borderId="4" pivotButton="0" quotePrefix="0" xfId="0"/>
    <xf numFmtId="0" fontId="3" fillId="3" borderId="5" pivotButton="0" quotePrefix="0" xfId="0"/>
    <xf numFmtId="0" fontId="3" fillId="3" borderId="6" pivotButton="0" quotePrefix="0" xfId="0"/>
    <xf numFmtId="0" fontId="3" fillId="3" borderId="7" pivotButton="0" quotePrefix="0" xfId="0"/>
    <xf numFmtId="0" fontId="3" fillId="3" borderId="8" pivotButton="0" quotePrefix="0" xfId="0"/>
    <xf numFmtId="0" fontId="3" fillId="3" borderId="9" pivotButton="0" quotePrefix="0" xfId="0"/>
    <xf numFmtId="0" fontId="3" fillId="3" borderId="10" pivotButton="0" quotePrefix="0" xfId="0"/>
    <xf numFmtId="0" fontId="3" fillId="3" borderId="11" pivotButton="0" quotePrefix="0" xfId="0"/>
    <xf numFmtId="0" fontId="3" fillId="3" borderId="12" pivotButton="0" quotePrefix="0" xfId="0"/>
    <xf numFmtId="0" fontId="3" fillId="3" borderId="13" pivotButton="0" quotePrefix="0" xfId="0"/>
    <xf numFmtId="0" fontId="3" fillId="3" borderId="1" pivotButton="0" quotePrefix="0" xfId="0"/>
    <xf numFmtId="0" fontId="3" fillId="3" borderId="14" pivotButton="0" quotePrefix="0" xfId="0"/>
    <xf numFmtId="0" fontId="3" fillId="0" borderId="0" applyAlignment="1" pivotButton="0" quotePrefix="0" xfId="0">
      <alignment horizontal="right"/>
    </xf>
    <xf numFmtId="2" fontId="3" fillId="0" borderId="0" pivotButton="0" quotePrefix="0" xfId="0"/>
    <xf numFmtId="164" fontId="3" fillId="0" borderId="1" applyAlignment="1" pivotButton="0" quotePrefix="0" xfId="0">
      <alignment horizontal="right"/>
    </xf>
    <xf numFmtId="0" fontId="3" fillId="0" borderId="3" pivotButton="0" quotePrefix="0" xfId="0"/>
    <xf numFmtId="0" fontId="3" fillId="0" borderId="5" pivotButton="0" quotePrefix="0" xfId="0"/>
    <xf numFmtId="0" fontId="3" fillId="3" borderId="1" applyAlignment="1" pivotButton="0" quotePrefix="0" xfId="0">
      <alignment wrapText="1"/>
    </xf>
    <xf numFmtId="0" fontId="3" fillId="3" borderId="3" applyAlignment="1" pivotButton="0" quotePrefix="0" xfId="0">
      <alignment wrapText="1"/>
    </xf>
    <xf numFmtId="165" fontId="3" fillId="0" borderId="3" pivotButton="0" quotePrefix="0" xfId="0"/>
    <xf numFmtId="0" fontId="3" fillId="4" borderId="3" pivotButton="0" quotePrefix="0" xfId="0"/>
    <xf numFmtId="0" fontId="3" fillId="3" borderId="9" applyAlignment="1" pivotButton="0" quotePrefix="0" xfId="0">
      <alignment wrapText="1"/>
    </xf>
    <xf numFmtId="0" fontId="4" fillId="4" borderId="1" pivotButton="0" quotePrefix="0" xfId="0"/>
    <xf numFmtId="0" fontId="3" fillId="5" borderId="2" pivotButton="0" quotePrefix="0" xfId="0"/>
    <xf numFmtId="0" fontId="3" fillId="5" borderId="9" applyAlignment="1" pivotButton="0" quotePrefix="0" xfId="0">
      <alignment wrapText="1"/>
    </xf>
    <xf numFmtId="0" fontId="3" fillId="5" borderId="9" pivotButton="0" quotePrefix="0" xfId="0"/>
    <xf numFmtId="0" fontId="3" fillId="5" borderId="1" pivotButton="0" quotePrefix="0" xfId="0"/>
    <xf numFmtId="0" fontId="3" fillId="3" borderId="10" applyAlignment="1" pivotButton="0" quotePrefix="0" xfId="0">
      <alignment wrapText="1"/>
    </xf>
    <xf numFmtId="0" fontId="3" fillId="0" borderId="0" pivotButton="0" quotePrefix="0" xfId="2"/>
    <xf numFmtId="0" fontId="7" fillId="0" borderId="0" pivotButton="0" quotePrefix="0" xfId="2"/>
    <xf numFmtId="0" fontId="3" fillId="3" borderId="4" pivotButton="0" quotePrefix="0" xfId="2"/>
    <xf numFmtId="0" fontId="3" fillId="3" borderId="2" pivotButton="0" quotePrefix="0" xfId="2"/>
    <xf numFmtId="0" fontId="8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6" borderId="1" applyAlignment="1" pivotButton="0" quotePrefix="0" xfId="2">
      <alignment vertical="center"/>
    </xf>
    <xf numFmtId="0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166" fontId="3" fillId="0" borderId="3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168" fontId="3" fillId="0" borderId="4" applyAlignment="1" pivotButton="0" quotePrefix="0" xfId="0">
      <alignment horizontal="right" vertical="center"/>
    </xf>
    <xf numFmtId="0" fontId="3" fillId="0" borderId="1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/>
    </xf>
    <xf numFmtId="2" fontId="8" fillId="2" borderId="3" applyAlignment="1" pivotButton="0" quotePrefix="0" xfId="0">
      <alignment horizontal="center" vertical="center"/>
    </xf>
    <xf numFmtId="169" fontId="9" fillId="6" borderId="1" applyAlignment="1" pivotButton="0" quotePrefix="0" xfId="0">
      <alignment vertical="center"/>
    </xf>
    <xf numFmtId="169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9" fontId="3" fillId="0" borderId="1" applyAlignment="1" pivotButton="0" quotePrefix="0" xfId="1">
      <alignment vertical="center"/>
    </xf>
    <xf numFmtId="170" fontId="3" fillId="0" borderId="1" applyAlignment="1" pivotButton="0" quotePrefix="0" xfId="0">
      <alignment vertical="center"/>
    </xf>
    <xf numFmtId="0" fontId="5" fillId="3" borderId="1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9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5" fontId="3" fillId="0" borderId="3" pivotButton="0" quotePrefix="0" xfId="0"/>
    <xf numFmtId="164" fontId="3" fillId="0" borderId="1" applyAlignment="1" pivotButton="0" quotePrefix="0" xfId="0">
      <alignment horizontal="right"/>
    </xf>
    <xf numFmtId="0" fontId="0" fillId="0" borderId="9" pivotButton="0" quotePrefix="0" xfId="0"/>
    <xf numFmtId="166" fontId="3" fillId="0" borderId="3" applyAlignment="1" pivotButton="0" quotePrefix="0" xfId="0">
      <alignment horizontal="center" vertical="center"/>
    </xf>
    <xf numFmtId="167" fontId="3" fillId="0" borderId="4" applyAlignment="1" pivotButton="0" quotePrefix="0" xfId="0">
      <alignment horizontal="center" vertical="center"/>
    </xf>
    <xf numFmtId="168" fontId="3" fillId="0" borderId="4" applyAlignment="1" pivotButton="0" quotePrefix="0" xfId="0">
      <alignment horizontal="right" vertical="center"/>
    </xf>
    <xf numFmtId="169" fontId="9" fillId="6" borderId="1" applyAlignment="1" pivotButton="0" quotePrefix="0" xfId="0">
      <alignment vertical="center"/>
    </xf>
    <xf numFmtId="169" fontId="3" fillId="0" borderId="1" applyAlignment="1" pivotButton="0" quotePrefix="0" xfId="0">
      <alignment vertical="center"/>
    </xf>
    <xf numFmtId="170" fontId="3" fillId="0" borderId="1" applyAlignment="1" pivotButton="0" quotePrefix="0" xfId="0">
      <alignment vertical="center"/>
    </xf>
  </cellXfs>
  <cellStyles count="3">
    <cellStyle name="標準" xfId="0" builtinId="0"/>
    <cellStyle name="パーセント" xfId="1" builtinId="5"/>
    <cellStyle name="標準_レビュー記録サマリ_20130709" xfId="2"/>
  </cellStyles>
  <dxfs count="1">
    <dxf>
      <fill>
        <patternFill patternType="lightTrellis">
          <fgColor indexed="22"/>
          <bgColor indexed="2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microsoft.com/office/2006/relationships/vbaProject" Target="vbaProject.bin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G11"/>
  <sheetViews>
    <sheetView showGridLines="0" zoomScale="75" workbookViewId="0">
      <selection activeCell="A1" sqref="A1"/>
    </sheetView>
  </sheetViews>
  <sheetFormatPr baseColWidth="8" defaultRowHeight="13.5"/>
  <cols>
    <col width="12.625" bestFit="1" customWidth="1" style="1" min="1" max="1"/>
    <col width="13.5" customWidth="1" style="1" min="2" max="2"/>
    <col width="5.125" customWidth="1" style="1" min="3" max="3"/>
    <col width="11" customWidth="1" style="1" min="4" max="4"/>
    <col width="13" customWidth="1" style="1" min="5" max="6"/>
    <col width="15.625" bestFit="1" customWidth="1" style="1" min="7" max="7"/>
    <col width="9" customWidth="1" style="1" min="8" max="16384"/>
  </cols>
  <sheetData>
    <row r="1">
      <c r="A1" s="3" t="inlineStr">
        <is>
          <t>成果物レビュー記録サマリ品質指標</t>
        </is>
      </c>
    </row>
    <row r="2"/>
    <row r="3">
      <c r="A3" s="3" t="inlineStr">
        <is>
          <t>フェーズ別レビュー工数密度</t>
        </is>
      </c>
    </row>
    <row r="4"/>
    <row r="5">
      <c r="A5" s="1" t="inlineStr">
        <is>
          <t>【新規】</t>
        </is>
      </c>
    </row>
    <row r="6" ht="27" customHeight="1">
      <c r="A6" s="18" t="inlineStr">
        <is>
          <t>フェーズ</t>
        </is>
      </c>
      <c r="B6" s="7" t="inlineStr">
        <is>
          <t>成果物ボリューム</t>
        </is>
      </c>
      <c r="C6" s="9" t="n"/>
      <c r="D6" s="26" t="inlineStr">
        <is>
          <t>レビュー工数
（人H）</t>
        </is>
      </c>
      <c r="E6" s="25" t="inlineStr">
        <is>
          <t>工数密度
（人H／10頁）</t>
        </is>
      </c>
      <c r="F6" s="25" t="inlineStr">
        <is>
          <t>不具合数
（件）</t>
        </is>
      </c>
      <c r="G6" s="25" t="inlineStr">
        <is>
          <t>不具合検出密度
（件／10頁）</t>
        </is>
      </c>
    </row>
    <row r="7">
      <c r="A7" s="18" t="inlineStr">
        <is>
          <t>要件定義</t>
        </is>
      </c>
      <c r="B7" s="23">
        <f>SUMIF(レビュー記録一覧!$C$6:$C$152,品質指標!$A7,レビュー記録一覧!$AR$6:$AR$152)</f>
        <v/>
      </c>
      <c r="C7" s="24" t="inlineStr">
        <is>
          <t>頁</t>
        </is>
      </c>
      <c r="D7" s="67">
        <f>SUMIF(レビュー記録一覧!$C$6:$C$152,品質指標!$A7,レビュー記録一覧!$AA$6:$AA$152)</f>
        <v/>
      </c>
      <c r="E7" s="68">
        <f>IF(B7&lt;&gt;0,D7/(B7/10),0)</f>
        <v/>
      </c>
      <c r="F7" s="23">
        <f>SUMIF(レビュー記録一覧!$C$6:$C$152,品質指標!$A7,レビュー記録一覧!$AB$6:$AB$152)</f>
        <v/>
      </c>
      <c r="G7" s="68">
        <f>IF(B7&lt;&gt;0,F7/(B7/10),0)</f>
        <v/>
      </c>
    </row>
    <row r="8">
      <c r="A8" s="18" t="inlineStr">
        <is>
          <t>概要設計</t>
        </is>
      </c>
      <c r="B8" s="23">
        <f>SUMIF(レビュー記録一覧!$C$6:$C$152,品質指標!$A8,レビュー記録一覧!$AR$6:$AR$152)</f>
        <v/>
      </c>
      <c r="C8" s="24" t="inlineStr">
        <is>
          <t>頁</t>
        </is>
      </c>
      <c r="D8" s="67">
        <f>SUMIF(レビュー記録一覧!$C$6:$C$152,品質指標!$A8,レビュー記録一覧!$AA$6:$AA$152)</f>
        <v/>
      </c>
      <c r="E8" s="68">
        <f>IF(B8&lt;&gt;0,D8/(B8/10),0)</f>
        <v/>
      </c>
      <c r="F8" s="23">
        <f>SUMIF(レビュー記録一覧!$C$6:$C$152,品質指標!$A8,レビュー記録一覧!$AB$6:$AB$152)</f>
        <v/>
      </c>
      <c r="G8" s="68">
        <f>IF(B8&lt;&gt;0,F8/(B8/10),0)</f>
        <v/>
      </c>
    </row>
    <row r="9">
      <c r="A9" s="18" t="inlineStr">
        <is>
          <t>詳細設計</t>
        </is>
      </c>
      <c r="B9" s="23">
        <f>SUMIF(レビュー記録一覧!$C$6:$C$152,品質指標!$A9,レビュー記録一覧!$AR$6:$AR$152)</f>
        <v/>
      </c>
      <c r="C9" s="24" t="inlineStr">
        <is>
          <t>頁</t>
        </is>
      </c>
      <c r="D9" s="67">
        <f>SUMIF(レビュー記録一覧!$C$6:$C$152,品質指標!$A9,レビュー記録一覧!$AA$6:$AA$152)</f>
        <v/>
      </c>
      <c r="E9" s="68">
        <f>IF(B9&lt;&gt;0,D9/(B9/10),0)</f>
        <v/>
      </c>
      <c r="F9" s="23">
        <f>SUMIF(レビュー記録一覧!$C$6:$C$152,品質指標!$A9,レビュー記録一覧!$AB$6:$AB$152)</f>
        <v/>
      </c>
      <c r="G9" s="68">
        <f>IF(B9&lt;&gt;0,F9/(B9/10),0)</f>
        <v/>
      </c>
    </row>
    <row r="10">
      <c r="A10" s="18" t="inlineStr">
        <is>
          <t>プログラミング</t>
        </is>
      </c>
      <c r="B10" s="23">
        <f>SUMIF(レビュー記録一覧!$C$6:$C$152,品質指標!$A10,レビュー記録一覧!$AR$6:$AR$152)</f>
        <v/>
      </c>
      <c r="C10" s="24" t="inlineStr">
        <is>
          <t>頁</t>
        </is>
      </c>
      <c r="D10" s="67">
        <f>SUMIF(レビュー記録一覧!$C$6:$C$152,品質指標!$A10,レビュー記録一覧!$AA$6:$AA$152)</f>
        <v/>
      </c>
      <c r="E10" s="68">
        <f>IF(B10&lt;&gt;0,D10/(B10/10),0)</f>
        <v/>
      </c>
      <c r="F10" s="23">
        <f>SUMIF(レビュー記録一覧!$C$6:$C$152,品質指標!$A10,レビュー記録一覧!$AB$6:$AB$152)</f>
        <v/>
      </c>
      <c r="G10" s="68">
        <f>IF(B10&lt;&gt;0,F10/(B10/10),0)</f>
        <v/>
      </c>
    </row>
    <row r="11">
      <c r="A11" s="18" t="inlineStr">
        <is>
          <t>結合テスト</t>
        </is>
      </c>
      <c r="B11" s="23">
        <f>SUMIF(レビュー記録一覧!$C$6:$C$152,品質指標!$A11,レビュー記録一覧!$AR$6:$AR$152)</f>
        <v/>
      </c>
      <c r="C11" s="24" t="inlineStr">
        <is>
          <t>頁</t>
        </is>
      </c>
      <c r="D11" s="67">
        <f>SUMIF(レビュー記録一覧!$C$6:$C$152,品質指標!$A11,レビュー記録一覧!$AA$6:$AA$152)</f>
        <v/>
      </c>
      <c r="E11" s="68">
        <f>IF(B11&lt;&gt;0,D11/(B11/10),0)</f>
        <v/>
      </c>
      <c r="F11" s="23">
        <f>SUMIF(レビュー記録一覧!$C$6:$C$152,品質指標!$A11,レビュー記録一覧!$AB$6:$AB$152)</f>
        <v/>
      </c>
      <c r="G11" s="68">
        <f>IF(B11&lt;&gt;0,F11/(B11/10),0)</f>
        <v/>
      </c>
    </row>
  </sheetData>
  <pageMargins left="0.75" right="0.75" top="1" bottom="1" header="0.512" footer="0.512"/>
  <pageSetup orientation="landscape" paperSize="9" scale="88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O6"/>
  <sheetViews>
    <sheetView showGridLines="0" tabSelected="1" view="pageBreakPreview" topLeftCell="A2" zoomScale="85" zoomScaleNormal="75" workbookViewId="0">
      <pane xSplit="7" ySplit="4" topLeftCell="H6" activePane="bottomRight" state="frozen"/>
      <selection activeCell="G9" sqref="G9"/>
      <selection pane="topRight" activeCell="G9" sqref="G9"/>
      <selection pane="bottomLeft" activeCell="G9" sqref="G9"/>
      <selection pane="bottomRight" activeCell="A1" sqref="A1"/>
    </sheetView>
  </sheetViews>
  <sheetFormatPr baseColWidth="8" defaultRowHeight="13.5"/>
  <cols>
    <col width="5.625" bestFit="1" customWidth="1" style="1" min="1" max="1"/>
    <col width="3.75" customWidth="1" style="1" min="2" max="2"/>
    <col width="11.25" customWidth="1" style="1" min="3" max="3"/>
    <col width="9.25" bestFit="1" customWidth="1" style="36" min="4" max="4"/>
    <col hidden="1" outlineLevel="1" width="10.5" customWidth="1" style="36" min="5" max="5"/>
    <col collapsed="1" width="58.5" customWidth="1" style="1" min="6" max="6"/>
    <col width="7.5" bestFit="1" customWidth="1" style="1" min="7" max="7"/>
    <col width="5.75" customWidth="1" style="1" min="8" max="8"/>
    <col width="7.125" customWidth="1" style="1" min="9" max="9"/>
    <col width="5" customWidth="1" style="1" min="10" max="10"/>
    <col width="5.75" bestFit="1" customWidth="1" style="1" min="11" max="11"/>
    <col width="12.125" customWidth="1" style="1" min="12" max="12"/>
    <col width="6.25" bestFit="1" customWidth="1" style="1" min="13" max="13"/>
    <col width="3.75" bestFit="1" customWidth="1" style="1" min="14" max="14"/>
    <col width="6.25" bestFit="1" customWidth="1" style="1" min="15" max="15"/>
    <col width="7.75" bestFit="1" customWidth="1" style="1" min="16" max="16"/>
    <col width="7.125" customWidth="1" style="1" min="17" max="17"/>
    <col outlineLevel="1" width="7.125" customWidth="1" style="1" min="18" max="22"/>
    <col width="7.125" customWidth="1" style="1" min="23" max="23"/>
    <col outlineLevel="1" width="7.125" customWidth="1" style="1" min="24" max="24"/>
    <col width="5.75" customWidth="1" style="1" min="25" max="25"/>
    <col width="9.25" customWidth="1" style="1" min="26" max="27"/>
    <col width="10" bestFit="1" customWidth="1" style="1" min="28" max="28"/>
    <col outlineLevel="1" width="11.125" customWidth="1" style="1" min="29" max="34"/>
    <col outlineLevel="1" width="11.25" customWidth="1" style="1" min="35" max="37"/>
    <col width="11.25" customWidth="1" style="1" min="38" max="38"/>
    <col width="14" bestFit="1" customWidth="1" style="1" min="39" max="39"/>
    <col width="39.625" bestFit="1" customWidth="1" style="1" min="40" max="40"/>
    <col width="7.125" customWidth="1" style="1" min="41" max="41"/>
    <col width="13" bestFit="1" customWidth="1" style="1" min="42" max="42"/>
    <col width="15.625" bestFit="1" customWidth="1" style="1" min="43" max="43"/>
    <col width="17.75" bestFit="1" customWidth="1" style="1" min="44" max="44"/>
    <col width="9" customWidth="1" style="1" min="45" max="16384"/>
  </cols>
  <sheetData>
    <row r="1">
      <c r="A1" s="3" t="inlineStr">
        <is>
          <t>レビュー記録サマリ</t>
        </is>
      </c>
      <c r="B1" s="3" t="n"/>
      <c r="AC1" s="1" t="inlineStr">
        <is>
          <t>a</t>
        </is>
      </c>
      <c r="AD1" s="1" t="inlineStr">
        <is>
          <t>b</t>
        </is>
      </c>
      <c r="AE1" s="1" t="inlineStr">
        <is>
          <t>c</t>
        </is>
      </c>
      <c r="AF1" s="1" t="inlineStr">
        <is>
          <t>d</t>
        </is>
      </c>
      <c r="AG1" s="1" t="inlineStr">
        <is>
          <t>e</t>
        </is>
      </c>
      <c r="AH1" s="1" t="inlineStr">
        <is>
          <t>f</t>
        </is>
      </c>
      <c r="AJ1" s="5" t="inlineStr">
        <is>
          <t>プロジェクト名</t>
        </is>
      </c>
      <c r="AK1" s="2" t="inlineStr">
        <is>
          <t>SSMSアプリ開発PJ</t>
        </is>
      </c>
    </row>
    <row r="2">
      <c r="A2" s="3" t="inlineStr">
        <is>
          <t>成果物レビュー記録サマリ【TIS内部レビュー】</t>
        </is>
      </c>
      <c r="B2" s="3" t="n"/>
      <c r="AJ2" s="5" t="inlineStr">
        <is>
          <t>システム名</t>
        </is>
      </c>
      <c r="AK2" s="2" t="inlineStr">
        <is>
          <t>開発BOM</t>
        </is>
      </c>
    </row>
    <row r="3">
      <c r="A3" s="3" t="n"/>
      <c r="B3" s="3" t="n"/>
      <c r="D3" s="37" t="inlineStr">
        <is>
          <t>↓レビュー対象文書に自動で付与。対象文書を複数回レビューした場合にレビューを自動で紐付けます</t>
        </is>
      </c>
      <c r="E3" s="37" t="n"/>
      <c r="O3" s="20" t="n"/>
      <c r="P3" s="20" t="n"/>
      <c r="AA3" s="21" t="n"/>
      <c r="AM3" s="1" t="inlineStr">
        <is>
          <t>個別の品質データ</t>
        </is>
      </c>
      <c r="AO3" s="1" t="inlineStr">
        <is>
          <t>↓品質指標集計用</t>
        </is>
      </c>
    </row>
    <row r="4" ht="13.5" customHeight="1">
      <c r="A4" s="6" t="inlineStr">
        <is>
          <t>記録</t>
        </is>
      </c>
      <c r="B4" s="10" t="inlineStr">
        <is>
          <t>状</t>
        </is>
      </c>
      <c r="C4" s="7" t="inlineStr">
        <is>
          <t>対象成果物</t>
        </is>
      </c>
      <c r="D4" s="38" t="n"/>
      <c r="E4" s="38" t="n"/>
      <c r="F4" s="8" t="n"/>
      <c r="G4" s="11" t="n"/>
      <c r="H4" s="6" t="n"/>
      <c r="I4" s="6" t="n"/>
      <c r="J4" s="10" t="n"/>
      <c r="K4" s="12" t="n"/>
      <c r="L4" s="10" t="n"/>
      <c r="M4" s="11" t="n"/>
      <c r="N4" s="11" t="n"/>
      <c r="O4" s="11" t="n"/>
      <c r="P4" s="11" t="n"/>
      <c r="Q4" s="7" t="inlineStr">
        <is>
          <t>レビュア</t>
        </is>
      </c>
      <c r="R4" s="8" t="n"/>
      <c r="S4" s="8" t="n"/>
      <c r="T4" s="8" t="n"/>
      <c r="U4" s="8" t="n"/>
      <c r="V4" s="8" t="n"/>
      <c r="W4" s="10" t="n"/>
      <c r="X4" s="12" t="n"/>
      <c r="Y4" s="6" t="n"/>
      <c r="Z4" s="6" t="n"/>
      <c r="AA4" s="10" t="n"/>
      <c r="AB4" s="30" t="inlineStr">
        <is>
          <t>指摘事項</t>
        </is>
      </c>
      <c r="AC4" s="66" t="inlineStr">
        <is>
          <t>a)01_要件漏れ</t>
        </is>
      </c>
      <c r="AD4" s="66" t="inlineStr">
        <is>
          <t>b)02_要件誤り</t>
        </is>
      </c>
      <c r="AE4" s="66" t="inlineStr">
        <is>
          <t>c)11_機能・仕様漏れ</t>
        </is>
      </c>
      <c r="AF4" s="66" t="inlineStr">
        <is>
          <t>d)12_機能・仕様誤り</t>
        </is>
      </c>
      <c r="AG4" s="66" t="inlineStr">
        <is>
          <t>e)21_設計・ドキュメント規約違反</t>
        </is>
      </c>
      <c r="AH4" s="66" t="inlineStr">
        <is>
          <t>f)22_記述誤り</t>
        </is>
      </c>
      <c r="AI4" s="7" t="n"/>
      <c r="AJ4" s="9" t="n"/>
      <c r="AK4" s="6" t="n"/>
      <c r="AL4" s="10" t="n"/>
      <c r="AM4" s="31" t="inlineStr">
        <is>
          <t>工数密度</t>
        </is>
      </c>
      <c r="AN4" s="31" t="inlineStr">
        <is>
          <t>不具合検出密度</t>
        </is>
      </c>
      <c r="AO4" s="34" t="inlineStr">
        <is>
          <t>ボリューム</t>
        </is>
      </c>
    </row>
    <row r="5" ht="27" customHeight="1">
      <c r="A5" s="29" t="inlineStr">
        <is>
          <t xml:space="preserve">No.
</t>
        </is>
      </c>
      <c r="B5" s="19" t="inlineStr">
        <is>
          <t>況</t>
        </is>
      </c>
      <c r="C5" s="6" t="inlineStr">
        <is>
          <t>フェーズ</t>
        </is>
      </c>
      <c r="D5" s="39" t="inlineStr">
        <is>
          <t>文書ID</t>
        </is>
      </c>
      <c r="E5" s="39" t="n"/>
      <c r="F5" s="6" t="inlineStr">
        <is>
          <t>機能名／プログラム名など</t>
        </is>
      </c>
      <c r="G5" s="18" t="inlineStr">
        <is>
          <t>作成者</t>
        </is>
      </c>
      <c r="H5" s="13" t="inlineStr">
        <is>
          <t>回</t>
        </is>
      </c>
      <c r="I5" s="29" t="inlineStr">
        <is>
          <t>前回の
記録No.</t>
        </is>
      </c>
      <c r="J5" s="14" t="inlineStr">
        <is>
          <t>ボリューム</t>
        </is>
      </c>
      <c r="K5" s="17" t="n"/>
      <c r="L5" s="14" t="inlineStr">
        <is>
          <t>実施日時、時間</t>
        </is>
      </c>
      <c r="M5" s="15" t="n"/>
      <c r="N5" s="15" t="n"/>
      <c r="O5" s="15" t="n"/>
      <c r="P5" s="63" t="inlineStr">
        <is>
          <t>レビュー
時間(分)</t>
        </is>
      </c>
      <c r="Q5" s="16" t="inlineStr">
        <is>
          <t>責任者</t>
        </is>
      </c>
      <c r="R5" s="8" t="inlineStr">
        <is>
          <t>その他</t>
        </is>
      </c>
      <c r="S5" s="8" t="n"/>
      <c r="T5" s="8" t="n"/>
      <c r="U5" s="8" t="n"/>
      <c r="V5" s="9" t="n"/>
      <c r="W5" s="14" t="inlineStr">
        <is>
          <t>レビュイ</t>
        </is>
      </c>
      <c r="X5" s="17" t="n"/>
      <c r="Y5" s="13" t="inlineStr">
        <is>
          <t>方式</t>
        </is>
      </c>
      <c r="Z5" s="13" t="inlineStr">
        <is>
          <t>参加人数</t>
        </is>
      </c>
      <c r="AA5" s="13" t="inlineStr">
        <is>
          <t>工数(H)</t>
        </is>
      </c>
      <c r="AB5" s="28" t="inlineStr">
        <is>
          <t>計</t>
        </is>
      </c>
      <c r="AC5" s="69" t="n"/>
      <c r="AD5" s="69" t="n"/>
      <c r="AE5" s="69" t="n"/>
      <c r="AF5" s="69" t="n"/>
      <c r="AG5" s="69" t="n"/>
      <c r="AH5" s="69" t="n"/>
      <c r="AI5" s="18" t="inlineStr">
        <is>
          <t>合否</t>
        </is>
      </c>
      <c r="AJ5" s="18" t="inlineStr">
        <is>
          <t>再レビュー方式</t>
        </is>
      </c>
      <c r="AK5" s="13" t="inlineStr">
        <is>
          <t>備考</t>
        </is>
      </c>
      <c r="AL5" s="35" t="inlineStr">
        <is>
          <t>新規度</t>
        </is>
      </c>
      <c r="AM5" s="32" t="inlineStr">
        <is>
          <t>（人H／10頁）</t>
        </is>
      </c>
      <c r="AN5" s="33" t="inlineStr">
        <is>
          <t>（件／10頁）</t>
        </is>
      </c>
      <c r="AO5" s="34" t="inlineStr">
        <is>
          <t>(1回目のみ）</t>
        </is>
      </c>
    </row>
    <row r="6">
      <c r="A6" s="40">
        <f>ROW()-5</f>
        <v/>
      </c>
      <c r="B6" s="41">
        <f>IF(C6&lt;&gt;"",IF(OR(AND(AI6&lt;&gt;"",AI6&lt;&gt;"再レビュー要"),COUNTIF(I$6:I16,A6)&gt;0),"○",""),"")</f>
        <v/>
      </c>
      <c r="C6" s="42" t="inlineStr">
        <is>
          <t>詳細設計</t>
        </is>
      </c>
      <c r="D6" s="43" t="inlineStr">
        <is>
          <t>D00001</t>
        </is>
      </c>
      <c r="E6" s="43" t="n"/>
      <c r="F6" s="42" t="inlineStr">
        <is>
          <t>システム機能設計書_サンプル_S30</t>
        </is>
      </c>
      <c r="G6" s="44" t="inlineStr">
        <is>
          <t>鈴木　花子</t>
        </is>
      </c>
      <c r="H6" s="45" t="n">
        <v>1</v>
      </c>
      <c r="I6" s="46" t="n"/>
      <c r="J6" s="47" t="n">
        <v>16</v>
      </c>
      <c r="K6" s="45" t="inlineStr">
        <is>
          <t>頁</t>
        </is>
      </c>
      <c r="L6" s="70" t="n">
        <v>45139</v>
      </c>
      <c r="M6" s="71" t="n">
        <v>0.375</v>
      </c>
      <c r="N6" s="50" t="inlineStr">
        <is>
          <t>～</t>
        </is>
      </c>
      <c r="O6" s="71" t="n">
        <v>0.5833333333333334</v>
      </c>
      <c r="P6" s="72" t="n">
        <v>200</v>
      </c>
      <c r="Q6" s="52" t="inlineStr">
        <is>
          <t>山田　太郎</t>
        </is>
      </c>
      <c r="R6" s="53" t="n"/>
      <c r="S6" s="53" t="n"/>
      <c r="T6" s="53" t="n"/>
      <c r="U6" s="53" t="n"/>
      <c r="V6" s="53" t="n"/>
      <c r="W6" s="54" t="inlineStr">
        <is>
          <t>鈴木　花子</t>
        </is>
      </c>
      <c r="X6" s="53" t="n"/>
      <c r="Y6" s="55" t="inlineStr">
        <is>
          <t>回覧</t>
        </is>
      </c>
      <c r="Z6" s="56">
        <f>IF(Y6="回覧",COUNTA(Q6:V6),COUNTA(Q6:X6))</f>
        <v/>
      </c>
      <c r="AA6" s="57">
        <f>P6*Z6/60</f>
        <v/>
      </c>
      <c r="AB6" s="73">
        <f>SUM(AC6:AH6)</f>
        <v/>
      </c>
      <c r="AC6" s="74" t="n">
        <v>1</v>
      </c>
      <c r="AD6" s="74" t="n">
        <v>1</v>
      </c>
      <c r="AE6" s="74" t="n"/>
      <c r="AF6" s="74" t="n">
        <v>1</v>
      </c>
      <c r="AG6" s="74" t="n">
        <v>1</v>
      </c>
      <c r="AH6" s="74" t="n">
        <v>1</v>
      </c>
      <c r="AI6" s="42" t="n"/>
      <c r="AJ6" s="42" t="n"/>
      <c r="AK6" s="60" t="n"/>
      <c r="AL6" s="61" t="n"/>
      <c r="AM6" s="75" t="n"/>
      <c r="AN6" s="75">
        <f>IF(J6&lt;&gt;"",AB6/(J6*AL6/10),"")</f>
        <v/>
      </c>
      <c r="AO6" s="2">
        <f>IF(H6=1,J6*AL6,"")</f>
        <v/>
      </c>
    </row>
  </sheetData>
  <autoFilter ref="A5:AR5"/>
  <mergeCells count="6">
    <mergeCell ref="AE4:AE5"/>
    <mergeCell ref="AC4:AC5"/>
    <mergeCell ref="AF4:AF5"/>
    <mergeCell ref="AD4:AD5"/>
    <mergeCell ref="AG4:AG5"/>
    <mergeCell ref="AH4:AH5"/>
  </mergeCells>
  <conditionalFormatting sqref="A6:AN6">
    <cfRule type="expression" priority="103" dxfId="0" stopIfTrue="1">
      <formula>$B6="○"</formula>
    </cfRule>
  </conditionalFormatting>
  <dataValidations count="5">
    <dataValidation sqref="C6" showDropDown="0" showInputMessage="1" showErrorMessage="1" allowBlank="1" type="list">
      <formula1>Phase</formula1>
    </dataValidation>
    <dataValidation sqref="K6" showDropDown="0" showInputMessage="1" showErrorMessage="1" allowBlank="1" type="list">
      <formula1>Volume</formula1>
    </dataValidation>
    <dataValidation sqref="Y6" showDropDown="0" showInputMessage="1" showErrorMessage="1" allowBlank="1" type="list">
      <formula1>Method</formula1>
    </dataValidation>
    <dataValidation sqref="AJ6" showDropDown="0" showInputMessage="1" showErrorMessage="1" allowBlank="1" type="list">
      <formula1>Necessity</formula1>
    </dataValidation>
    <dataValidation sqref="AI6" showDropDown="0" showInputMessage="1" showErrorMessage="1" allowBlank="1" type="list">
      <formula1>Result</formula1>
    </dataValidation>
  </dataValidations>
  <pageMargins left="0.46" right="0.43" top="0.66" bottom="0.49" header="0.512" footer="0.29"/>
  <pageSetup orientation="landscape" paperSize="9" scale="40" horizontalDpi="300" verticalDpi="300"/>
  <headerFooter alignWithMargins="0">
    <oddHeader>&amp;R【&amp;U関係者外秘：SSMSアプリ開発PJメンバー限り&amp;U】 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10"/>
  <sheetViews>
    <sheetView zoomScale="75" workbookViewId="0">
      <selection activeCell="A1" sqref="A1"/>
    </sheetView>
  </sheetViews>
  <sheetFormatPr baseColWidth="8" defaultRowHeight="13.5"/>
  <cols>
    <col width="13.625" bestFit="1" customWidth="1" min="1" max="1"/>
    <col width="14.25" bestFit="1" customWidth="1" min="2" max="2"/>
  </cols>
  <sheetData>
    <row r="1" ht="27" customHeight="1">
      <c r="A1" t="inlineStr">
        <is>
          <t>Phase</t>
        </is>
      </c>
      <c r="B1" t="inlineStr">
        <is>
          <t>Volume</t>
        </is>
      </c>
      <c r="C1" t="inlineStr">
        <is>
          <t>Method</t>
        </is>
      </c>
      <c r="D1" t="inlineStr">
        <is>
          <t>Time</t>
        </is>
      </c>
      <c r="E1" t="inlineStr">
        <is>
          <t>Result</t>
        </is>
      </c>
      <c r="F1" s="4" t="inlineStr">
        <is>
          <t>Re-Method</t>
        </is>
      </c>
    </row>
    <row r="2">
      <c r="A2" t="inlineStr">
        <is>
          <t>PJ計画</t>
        </is>
      </c>
      <c r="B2" t="inlineStr">
        <is>
          <t>頁</t>
        </is>
      </c>
      <c r="C2" t="inlineStr">
        <is>
          <t>回覧</t>
        </is>
      </c>
      <c r="D2" t="inlineStr">
        <is>
          <t>時</t>
        </is>
      </c>
      <c r="E2" t="inlineStr">
        <is>
          <t>合格</t>
        </is>
      </c>
      <c r="F2" t="inlineStr">
        <is>
          <t>回覧</t>
        </is>
      </c>
    </row>
    <row r="3">
      <c r="A3" t="inlineStr">
        <is>
          <t>要件定義</t>
        </is>
      </c>
      <c r="B3" t="inlineStr">
        <is>
          <t>画面</t>
        </is>
      </c>
      <c r="C3" t="inlineStr">
        <is>
          <t>対面</t>
        </is>
      </c>
      <c r="D3" t="inlineStr">
        <is>
          <t>分</t>
        </is>
      </c>
      <c r="E3" t="inlineStr">
        <is>
          <t>条件付合格</t>
        </is>
      </c>
      <c r="F3" t="inlineStr">
        <is>
          <t>対面</t>
        </is>
      </c>
    </row>
    <row r="4">
      <c r="A4" t="inlineStr">
        <is>
          <t>概要設計</t>
        </is>
      </c>
      <c r="B4" t="inlineStr">
        <is>
          <t>Step</t>
        </is>
      </c>
      <c r="E4" t="inlineStr">
        <is>
          <t>再レビュー要</t>
        </is>
      </c>
    </row>
    <row r="5">
      <c r="A5" t="inlineStr">
        <is>
          <t>詳細設計</t>
        </is>
      </c>
    </row>
    <row r="6">
      <c r="A6" t="inlineStr">
        <is>
          <t>プログラミング</t>
        </is>
      </c>
    </row>
    <row r="7">
      <c r="A7" t="inlineStr">
        <is>
          <t>単体テスト</t>
        </is>
      </c>
    </row>
    <row r="8">
      <c r="A8" t="inlineStr">
        <is>
          <t>結合テスト</t>
        </is>
      </c>
    </row>
    <row r="9">
      <c r="A9" t="inlineStr">
        <is>
          <t>システムテスト</t>
        </is>
      </c>
    </row>
    <row r="10">
      <c r="A10" t="inlineStr">
        <is>
          <t>その他</t>
        </is>
      </c>
    </row>
  </sheetData>
  <pageMargins left="0.75" right="0.75" top="1" bottom="1" header="0.512" footer="0.51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2023-08-01T09:28:58Z</dcterms:created>
  <dcterms:modified xsi:type="dcterms:W3CDTF">2026-03-13T13:59:44Z</dcterms:modified>
</cp:coreProperties>
</file>