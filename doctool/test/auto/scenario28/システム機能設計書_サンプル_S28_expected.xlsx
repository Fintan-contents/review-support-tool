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PJ\01.Nablarch\repo\review-support-tool\doctool\test\temp_dir\scenario28\"/>
    </mc:Choice>
  </mc:AlternateContent>
  <xr:revisionPtr revIDLastSave="0" documentId="13_ncr:1_{1E5349C7-9AC9-47D5-ACC3-CBEE49509188}" xr6:coauthVersionLast="47" xr6:coauthVersionMax="47" xr10:uidLastSave="{00000000-0000-0000-0000-000000000000}"/>
  <bookViews>
    <workbookView xWindow="3900" yWindow="3900" windowWidth="38700" windowHeight="15345" tabRatio="822" xr2:uid="{00000000-000D-0000-FFFF-FFFF00000000}"/>
  </bookViews>
  <sheets>
    <sheet name="エラーシート" sheetId="13" r:id="rId1"/>
    <sheet name="レビュー結果1回目" sheetId="12" r:id="rId2"/>
    <sheet name="表紙" sheetId="1" r:id="rId3"/>
    <sheet name="変更履歴" sheetId="2" r:id="rId4"/>
    <sheet name="目次" sheetId="3" r:id="rId5"/>
    <sheet name="1.  画面取引定義" sheetId="4" r:id="rId6"/>
    <sheet name="2. WA1020101(プロジェクト登録画面)" sheetId="5" r:id="rId7"/>
    <sheet name="3. WA1020102(プロジェクト登録確認画面)" sheetId="6" r:id="rId8"/>
    <sheet name="4. WA1020103(プロジェクト登録完了画面)" sheetId="7" r:id="rId9"/>
    <sheet name="データ" sheetId="8" state="hidden" r:id="rId10"/>
  </sheets>
  <definedNames>
    <definedName name="_Toc46209822" localSheetId="5">'1.  画面取引定義'!$B$5</definedName>
    <definedName name="_xlnm.Print_Area" localSheetId="5">'1.  画面取引定義'!$A$1:$AI$21</definedName>
    <definedName name="_xlnm.Print_Area" localSheetId="6">'2. WA1020101(プロジェクト登録画面)'!$A$1:$AI$180</definedName>
    <definedName name="_xlnm.Print_Area" localSheetId="7">'3. WA1020102(プロジェクト登録確認画面)'!$A$1:$AI$136</definedName>
    <definedName name="_xlnm.Print_Area" localSheetId="8">'4. WA1020103(プロジェクト登録完了画面)'!$A$1:$AI$68</definedName>
    <definedName name="_xlnm.Print_Area" localSheetId="9">データ!$A$1:$E$15</definedName>
    <definedName name="_xlnm.Print_Area" localSheetId="1">レビュー結果1回目!$A$1:$K$23</definedName>
    <definedName name="_xlnm.Print_Area" localSheetId="2">表紙!$A$1:$S$39</definedName>
    <definedName name="_xlnm.Print_Area" localSheetId="3">変更履歴!$A$1:$AI$34</definedName>
    <definedName name="_xlnm.Print_Area" localSheetId="4">目次!$A$1:$AI$33</definedName>
    <definedName name="_xlnm.Print_Titles" localSheetId="5">'1.  画面取引定義'!$1:$4</definedName>
    <definedName name="_xlnm.Print_Titles" localSheetId="6">'2. WA1020101(プロジェクト登録画面)'!$1:$4</definedName>
    <definedName name="_xlnm.Print_Titles" localSheetId="7">'3. WA1020102(プロジェクト登録確認画面)'!$1:$4</definedName>
    <definedName name="_xlnm.Print_Titles" localSheetId="8">'4. WA1020103(プロジェクト登録完了画面)'!$1:$4</definedName>
    <definedName name="引継項目格納先">データ!$B$2:$B$2</definedName>
    <definedName name="画面項目種類">データ!$A$2:$A$14</definedName>
    <definedName name="種別一覧">データ!$C$2:$C$7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3" i="12" l="1"/>
  <c r="S23" i="12"/>
  <c r="R23" i="12"/>
  <c r="Q23" i="12"/>
  <c r="P23" i="12"/>
  <c r="O23" i="12"/>
  <c r="N23" i="12"/>
  <c r="M23" i="12"/>
  <c r="L23" i="12"/>
  <c r="T22" i="12"/>
  <c r="S22" i="12"/>
  <c r="R22" i="12"/>
  <c r="Q22" i="12"/>
  <c r="P22" i="12"/>
  <c r="O22" i="12"/>
  <c r="N22" i="12"/>
  <c r="M22" i="12"/>
  <c r="L22" i="12"/>
  <c r="T21" i="12"/>
  <c r="S21" i="12"/>
  <c r="R21" i="12"/>
  <c r="Q21" i="12"/>
  <c r="P21" i="12"/>
  <c r="O21" i="12"/>
  <c r="N21" i="12"/>
  <c r="M21" i="12"/>
  <c r="L21" i="12"/>
  <c r="T20" i="12"/>
  <c r="S20" i="12"/>
  <c r="R20" i="12"/>
  <c r="Q20" i="12"/>
  <c r="P20" i="12"/>
  <c r="O20" i="12"/>
  <c r="N20" i="12"/>
  <c r="M20" i="12"/>
  <c r="L20" i="12"/>
  <c r="T19" i="12"/>
  <c r="S19" i="12"/>
  <c r="R19" i="12"/>
  <c r="Q19" i="12"/>
  <c r="P19" i="12"/>
  <c r="O19" i="12"/>
  <c r="N19" i="12"/>
  <c r="M19" i="12"/>
  <c r="L19" i="12"/>
  <c r="T18" i="12"/>
  <c r="S18" i="12"/>
  <c r="R18" i="12"/>
  <c r="Q18" i="12"/>
  <c r="P18" i="12"/>
  <c r="O18" i="12"/>
  <c r="N18" i="12"/>
  <c r="M18" i="12"/>
  <c r="L18" i="12"/>
  <c r="T17" i="12"/>
  <c r="S17" i="12"/>
  <c r="R17" i="12"/>
  <c r="H9" i="12" s="1"/>
  <c r="Q17" i="12"/>
  <c r="P17" i="12"/>
  <c r="O17" i="12"/>
  <c r="N17" i="12"/>
  <c r="M17" i="12"/>
  <c r="C9" i="12" s="1"/>
  <c r="L17" i="12"/>
  <c r="B9" i="12" s="1"/>
  <c r="T16" i="12"/>
  <c r="S16" i="12"/>
  <c r="R16" i="12"/>
  <c r="Q16" i="12"/>
  <c r="P16" i="12"/>
  <c r="O16" i="12"/>
  <c r="N16" i="12"/>
  <c r="M16" i="12"/>
  <c r="L16" i="12"/>
  <c r="T15" i="12"/>
  <c r="S15" i="12"/>
  <c r="R15" i="12"/>
  <c r="Q15" i="12"/>
  <c r="P15" i="12"/>
  <c r="O15" i="12"/>
  <c r="N15" i="12"/>
  <c r="M15" i="12"/>
  <c r="L15" i="12"/>
  <c r="I9" i="12"/>
  <c r="G9" i="12"/>
  <c r="F9" i="12"/>
  <c r="E9" i="12"/>
  <c r="D9" i="12"/>
  <c r="F10" i="12" l="1"/>
  <c r="F11" i="12" s="1"/>
  <c r="C10" i="12"/>
  <c r="C11" i="12" s="1"/>
  <c r="G10" i="12"/>
  <c r="G11" i="12" s="1"/>
  <c r="D10" i="12"/>
  <c r="D11" i="12" s="1"/>
  <c r="H10" i="12"/>
  <c r="H11" i="12" s="1"/>
  <c r="I10" i="12"/>
  <c r="I11" i="12" s="1"/>
  <c r="E10" i="12"/>
  <c r="E11" i="12" s="1"/>
  <c r="B10" i="12"/>
  <c r="B11" i="12" s="1"/>
  <c r="J9" i="12"/>
  <c r="J10" i="12" l="1"/>
  <c r="J11" i="12"/>
  <c r="AG2" i="2" l="1"/>
  <c r="AG1" i="2"/>
  <c r="AC1" i="2"/>
  <c r="AG3" i="7"/>
  <c r="E3" i="6"/>
  <c r="AG1" i="4"/>
  <c r="S1" i="3"/>
  <c r="AC3" i="7"/>
  <c r="AG2" i="6"/>
  <c r="E2" i="5"/>
  <c r="AC1" i="4"/>
  <c r="E1" i="3"/>
  <c r="AG3" i="3"/>
  <c r="AC3" i="3"/>
  <c r="S1" i="6"/>
  <c r="AG3" i="4"/>
  <c r="AC1" i="7"/>
  <c r="E3" i="7"/>
  <c r="AG1" i="5"/>
  <c r="S1" i="4"/>
  <c r="S1" i="5"/>
  <c r="AG1" i="7"/>
  <c r="E3" i="3"/>
  <c r="E1" i="6"/>
  <c r="AC3" i="4"/>
  <c r="AG2" i="7"/>
  <c r="E2" i="6"/>
  <c r="AC1" i="5"/>
  <c r="E1" i="4"/>
  <c r="AC2" i="2"/>
  <c r="AG1" i="6"/>
  <c r="I25" i="1"/>
  <c r="AG2" i="3"/>
  <c r="E2" i="7"/>
  <c r="S1" i="7"/>
  <c r="AG3" i="5"/>
  <c r="E3" i="4"/>
  <c r="AC2" i="3"/>
  <c r="E1" i="7"/>
  <c r="AC3" i="5"/>
  <c r="AG2" i="4"/>
  <c r="E2" i="3"/>
  <c r="AG3" i="6"/>
  <c r="E3" i="5"/>
  <c r="AC2" i="4"/>
  <c r="AG1" i="3"/>
  <c r="AC3" i="6"/>
  <c r="AG2" i="5"/>
  <c r="E2" i="4"/>
  <c r="AC1" i="3"/>
  <c r="AC1" i="6"/>
  <c r="E1" i="5"/>
  <c r="AC2" i="6"/>
  <c r="AC2" i="7"/>
  <c r="AC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  <author>山田　太郎</author>
  </authors>
  <commentList>
    <comment ref="A4" authorId="0" shapeId="0" xr:uid="{00000000-0006-0000-0400-000001000000}">
      <text>
        <r>
          <rPr>
            <sz val="9"/>
            <rFont val="ＭＳ 明朝"/>
            <family val="1"/>
            <charset val="128"/>
          </rPr>
          <t>山田　太郎:*
実施日:2023/08/01
開始:09:00
終了:14:00
レビュー時間:200</t>
        </r>
      </text>
    </comment>
    <comment ref="B5" authorId="0" shapeId="0" xr:uid="{00000000-0006-0000-0400-000002000000}">
      <text>
        <r>
          <rPr>
            <sz val="9"/>
            <rFont val="ＭＳ 明朝"/>
            <family val="1"/>
            <charset val="128"/>
          </rPr>
          <t>山田　太郎:a
レビュー指摘コメントの例。
自動で挿入される名前とコロンの直後に指摘分類をa～iで書く。
※レビュー日時を書く場合はコロンの直後に*を書く。</t>
        </r>
      </text>
    </comment>
    <comment ref="E60" authorId="0" shapeId="0" xr:uid="{00000000-0006-0000-0400-000003000000}">
      <text>
        <r>
          <rPr>
            <sz val="9"/>
            <rFont val="ＭＳ 明朝"/>
            <family val="1"/>
            <charset val="128"/>
          </rPr>
          <t>山田　太郎:b
対応内容の例。
---
対応内容はデリミタ（---）の後に記入する。</t>
        </r>
      </text>
    </comment>
    <comment ref="E62" authorId="0" shapeId="0" xr:uid="{00000000-0006-0000-0400-000004000000}">
      <text>
        <r>
          <rPr>
            <sz val="9"/>
            <rFont val="ＭＳ 明朝"/>
            <family val="1"/>
            <charset val="128"/>
          </rPr>
  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  </r>
      </text>
    </comment>
    <comment ref="E63" authorId="1" shapeId="0" xr:uid="{00000000-0006-0000-0400-000005000000}">
      <text>
        <r>
          <rPr>
            <sz val="9"/>
            <rFont val="ＭＳ 明朝"/>
            <family val="1"/>
            <charset val="128"/>
          </rPr>
          <t>山田　太郎:d
機能・仕様誤りの指摘例（カテゴリd）。</t>
        </r>
      </text>
    </comment>
    <comment ref="E64" authorId="1" shapeId="0" xr:uid="{00000000-0006-0000-0400-000006000000}">
      <text>
        <r>
          <rPr>
            <sz val="9"/>
            <rFont val="ＭＳ 明朝"/>
            <family val="1"/>
            <charset val="128"/>
          </rPr>
          <t>山田　太郎:e
設計・ドキュメント規約違反の指摘例（カテゴリe）。</t>
        </r>
      </text>
    </comment>
    <comment ref="E65" authorId="1" shapeId="0" xr:uid="{00000000-0006-0000-0400-000007000000}">
      <text>
        <r>
          <rPr>
            <sz val="9"/>
            <rFont val="ＭＳ 明朝"/>
            <family val="1"/>
            <charset val="128"/>
          </rPr>
          <t>山田　太郎:f
記述誤りの指摘例（カテゴリf）。</t>
        </r>
      </text>
    </comment>
    <comment ref="E66" authorId="1" shapeId="0" xr:uid="{00000000-0006-0000-0400-000008000000}">
      <text>
        <r>
          <rPr>
            <sz val="9"/>
            <rFont val="ＭＳ 明朝"/>
            <family val="1"/>
            <charset val="128"/>
          </rPr>
          <t>山田　太郎:g
疑問点・確認の指摘例（カテゴリg）。</t>
        </r>
      </text>
    </comment>
    <comment ref="E67" authorId="1" shapeId="0" xr:uid="{00000000-0006-0000-0400-000009000000}">
      <text>
        <r>
          <rPr>
            <sz val="9"/>
            <rFont val="ＭＳ 明朝"/>
            <family val="1"/>
            <charset val="128"/>
          </rPr>
          <t>山田　太郎:h
改善要望の指摘例（カテゴリh）。</t>
        </r>
      </text>
    </comment>
    <comment ref="E68" authorId="1" shapeId="0" xr:uid="{00000000-0006-0000-0400-00000A000000}">
      <text>
        <r>
          <rPr>
            <sz val="9"/>
            <rFont val="ＭＳ 明朝"/>
            <family val="1"/>
            <charset val="128"/>
          </rPr>
          <t>山田　太郎:i
仕様変更の指摘例（カテゴリi）。</t>
        </r>
      </text>
    </comment>
    <comment ref="E69" authorId="1" shapeId="0" xr:uid="{00000000-0006-0000-0400-00000B000000}">
      <text>
        <r>
          <rPr>
            <sz val="9"/>
            <rFont val="ＭＳ 明朝"/>
            <family val="1"/>
            <charset val="128"/>
          </rPr>
          <t>山田　太郎:j
テスト項目漏れの指摘例（カテゴリj）。</t>
        </r>
      </text>
    </comment>
    <comment ref="E70" authorId="1" shapeId="0" xr:uid="{00000000-0006-0000-0400-00000C000000}">
      <text>
        <r>
          <rPr>
            <sz val="9"/>
            <rFont val="ＭＳ 明朝"/>
            <family val="1"/>
            <charset val="128"/>
          </rPr>
          <t>山田　太郎:k
テスト漏れの指摘例（カテゴリk）。</t>
        </r>
      </text>
    </comment>
    <comment ref="A71" authorId="0" shapeId="0" xr:uid="{00000000-0006-0000-0400-00000D000000}">
      <text>
        <r>
          <rPr>
            <sz val="9"/>
            <rFont val="ＭＳ 明朝"/>
            <family val="1"/>
            <charset val="128"/>
          </rPr>
          <t>山田　太郎:
自動で挿入される名前とコロンの直後に何も書かれていない場合、日時コメント・指摘コメントとして扱われない。</t>
        </r>
      </text>
    </comment>
    <comment ref="E71" authorId="1" shapeId="0" xr:uid="{00000000-0006-0000-0400-00000E000000}">
      <text>
        <r>
          <rPr>
            <sz val="9"/>
            <rFont val="ＭＳ 明朝"/>
            <family val="1"/>
            <charset val="128"/>
          </rPr>
          <t>山田　太郎:l
その他の指摘例（カテゴリl）。</t>
        </r>
      </text>
    </comment>
  </commentList>
</comments>
</file>

<file path=xl/sharedStrings.xml><?xml version="1.0" encoding="utf-8"?>
<sst xmlns="http://schemas.openxmlformats.org/spreadsheetml/2006/main" count="882" uniqueCount="342">
  <si>
    <t>第１．２版</t>
  </si>
  <si>
    <t>PJ名</t>
  </si>
  <si>
    <t>サンプルプロジェクト</t>
  </si>
  <si>
    <t>成果物名</t>
  </si>
  <si>
    <t>システム機能設計書（画面）
WA10201/プロジェクト登録</t>
  </si>
  <si>
    <t>作成</t>
  </si>
  <si>
    <t>システム名</t>
  </si>
  <si>
    <t>サンプルシステム</t>
  </si>
  <si>
    <t>変更</t>
  </si>
  <si>
    <t>サブシステム名</t>
  </si>
  <si>
    <t>プロジェクト管理システム</t>
  </si>
  <si>
    <t>ほげほげ</t>
  </si>
  <si>
    <t>変更履歴（ 1　/ 1 ）</t>
  </si>
  <si>
    <t>No.</t>
  </si>
  <si>
    <t>版数</t>
  </si>
  <si>
    <t>変更日</t>
  </si>
  <si>
    <t>区分</t>
  </si>
  <si>
    <t>変更箇所（項番等）</t>
  </si>
  <si>
    <t>変更内容</t>
  </si>
  <si>
    <t>担当者</t>
  </si>
  <si>
    <t>1.0版</t>
  </si>
  <si>
    <t>新規</t>
  </si>
  <si>
    <t>-</t>
  </si>
  <si>
    <t>(新規作成)</t>
  </si>
  <si>
    <t>TIS</t>
  </si>
  <si>
    <t>1.1版</t>
  </si>
  <si>
    <t>全体</t>
  </si>
  <si>
    <t>画面レイアウトの貼り替え</t>
  </si>
  <si>
    <t>3. WA1020102</t>
  </si>
  <si>
    <t>hiddenで値を持ち回るよう変更</t>
  </si>
  <si>
    <t>1.2版</t>
  </si>
  <si>
    <t>3. WA1020102、4. WA1020103</t>
  </si>
  <si>
    <t>ドメイン情報をドメイン定義書に合わせて修正</t>
  </si>
  <si>
    <t>2. WA1020101</t>
  </si>
  <si>
    <t>単項目バリデーションのバリデーション内容の説明を修正</t>
  </si>
  <si>
    <t>目次</t>
  </si>
  <si>
    <t>1. 画面取引定義</t>
  </si>
  <si>
    <t>1.1. 画面取引概要</t>
  </si>
  <si>
    <t>2. WA1020101(プロジェクト登録画面)</t>
  </si>
  <si>
    <t>2.1. 画面レイアウト</t>
  </si>
  <si>
    <t>2.2. 一覧表示</t>
  </si>
  <si>
    <t>2.3. 画面項目定義</t>
  </si>
  <si>
    <t>2.4. 入出力一覧</t>
  </si>
  <si>
    <t>2.5. 画面イベント一覧</t>
  </si>
  <si>
    <t>2.6. 画面イベント詳細</t>
  </si>
  <si>
    <t>3. WA1020102(プロジェクト登録確認画面)</t>
  </si>
  <si>
    <t>3.1. 画面レイアウト</t>
  </si>
  <si>
    <t>3.2. 一覧表示</t>
  </si>
  <si>
    <t>3.3. 画面項目定義</t>
  </si>
  <si>
    <t>3.4. 入出力一覧</t>
  </si>
  <si>
    <t>3.5. 画面イベント一覧</t>
  </si>
  <si>
    <t>3.6. 画面イベント詳細</t>
  </si>
  <si>
    <t>4. WA1020103(プロジェクト登録完了画面)</t>
  </si>
  <si>
    <t>4.1. 画面レイアウト</t>
  </si>
  <si>
    <t>4.2. 一覧表示</t>
  </si>
  <si>
    <t>4.3. 画面項目定義</t>
  </si>
  <si>
    <t>4.4. 入出力一覧</t>
  </si>
  <si>
    <t>4.5. 画面イベント一覧</t>
  </si>
  <si>
    <t>4.6. 画面イベント詳細</t>
  </si>
  <si>
    <t>1.1. 取引概要</t>
  </si>
  <si>
    <t>取引ID</t>
  </si>
  <si>
    <t>WA10201</t>
  </si>
  <si>
    <t>取引名</t>
  </si>
  <si>
    <t>プロジェクト登録</t>
  </si>
  <si>
    <t>取引概要</t>
  </si>
  <si>
    <t>プロジェクトのデータ1件を登録する。</t>
  </si>
  <si>
    <t>想定利用ユーザ</t>
  </si>
  <si>
    <t>マネージャーユーザ</t>
  </si>
  <si>
    <t>領域名</t>
  </si>
  <si>
    <t>ページング有無</t>
  </si>
  <si>
    <t>ソート条件</t>
  </si>
  <si>
    <t>備考</t>
  </si>
  <si>
    <t>表示情報</t>
  </si>
  <si>
    <t>ドメイン名</t>
  </si>
  <si>
    <t>【内部設計情報】 画面項目名（物理）</t>
  </si>
  <si>
    <t>画面項目名</t>
  </si>
  <si>
    <t>画面項目種別</t>
  </si>
  <si>
    <t>情報取得元</t>
  </si>
  <si>
    <t>編集仕様</t>
  </si>
  <si>
    <t>初期値</t>
  </si>
  <si>
    <t>必須</t>
  </si>
  <si>
    <t>画面項目名
（物理）</t>
  </si>
  <si>
    <t>領域名：プロジェクト情報入力</t>
  </si>
  <si>
    <t>事業部</t>
  </si>
  <si>
    <t>select(pulldown)</t>
  </si>
  <si>
    <t>○</t>
  </si>
  <si>
    <t>組織ID</t>
  </si>
  <si>
    <t>divisionId</t>
  </si>
  <si>
    <t>部門</t>
  </si>
  <si>
    <t>organizationId</t>
  </si>
  <si>
    <t>text</t>
  </si>
  <si>
    <t>プロジェクト名</t>
  </si>
  <si>
    <t>projectName</t>
  </si>
  <si>
    <t>PJ種別</t>
  </si>
  <si>
    <t>＜コード値取得情報＞
ｺｰﾄﾞID　  ：C0200001
ｺｰﾄﾞ名称　：プロジェクト種別
ｺｰﾄﾞﾊﾟﾀｰﾝ ：1
表示名称 ：コード値名称
選択なしのオプション ：なし</t>
  </si>
  <si>
    <t>プロジェクト種別</t>
  </si>
  <si>
    <t>projectType</t>
  </si>
  <si>
    <t>PJ分類</t>
  </si>
  <si>
    <t>radio</t>
  </si>
  <si>
    <t>＜コード値取得情報＞
ｺｰﾄﾞID　  ：C0300001
ｺｰﾄﾞ名称　：プロジェクト分類
ｺｰﾄﾞﾊﾟﾀｰﾝ ：1
表示名称 ：コード値名称
選択なしのオプション ：なし</t>
  </si>
  <si>
    <t>プロジェクト分類</t>
  </si>
  <si>
    <t>projectClass</t>
  </si>
  <si>
    <t>売上高(千円)</t>
  </si>
  <si>
    <t>金額</t>
  </si>
  <si>
    <t>sales</t>
  </si>
  <si>
    <t>顧客</t>
  </si>
  <si>
    <t>label</t>
  </si>
  <si>
    <t>顧客検索画面で選択した顧客の顧客名</t>
  </si>
  <si>
    <t>顧客ID</t>
  </si>
  <si>
    <t>clientId</t>
  </si>
  <si>
    <t>PM</t>
  </si>
  <si>
    <t>ユーザ氏名（漢字）</t>
  </si>
  <si>
    <t>projectManager</t>
  </si>
  <si>
    <t>PL</t>
  </si>
  <si>
    <t>projectLeader</t>
  </si>
  <si>
    <t>開始日</t>
  </si>
  <si>
    <t>calendar</t>
  </si>
  <si>
    <t>＜表示変換:日付変換＞
yyyy/MM/dd</t>
  </si>
  <si>
    <t>日付</t>
  </si>
  <si>
    <t>projectStartDate</t>
  </si>
  <si>
    <t>終了日</t>
  </si>
  <si>
    <t>projectEndDate</t>
  </si>
  <si>
    <t>textarea</t>
  </si>
  <si>
    <t>note</t>
  </si>
  <si>
    <t>入出力名</t>
  </si>
  <si>
    <t>種別</t>
  </si>
  <si>
    <t>I/O</t>
  </si>
  <si>
    <t>DBアクセス種別</t>
  </si>
  <si>
    <t>C</t>
  </si>
  <si>
    <t>R</t>
  </si>
  <si>
    <t>U</t>
  </si>
  <si>
    <t>D</t>
  </si>
  <si>
    <t>ﾛｯｸ対象</t>
  </si>
  <si>
    <t>組織</t>
  </si>
  <si>
    <t>テーブル</t>
  </si>
  <si>
    <t>I</t>
  </si>
  <si>
    <t>画面イベント名</t>
  </si>
  <si>
    <t>発生タイミング</t>
  </si>
  <si>
    <t>画面イベント概要</t>
  </si>
  <si>
    <t>正常時遷移先画面</t>
  </si>
  <si>
    <t>サーバ通信有無</t>
  </si>
  <si>
    <t>初期表示</t>
  </si>
  <si>
    <t>‐</t>
  </si>
  <si>
    <t>プロジェクト登録画面を表示する。</t>
  </si>
  <si>
    <t>あり(同期)</t>
  </si>
  <si>
    <t>部門リスト取得</t>
  </si>
  <si>
    <t>「事業部」プルダウン選択</t>
  </si>
  <si>
    <t>選択された事業部をもとに、配下部門リストを「部門」プルダウンに設定する。</t>
  </si>
  <si>
    <t>あり(非同期)</t>
  </si>
  <si>
    <t>顧客検索</t>
  </si>
  <si>
    <t>「顧客選択」ボタン押下</t>
  </si>
  <si>
    <t>顧客検索画面を開く。</t>
  </si>
  <si>
    <t>顧客検索画面</t>
  </si>
  <si>
    <t>確認</t>
  </si>
  <si>
    <t>「確認」ボタン押下</t>
  </si>
  <si>
    <t>入力内容のバリデーション処理を行い、プロジェクト登録確認を表示する。</t>
  </si>
  <si>
    <t>プロジェクト登録確認</t>
  </si>
  <si>
    <t>2.6.1.初期表示イベント</t>
  </si>
  <si>
    <t>(1) バリデーション処理</t>
  </si>
  <si>
    <t>なし。</t>
  </si>
  <si>
    <t>(2) DBアクセス（検索処理）</t>
  </si>
  <si>
    <t>(a) 組織検索条件</t>
  </si>
  <si>
    <t>取得テーブル名</t>
  </si>
  <si>
    <t>取得カラム名</t>
  </si>
  <si>
    <t>組織名</t>
  </si>
  <si>
    <t>検索条件</t>
  </si>
  <si>
    <t>組織.上位組織ID</t>
  </si>
  <si>
    <t>=</t>
  </si>
  <si>
    <t>NULL</t>
  </si>
  <si>
    <t>(3)　表示処理</t>
  </si>
  <si>
    <t>(a)「事業部」プルダウンを初期化する。</t>
  </si>
  <si>
    <t>・「(2) 検索処理」の検索結果の先頭にブランクオプションを追加して、「事業部」に設定する。</t>
  </si>
  <si>
    <t>・プルダウンの表示項目には組織名を、値には組織IDを使用する。</t>
  </si>
  <si>
    <t>2.6.2.部門リスト取得イベント</t>
  </si>
  <si>
    <t>事業部（入力値）</t>
  </si>
  <si>
    <t>(a)「部門」プルダウンを初期化する。</t>
  </si>
  <si>
    <t>・「(2) 検索処理」の検索結果の先頭にブランクオプションを追加して、「部門」に設定する。</t>
  </si>
  <si>
    <t>2.6.3.顧客検索イベント</t>
  </si>
  <si>
    <t>(2)　表示処理</t>
  </si>
  <si>
    <t>顧客検索画面をポップアップ画面として開く。</t>
  </si>
  <si>
    <t>2.6.5. 確認イベント</t>
  </si>
  <si>
    <t>バリデーション名</t>
  </si>
  <si>
    <t>バリデーション内容</t>
  </si>
  <si>
    <t>メッセージID</t>
  </si>
  <si>
    <t>埋め込み文字列</t>
  </si>
  <si>
    <t>エラー発生時の
バリデーション
処理継続判定</t>
  </si>
  <si>
    <t>単項目バリデーション</t>
  </si>
  <si>
    <t>全ての入力項目に対して、指定ドメインに応じたバリデーションおよび必須チェックを実施し、入力内容の妥当性を確認する。</t>
  </si>
  <si>
    <t>（ドメイン別）</t>
  </si>
  <si>
    <t>終了する</t>
  </si>
  <si>
    <t>日付大小関係</t>
  </si>
  <si>
    <t>「プロジェクト開始日付」と「プロジェクト終了日付」が両方入力されている場合、「プロジェクト開始日付」≦「プロジェクト終了日付」であること。</t>
  </si>
  <si>
    <t>validator.periodConsistencyCheck.message.ProjectCreateForm</t>
  </si>
  <si>
    <t>なし</t>
  </si>
  <si>
    <t>上記バリデーションにおいて一箇所でもエラーが発生した場合、後続の処理は実施しない。</t>
  </si>
  <si>
    <t>Formの事業部、部門には登録画面で選択された組織の組織IDが設定されている。</t>
  </si>
  <si>
    <t>画面には組織IDに対する組織名を表示する必要があるので、下記クエリにより組織名を取得する。</t>
  </si>
  <si>
    <t>組織.組織ID</t>
  </si>
  <si>
    <t>組織ID(Formから取得した組織ID)</t>
  </si>
  <si>
    <t>(b)Formに設定された顧客IDをパラメータとして、顧客管理システム．顧客詳細取得APIを実行し顧客名を取得する。</t>
  </si>
  <si>
    <t>(3) 表示処理</t>
  </si>
  <si>
    <t>登録画面に入力した内容を登録確認画面に表示する。画面レイアウト、表示項目については「3. プロジェクト登録確認画面」を参照。</t>
  </si>
  <si>
    <t>組織IDに対する組織名
※組織マスタに当該組織IDが存在しない場合は空白</t>
  </si>
  <si>
    <t>PJ種別コードに対するPJ種別名</t>
  </si>
  <si>
    <t>PJ分類コードに対するPJ分類名</t>
  </si>
  <si>
    <t>＜表示変換:10進数変換＞
3桁ごとにカンマ区切り
を表示する。</t>
  </si>
  <si>
    <t>顧客IDに対する顧客名</t>
  </si>
  <si>
    <t>顧客名</t>
  </si>
  <si>
    <t>改行が含まれる場合は改行を再現すること。</t>
  </si>
  <si>
    <t>hidden</t>
  </si>
  <si>
    <t>プロジェクト</t>
  </si>
  <si>
    <t>O</t>
  </si>
  <si>
    <t>登録</t>
  </si>
  <si>
    <t>「登録」ボタン押下</t>
  </si>
  <si>
    <t>当画面に表示していた内容をデータベースに登録する。</t>
  </si>
  <si>
    <t>プロジェクト登録完了</t>
  </si>
  <si>
    <t>戻る</t>
  </si>
  <si>
    <t>「戻る」ボタン押下</t>
  </si>
  <si>
    <t>当画面に表示していた内容を登録画面に表示する。</t>
  </si>
  <si>
    <t>3.6.1. 登録イベント</t>
  </si>
  <si>
    <t>「2. WA1020101(プロジェクト登録画面) &gt; 2.6.5. 確認イベント &gt; (1) バリデーション処理」と同様のバリデーションを行う。</t>
  </si>
  <si>
    <t>上記バリデーションにおいて一箇所でもエラーが発生した場合、プロジェクト登録画面に指摘内容を表示し、後続の処理は実施しない。</t>
  </si>
  <si>
    <t>(2) DBアクセス（登録、更新処理）</t>
  </si>
  <si>
    <t>表示内容をデータベースに登録する。登録仕様については下記の通り。</t>
  </si>
  <si>
    <t>プロジェクトテーブル</t>
  </si>
  <si>
    <t>出力項目名</t>
  </si>
  <si>
    <t>出力情報</t>
  </si>
  <si>
    <t>項目名</t>
  </si>
  <si>
    <t>プロジェクトID</t>
  </si>
  <si>
    <t>DBによる自動採番</t>
  </si>
  <si>
    <t>プロジェクト登録画面</t>
  </si>
  <si>
    <t>プロジェクト開始日付</t>
  </si>
  <si>
    <t>プロジェクト終了日付</t>
  </si>
  <si>
    <t>終了日付</t>
  </si>
  <si>
    <t>部門ID</t>
  </si>
  <si>
    <t>プロジェクトマネージャー</t>
  </si>
  <si>
    <t>プロジェクトリーダー</t>
  </si>
  <si>
    <t>売上高</t>
  </si>
  <si>
    <t>バージョン番号</t>
  </si>
  <si>
    <t>「1」固定</t>
  </si>
  <si>
    <t>プロジェクト登録完了画面を表示する。画面レイアウト、表示項目については「4. プロジェクト登録完了画面」を参照。</t>
  </si>
  <si>
    <t>3.6.2. 戻るイベント</t>
  </si>
  <si>
    <t>(1) 表示処理</t>
  </si>
  <si>
    <t>当画面に表示していた内容をプロジェクト登録画面に表示する。画面レイアウト、表示項目については「2. プロジェクト登録画面」を参照。</t>
  </si>
  <si>
    <t>完了メッセージ</t>
  </si>
  <si>
    <t>登録開始</t>
  </si>
  <si>
    <t>「次へ」ボタン押下</t>
  </si>
  <si>
    <t>プロジェクト登録画面へ遷移する。</t>
  </si>
  <si>
    <t>4.6.1 登録開始イベント</t>
  </si>
  <si>
    <t>画面項目種類</t>
  </si>
  <si>
    <t>引継項目格納先</t>
  </si>
  <si>
    <t xml:space="preserve"> 種別一覧</t>
  </si>
  <si>
    <t>リクエストスコープ</t>
  </si>
  <si>
    <t>HIDDENストア</t>
  </si>
  <si>
    <t>DBストア</t>
  </si>
  <si>
    <t>電文</t>
  </si>
  <si>
    <t>text(disable)</t>
  </si>
  <si>
    <t>HTTPセッションストア</t>
  </si>
  <si>
    <t>I/Fファイル</t>
  </si>
  <si>
    <t>帳票</t>
  </si>
  <si>
    <t>電子メール</t>
  </si>
  <si>
    <t>checkbox</t>
  </si>
  <si>
    <t>select(multiple)</t>
  </si>
  <si>
    <t>password</t>
  </si>
  <si>
    <t>file</t>
  </si>
  <si>
    <t>＜レビュー結果＞</t>
    <rPh sb="5" eb="7">
      <t>ケッカ</t>
    </rPh>
    <phoneticPr fontId="13"/>
  </si>
  <si>
    <t>この列は削除しないでください。（行の高さ調整用です。）</t>
    <rPh sb="2" eb="3">
      <t>レツ</t>
    </rPh>
    <rPh sb="4" eb="6">
      <t>サクジョ</t>
    </rPh>
    <rPh sb="16" eb="17">
      <t>ギョウ</t>
    </rPh>
    <rPh sb="18" eb="19">
      <t>タカ</t>
    </rPh>
    <rPh sb="20" eb="22">
      <t>チョウセイ</t>
    </rPh>
    <rPh sb="22" eb="23">
      <t>ヨウ</t>
    </rPh>
    <phoneticPr fontId="13"/>
  </si>
  <si>
    <t>文書ID:</t>
    <rPh sb="0" eb="2">
      <t>ブンショ</t>
    </rPh>
    <phoneticPr fontId="13"/>
  </si>
  <si>
    <t>レビュー日時</t>
    <rPh sb="4" eb="6">
      <t>ニチジ</t>
    </rPh>
    <phoneticPr fontId="13"/>
  </si>
  <si>
    <t>対象ファイル</t>
    <rPh sb="0" eb="2">
      <t>タイショウ</t>
    </rPh>
    <phoneticPr fontId="13"/>
  </si>
  <si>
    <t>回</t>
    <rPh sb="0" eb="1">
      <t>カイ</t>
    </rPh>
    <phoneticPr fontId="13"/>
  </si>
  <si>
    <t>実施日</t>
    <rPh sb="0" eb="3">
      <t>ジッシビ</t>
    </rPh>
    <phoneticPr fontId="13"/>
  </si>
  <si>
    <t>開始</t>
    <rPh sb="0" eb="2">
      <t>カイシ</t>
    </rPh>
    <phoneticPr fontId="13"/>
  </si>
  <si>
    <t>終了</t>
    <rPh sb="0" eb="2">
      <t>シュウリョウ</t>
    </rPh>
    <phoneticPr fontId="13"/>
  </si>
  <si>
    <t>レビュー時間</t>
    <rPh sb="4" eb="6">
      <t>ジカン</t>
    </rPh>
    <phoneticPr fontId="13"/>
  </si>
  <si>
    <t>～</t>
    <phoneticPr fontId="13"/>
  </si>
  <si>
    <t>指摘件数</t>
    <rPh sb="0" eb="2">
      <t>シテキ</t>
    </rPh>
    <rPh sb="2" eb="4">
      <t>ケンスウ</t>
    </rPh>
    <phoneticPr fontId="13"/>
  </si>
  <si>
    <t>a</t>
    <phoneticPr fontId="13"/>
  </si>
  <si>
    <t>b</t>
    <phoneticPr fontId="13"/>
  </si>
  <si>
    <t>c</t>
    <phoneticPr fontId="13"/>
  </si>
  <si>
    <t>d</t>
    <phoneticPr fontId="13"/>
  </si>
  <si>
    <t>e</t>
    <phoneticPr fontId="13"/>
  </si>
  <si>
    <t>f</t>
    <phoneticPr fontId="13"/>
  </si>
  <si>
    <t>対応状況</t>
    <rPh sb="0" eb="2">
      <t>タイオウ</t>
    </rPh>
    <rPh sb="2" eb="4">
      <t>ジョウキョウ</t>
    </rPh>
    <phoneticPr fontId="13"/>
  </si>
  <si>
    <t>01_要件漏れ</t>
    <phoneticPr fontId="13"/>
  </si>
  <si>
    <t>02_要件誤り</t>
    <phoneticPr fontId="13"/>
  </si>
  <si>
    <t>11_機能・仕様漏れ</t>
    <phoneticPr fontId="13"/>
  </si>
  <si>
    <t>12_機能・仕様誤り</t>
    <phoneticPr fontId="13"/>
  </si>
  <si>
    <t>21_設計・ドキュメント規約違反</t>
    <phoneticPr fontId="13"/>
  </si>
  <si>
    <t>22_記述誤り</t>
    <phoneticPr fontId="13"/>
  </si>
  <si>
    <t>計</t>
    <rPh sb="0" eb="1">
      <t>ケイ</t>
    </rPh>
    <phoneticPr fontId="13"/>
  </si>
  <si>
    <t>済</t>
    <rPh sb="0" eb="1">
      <t>スミ</t>
    </rPh>
    <phoneticPr fontId="13"/>
  </si>
  <si>
    <t>未</t>
    <rPh sb="0" eb="1">
      <t>ミ</t>
    </rPh>
    <phoneticPr fontId="13"/>
  </si>
  <si>
    <t>指摘詳細</t>
    <rPh sb="0" eb="2">
      <t>シテキ</t>
    </rPh>
    <rPh sb="2" eb="4">
      <t>ショウサイ</t>
    </rPh>
    <phoneticPr fontId="13"/>
  </si>
  <si>
    <t>集計用ワーク</t>
    <rPh sb="0" eb="3">
      <t>シュウケイヨウ</t>
    </rPh>
    <phoneticPr fontId="13"/>
  </si>
  <si>
    <t>シート</t>
    <phoneticPr fontId="13"/>
  </si>
  <si>
    <t>場所</t>
    <rPh sb="0" eb="2">
      <t>バショ</t>
    </rPh>
    <phoneticPr fontId="13"/>
  </si>
  <si>
    <t>指摘者</t>
    <rPh sb="0" eb="2">
      <t>シテキ</t>
    </rPh>
    <rPh sb="2" eb="3">
      <t>シャ</t>
    </rPh>
    <phoneticPr fontId="13"/>
  </si>
  <si>
    <t>指摘種別</t>
    <rPh sb="0" eb="2">
      <t>シテキ</t>
    </rPh>
    <rPh sb="2" eb="4">
      <t>シュベツ</t>
    </rPh>
    <phoneticPr fontId="13"/>
  </si>
  <si>
    <t>指摘内容</t>
    <rPh sb="0" eb="2">
      <t>シテキ</t>
    </rPh>
    <rPh sb="2" eb="4">
      <t>ナイヨウ</t>
    </rPh>
    <phoneticPr fontId="13"/>
  </si>
  <si>
    <t>システム機能設計書_サンプル_S28</t>
  </si>
  <si>
    <t>B5</t>
  </si>
  <si>
    <t>山田　太郎</t>
  </si>
  <si>
    <t>a</t>
  </si>
  <si>
    <t>レビュー指摘コメントの例。
自動で挿入される名前とコロンの直後に指摘分類をa～iで書く。
※レビュー日時を書く場合はコロンの直後に*を書く。</t>
  </si>
  <si>
    <t>未</t>
  </si>
  <si>
    <t>E60</t>
  </si>
  <si>
    <t>b</t>
  </si>
  <si>
    <t>対応内容の例。
---
対応内容はデリミタ（---）の後に記入する。</t>
  </si>
  <si>
    <t>E62</t>
  </si>
  <si>
    <t>c</t>
  </si>
  <si>
    <t>対応内容を確認し、指摘をクローズする例。
---
最後の行に「済」と書くと指摘をクローズできる。
「済」の前にスペースを空けて確認日と確認者を書くこともできる。
08/02山田 済</t>
  </si>
  <si>
    <t>済</t>
  </si>
  <si>
    <t>E63</t>
  </si>
  <si>
    <t>d</t>
  </si>
  <si>
    <t>機能・仕様誤りの指摘例（カテゴリd）。</t>
  </si>
  <si>
    <t>E64</t>
  </si>
  <si>
    <t>e</t>
  </si>
  <si>
    <t>設計・ドキュメント規約違反の指摘例（カテゴリe）。</t>
  </si>
  <si>
    <t>E65</t>
  </si>
  <si>
    <t>f</t>
  </si>
  <si>
    <t>記述誤りの指摘例（カテゴリf）。</t>
  </si>
  <si>
    <t>＜エラー＞</t>
    <phoneticPr fontId="13"/>
  </si>
  <si>
    <t>エラー内容</t>
    <rPh sb="3" eb="5">
      <t>ナイヨウ</t>
    </rPh>
    <phoneticPr fontId="13"/>
  </si>
  <si>
    <t>未登録の指摘分類エイリアスが記入されています: i</t>
  </si>
  <si>
    <t>2. WA1020101(プロジェクト登録画面)'!$E$68</t>
  </si>
  <si>
    <t>未登録の指摘分類エイリアスが記入されています: j</t>
  </si>
  <si>
    <t>2. WA1020101(プロジェクト登録画面)'!$E$69</t>
  </si>
  <si>
    <t>未登録の指摘分類エイリアスが記入されています: k</t>
  </si>
  <si>
    <t>2. WA1020101(プロジェクト登録画面)'!$E$70</t>
  </si>
  <si>
    <t>未登録の指摘分類エイリアスが記入されています: l</t>
  </si>
  <si>
    <t>2. WA1020101(プロジェクト登録画面)'!$E$71</t>
  </si>
  <si>
    <t>g</t>
    <phoneticPr fontId="13"/>
  </si>
  <si>
    <t>h</t>
    <phoneticPr fontId="13"/>
  </si>
  <si>
    <t>91_疑問点、確認</t>
    <phoneticPr fontId="13"/>
  </si>
  <si>
    <t>92_改善要望</t>
    <phoneticPr fontId="13"/>
  </si>
  <si>
    <t>E66</t>
  </si>
  <si>
    <t>g</t>
  </si>
  <si>
    <t>疑問点・確認の指摘例（カテゴリg）。</t>
  </si>
  <si>
    <t>E67</t>
  </si>
  <si>
    <t>h</t>
  </si>
  <si>
    <t>改善要望の指摘例（カテゴリh）。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</si>
</sst>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第&quot;0.00&quot;版&quot;"/>
    <numFmt numFmtId="177" formatCode="yyyy/mm/dd"/>
    <numFmt numFmtId="178" formatCode="#"/>
  </numFmts>
  <fonts count="27" x14ac:knownFonts="1">
    <font>
      <sz val="9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8"/>
      <name val="ＭＳ 明朝"/>
      <family val="1"/>
      <charset val="128"/>
    </font>
    <font>
      <b/>
      <sz val="20"/>
      <name val="ＭＳ 明朝"/>
      <family val="1"/>
      <charset val="128"/>
    </font>
    <font>
      <u/>
      <sz val="14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3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theme="1"/>
      <name val="ＭＳ 明朝"/>
      <family val="1"/>
      <charset val="128"/>
    </font>
    <font>
      <i/>
      <sz val="9"/>
      <name val="ＭＳ 明朝"/>
      <family val="1"/>
      <charset val="128"/>
    </font>
    <font>
      <u/>
      <sz val="9"/>
      <color indexed="12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indexed="55"/>
      <name val="ＭＳ 明朝"/>
      <family val="1"/>
      <charset val="128"/>
    </font>
    <font>
      <sz val="10"/>
      <name val="ＭＳ ゴシック"/>
      <family val="3"/>
      <charset val="128"/>
    </font>
    <font>
      <sz val="9"/>
      <color rgb="FFFF0000"/>
      <name val="ＭＳ 明朝"/>
      <family val="1"/>
      <charset val="128"/>
    </font>
    <font>
      <b/>
      <sz val="11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MS UI Gothic"/>
      <family val="3"/>
      <charset val="128"/>
    </font>
    <font>
      <b/>
      <sz val="11"/>
      <name val="MS UI Gothic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7" fillId="0" borderId="0">
      <alignment vertical="top"/>
      <protection locked="0"/>
    </xf>
    <xf numFmtId="9" fontId="12" fillId="0" borderId="0"/>
    <xf numFmtId="0" fontId="12" fillId="0" borderId="0"/>
    <xf numFmtId="0" fontId="20" fillId="0" borderId="0"/>
    <xf numFmtId="0" fontId="9" fillId="0" borderId="0"/>
    <xf numFmtId="0" fontId="20" fillId="0" borderId="0"/>
    <xf numFmtId="0" fontId="14" fillId="0" borderId="0">
      <alignment vertical="center"/>
    </xf>
  </cellStyleXfs>
  <cellXfs count="30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1" fillId="0" borderId="0" xfId="1" applyFont="1"/>
    <xf numFmtId="0" fontId="1" fillId="0" borderId="0" xfId="1" applyFont="1" applyAlignment="1">
      <alignment horizontal="right"/>
    </xf>
    <xf numFmtId="0" fontId="1" fillId="0" borderId="0" xfId="1" applyFont="1" applyAlignment="1">
      <alignment vertical="top"/>
    </xf>
    <xf numFmtId="31" fontId="6" fillId="0" borderId="0" xfId="0" applyNumberFormat="1" applyFont="1"/>
    <xf numFmtId="0" fontId="7" fillId="0" borderId="0" xfId="1" applyFont="1"/>
    <xf numFmtId="176" fontId="7" fillId="0" borderId="0" xfId="1" quotePrefix="1" applyNumberFormat="1" applyFont="1" applyAlignment="1">
      <alignment horizontal="center"/>
    </xf>
    <xf numFmtId="0" fontId="12" fillId="0" borderId="0" xfId="0" applyFont="1"/>
    <xf numFmtId="0" fontId="1" fillId="0" borderId="0" xfId="0" applyFont="1"/>
    <xf numFmtId="0" fontId="12" fillId="0" borderId="0" xfId="1" applyAlignment="1">
      <alignment vertical="top"/>
    </xf>
    <xf numFmtId="0" fontId="2" fillId="0" borderId="0" xfId="3" applyFont="1"/>
    <xf numFmtId="0" fontId="11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8" fillId="0" borderId="0" xfId="3" applyFont="1" applyAlignment="1">
      <alignment horizontal="center"/>
    </xf>
    <xf numFmtId="0" fontId="1" fillId="0" borderId="0" xfId="1" applyFont="1" applyAlignment="1">
      <alignment horizontal="center" vertical="center"/>
    </xf>
    <xf numFmtId="0" fontId="1" fillId="0" borderId="0" xfId="1" quotePrefix="1" applyFont="1" applyAlignment="1">
      <alignment vertical="center"/>
    </xf>
    <xf numFmtId="0" fontId="1" fillId="0" borderId="0" xfId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177" fontId="1" fillId="0" borderId="0" xfId="0" applyNumberFormat="1" applyFont="1" applyAlignment="1">
      <alignment horizontal="right"/>
    </xf>
    <xf numFmtId="0" fontId="1" fillId="0" borderId="0" xfId="0" quotePrefix="1" applyFont="1"/>
    <xf numFmtId="0" fontId="1" fillId="0" borderId="0" xfId="0" applyFont="1" applyAlignment="1">
      <alignment vertical="top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right"/>
    </xf>
    <xf numFmtId="0" fontId="18" fillId="0" borderId="0" xfId="0" applyFont="1"/>
    <xf numFmtId="0" fontId="19" fillId="0" borderId="0" xfId="0" quotePrefix="1" applyFont="1" applyAlignment="1">
      <alignment horizontal="right"/>
    </xf>
    <xf numFmtId="0" fontId="18" fillId="0" borderId="0" xfId="0" applyFont="1" applyAlignment="1">
      <alignment horizontal="left"/>
    </xf>
    <xf numFmtId="0" fontId="19" fillId="0" borderId="0" xfId="0" quotePrefix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0" xfId="1" applyFont="1" applyAlignment="1">
      <alignment horizontal="left" vertical="center"/>
    </xf>
    <xf numFmtId="0" fontId="0" fillId="0" borderId="11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5" applyFont="1" applyAlignment="1" applyProtection="1"/>
    <xf numFmtId="0" fontId="0" fillId="0" borderId="0" xfId="0" quotePrefix="1" applyAlignment="1">
      <alignment horizontal="right"/>
    </xf>
    <xf numFmtId="0" fontId="0" fillId="0" borderId="0" xfId="5" applyFont="1" applyAlignment="1" applyProtection="1">
      <alignment horizontal="left"/>
    </xf>
    <xf numFmtId="0" fontId="0" fillId="0" borderId="0" xfId="5" applyFont="1" applyAlignment="1" applyProtection="1">
      <alignment horizontal="left" vertic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10" xfId="0" applyBorder="1"/>
    <xf numFmtId="0" fontId="0" fillId="2" borderId="10" xfId="0" applyFill="1" applyBorder="1"/>
    <xf numFmtId="0" fontId="0" fillId="2" borderId="1" xfId="0" applyFill="1" applyBorder="1"/>
    <xf numFmtId="0" fontId="0" fillId="5" borderId="10" xfId="0" applyFill="1" applyBorder="1"/>
    <xf numFmtId="0" fontId="0" fillId="0" borderId="1" xfId="0" applyBorder="1"/>
    <xf numFmtId="0" fontId="0" fillId="3" borderId="10" xfId="0" applyFill="1" applyBorder="1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/>
    <xf numFmtId="49" fontId="1" fillId="3" borderId="4" xfId="0" applyNumberFormat="1" applyFont="1" applyFill="1" applyBorder="1"/>
    <xf numFmtId="49" fontId="1" fillId="3" borderId="5" xfId="0" applyNumberFormat="1" applyFont="1" applyFill="1" applyBorder="1"/>
    <xf numFmtId="49" fontId="1" fillId="3" borderId="6" xfId="0" applyNumberFormat="1" applyFont="1" applyFill="1" applyBorder="1"/>
    <xf numFmtId="49" fontId="1" fillId="0" borderId="2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/>
    <xf numFmtId="49" fontId="1" fillId="0" borderId="0" xfId="0" applyNumberFormat="1" applyFont="1" applyAlignment="1">
      <alignment vertical="center"/>
    </xf>
    <xf numFmtId="49" fontId="1" fillId="0" borderId="22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 vertical="center"/>
    </xf>
    <xf numFmtId="49" fontId="1" fillId="0" borderId="8" xfId="0" applyNumberFormat="1" applyFont="1" applyBorder="1" applyAlignment="1">
      <alignment horizontal="left" vertical="center"/>
    </xf>
    <xf numFmtId="49" fontId="1" fillId="0" borderId="8" xfId="0" applyNumberFormat="1" applyFont="1" applyBorder="1"/>
    <xf numFmtId="49" fontId="1" fillId="0" borderId="8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" fillId="0" borderId="21" xfId="0" applyFont="1" applyBorder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center" wrapText="1"/>
    </xf>
    <xf numFmtId="0" fontId="1" fillId="2" borderId="15" xfId="0" applyFont="1" applyFill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/>
    <xf numFmtId="0" fontId="1" fillId="0" borderId="10" xfId="0" applyFont="1" applyBorder="1" applyAlignment="1">
      <alignment horizontal="right" vertical="top"/>
    </xf>
    <xf numFmtId="49" fontId="1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4" borderId="10" xfId="0" applyFont="1" applyFill="1" applyBorder="1" applyAlignment="1">
      <alignment horizontal="center" vertical="top"/>
    </xf>
    <xf numFmtId="0" fontId="1" fillId="0" borderId="10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top"/>
    </xf>
    <xf numFmtId="0" fontId="0" fillId="3" borderId="0" xfId="0" applyFill="1" applyAlignment="1">
      <alignment vertical="top" wrapText="1"/>
    </xf>
    <xf numFmtId="0" fontId="1" fillId="2" borderId="10" xfId="0" applyFont="1" applyFill="1" applyBorder="1" applyAlignment="1">
      <alignment vertical="top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3" borderId="16" xfId="0" applyFill="1" applyBorder="1" applyAlignment="1">
      <alignment horizontal="right" vertical="top" wrapText="1"/>
    </xf>
    <xf numFmtId="0" fontId="1" fillId="3" borderId="0" xfId="0" applyFont="1" applyFill="1" applyAlignment="1">
      <alignment vertical="top" wrapText="1"/>
    </xf>
    <xf numFmtId="0" fontId="0" fillId="3" borderId="0" xfId="0" applyFill="1" applyAlignment="1">
      <alignment horizontal="right" vertical="top" wrapText="1"/>
    </xf>
    <xf numFmtId="0" fontId="0" fillId="0" borderId="16" xfId="0" applyBorder="1" applyAlignment="1">
      <alignment vertical="top" wrapText="1"/>
    </xf>
    <xf numFmtId="0" fontId="1" fillId="2" borderId="10" xfId="0" applyFont="1" applyFill="1" applyBorder="1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3" borderId="8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10" xfId="0" applyBorder="1" applyAlignment="1">
      <alignment vertical="center" wrapText="1"/>
    </xf>
    <xf numFmtId="49" fontId="0" fillId="0" borderId="0" xfId="0" applyNumberFormat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0" fillId="3" borderId="7" xfId="0" applyFill="1" applyBorder="1" applyAlignment="1">
      <alignment vertical="top" wrapText="1"/>
    </xf>
    <xf numFmtId="0" fontId="1" fillId="5" borderId="2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1" fillId="7" borderId="10" xfId="0" applyFont="1" applyFill="1" applyBorder="1" applyAlignment="1">
      <alignment horizontal="right" vertical="top"/>
    </xf>
    <xf numFmtId="0" fontId="21" fillId="0" borderId="0" xfId="0" applyFont="1"/>
    <xf numFmtId="0" fontId="21" fillId="0" borderId="0" xfId="0" applyFont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 vertical="center" wrapText="1"/>
    </xf>
    <xf numFmtId="49" fontId="0" fillId="3" borderId="4" xfId="0" applyNumberFormat="1" applyFill="1" applyBorder="1"/>
    <xf numFmtId="49" fontId="0" fillId="3" borderId="5" xfId="0" applyNumberFormat="1" applyFill="1" applyBorder="1"/>
    <xf numFmtId="49" fontId="0" fillId="3" borderId="6" xfId="0" applyNumberFormat="1" applyFill="1" applyBorder="1"/>
    <xf numFmtId="49" fontId="0" fillId="0" borderId="21" xfId="0" applyNumberFormat="1" applyBorder="1" applyAlignment="1">
      <alignment horizontal="left"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0" fillId="0" borderId="22" xfId="0" applyNumberForma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49" fontId="0" fillId="0" borderId="8" xfId="0" applyNumberFormat="1" applyBorder="1"/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0" xfId="0" applyBorder="1" applyAlignment="1">
      <alignment horizontal="right" vertical="top"/>
    </xf>
    <xf numFmtId="31" fontId="7" fillId="0" borderId="0" xfId="3" quotePrefix="1" applyNumberFormat="1" applyFont="1" applyAlignment="1">
      <alignment horizontal="center" vertical="center"/>
    </xf>
    <xf numFmtId="0" fontId="2" fillId="0" borderId="0" xfId="0" applyFont="1"/>
    <xf numFmtId="14" fontId="0" fillId="0" borderId="10" xfId="0" applyNumberForma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center" vertical="top"/>
    </xf>
    <xf numFmtId="0" fontId="0" fillId="0" borderId="10" xfId="1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21" xfId="0" applyBorder="1"/>
    <xf numFmtId="0" fontId="1" fillId="0" borderId="0" xfId="1" applyFont="1" applyAlignment="1">
      <alignment vertical="top"/>
    </xf>
    <xf numFmtId="0" fontId="0" fillId="0" borderId="2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left" vertical="top" wrapText="1"/>
    </xf>
    <xf numFmtId="0" fontId="0" fillId="0" borderId="23" xfId="0" applyBorder="1" applyAlignment="1">
      <alignment horizontal="center" vertical="center"/>
    </xf>
    <xf numFmtId="0" fontId="0" fillId="0" borderId="25" xfId="0" applyBorder="1"/>
    <xf numFmtId="0" fontId="0" fillId="0" borderId="24" xfId="0" applyBorder="1"/>
    <xf numFmtId="0" fontId="1" fillId="2" borderId="10" xfId="1" applyFont="1" applyFill="1" applyBorder="1" applyAlignment="1">
      <alignment horizontal="left" vertical="top"/>
    </xf>
    <xf numFmtId="0" fontId="15" fillId="2" borderId="10" xfId="1" applyFont="1" applyFill="1" applyBorder="1" applyAlignment="1">
      <alignment horizontal="left" vertical="top"/>
    </xf>
    <xf numFmtId="0" fontId="1" fillId="0" borderId="32" xfId="0" applyFont="1" applyBorder="1" applyAlignment="1">
      <alignment horizontal="left" vertical="top" wrapText="1"/>
    </xf>
    <xf numFmtId="0" fontId="0" fillId="0" borderId="31" xfId="0" applyBorder="1"/>
    <xf numFmtId="0" fontId="0" fillId="0" borderId="30" xfId="0" applyBorder="1"/>
    <xf numFmtId="177" fontId="1" fillId="0" borderId="10" xfId="3" applyNumberFormat="1" applyFont="1" applyBorder="1" applyAlignment="1">
      <alignment horizontal="right"/>
    </xf>
    <xf numFmtId="0" fontId="1" fillId="0" borderId="10" xfId="1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14" fontId="1" fillId="0" borderId="10" xfId="1" applyNumberFormat="1" applyFont="1" applyBorder="1" applyAlignment="1">
      <alignment horizontal="left" vertical="top"/>
    </xf>
    <xf numFmtId="0" fontId="0" fillId="0" borderId="10" xfId="2" applyFont="1" applyBorder="1" applyAlignment="1">
      <alignment horizontal="left" vertical="top"/>
    </xf>
    <xf numFmtId="14" fontId="1" fillId="0" borderId="32" xfId="0" quotePrefix="1" applyNumberFormat="1" applyFont="1" applyBorder="1" applyAlignment="1">
      <alignment horizontal="center" vertical="top"/>
    </xf>
    <xf numFmtId="14" fontId="0" fillId="0" borderId="10" xfId="1" applyNumberFormat="1" applyFont="1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2" borderId="10" xfId="1" applyFont="1" applyFill="1" applyBorder="1" applyAlignment="1">
      <alignment horizontal="left"/>
    </xf>
    <xf numFmtId="177" fontId="1" fillId="0" borderId="10" xfId="0" applyNumberFormat="1" applyFont="1" applyBorder="1" applyAlignment="1">
      <alignment horizontal="right" vertical="top"/>
    </xf>
    <xf numFmtId="0" fontId="1" fillId="0" borderId="10" xfId="1" applyFont="1" applyBorder="1" applyAlignment="1">
      <alignment horizontal="left" vertical="top" wrapText="1"/>
    </xf>
    <xf numFmtId="0" fontId="1" fillId="0" borderId="10" xfId="2" applyFont="1" applyBorder="1" applyAlignment="1">
      <alignment horizontal="left" vertical="top"/>
    </xf>
    <xf numFmtId="0" fontId="1" fillId="2" borderId="10" xfId="0" applyFont="1" applyFill="1" applyBorder="1" applyAlignment="1">
      <alignment vertical="top"/>
    </xf>
    <xf numFmtId="0" fontId="1" fillId="2" borderId="10" xfId="0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4" borderId="10" xfId="0" applyFont="1" applyFill="1" applyBorder="1" applyAlignment="1">
      <alignment horizontal="left" vertical="top"/>
    </xf>
    <xf numFmtId="0" fontId="1" fillId="4" borderId="10" xfId="0" applyFont="1" applyFill="1" applyBorder="1" applyAlignment="1">
      <alignment horizontal="center" vertical="top"/>
    </xf>
    <xf numFmtId="0" fontId="1" fillId="0" borderId="33" xfId="0" applyFont="1" applyBorder="1" applyAlignment="1">
      <alignment vertical="top" wrapText="1"/>
    </xf>
    <xf numFmtId="0" fontId="0" fillId="0" borderId="19" xfId="0" applyBorder="1"/>
    <xf numFmtId="0" fontId="0" fillId="0" borderId="20" xfId="0" applyBorder="1"/>
    <xf numFmtId="0" fontId="0" fillId="0" borderId="10" xfId="0" applyBorder="1" applyAlignment="1">
      <alignment vertical="top" wrapText="1"/>
    </xf>
    <xf numFmtId="0" fontId="15" fillId="0" borderId="10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center"/>
    </xf>
    <xf numFmtId="0" fontId="0" fillId="2" borderId="10" xfId="0" applyFill="1" applyBorder="1" applyAlignment="1">
      <alignment vertical="top" wrapText="1"/>
    </xf>
    <xf numFmtId="0" fontId="1" fillId="4" borderId="10" xfId="0" applyFont="1" applyFill="1" applyBorder="1" applyAlignment="1">
      <alignment vertical="top" wrapText="1"/>
    </xf>
    <xf numFmtId="0" fontId="0" fillId="0" borderId="11" xfId="0" applyBorder="1"/>
    <xf numFmtId="0" fontId="1" fillId="0" borderId="10" xfId="0" applyFont="1" applyBorder="1" applyAlignment="1">
      <alignment vertical="top"/>
    </xf>
    <xf numFmtId="0" fontId="1" fillId="5" borderId="10" xfId="0" applyFont="1" applyFill="1" applyBorder="1" applyAlignment="1">
      <alignment horizontal="left" vertical="top"/>
    </xf>
    <xf numFmtId="49" fontId="0" fillId="0" borderId="10" xfId="0" applyNumberFormat="1" applyBorder="1" applyAlignment="1">
      <alignment vertical="center" wrapText="1"/>
    </xf>
    <xf numFmtId="0" fontId="0" fillId="0" borderId="10" xfId="0" applyBorder="1"/>
    <xf numFmtId="0" fontId="1" fillId="0" borderId="10" xfId="0" applyFont="1" applyBorder="1" applyAlignment="1">
      <alignment horizontal="left" vertical="top" wrapText="1"/>
    </xf>
    <xf numFmtId="0" fontId="1" fillId="2" borderId="10" xfId="1" applyFont="1" applyFill="1" applyBorder="1" applyAlignment="1">
      <alignment vertical="top"/>
    </xf>
    <xf numFmtId="177" fontId="1" fillId="0" borderId="10" xfId="0" applyNumberFormat="1" applyFont="1" applyBorder="1" applyAlignment="1">
      <alignment horizontal="right"/>
    </xf>
    <xf numFmtId="0" fontId="0" fillId="0" borderId="28" xfId="0" applyBorder="1"/>
    <xf numFmtId="0" fontId="0" fillId="0" borderId="26" xfId="0" applyBorder="1" applyAlignment="1">
      <alignment horizontal="left" vertical="top"/>
    </xf>
    <xf numFmtId="0" fontId="1" fillId="0" borderId="0" xfId="0" applyFont="1"/>
    <xf numFmtId="0" fontId="0" fillId="3" borderId="10" xfId="0" applyFill="1" applyBorder="1" applyAlignment="1">
      <alignment vertical="top" wrapText="1"/>
    </xf>
    <xf numFmtId="0" fontId="0" fillId="2" borderId="12" xfId="0" applyFill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0" fillId="2" borderId="10" xfId="0" applyFill="1" applyBorder="1" applyAlignment="1">
      <alignment horizontal="left" vertical="top" wrapText="1"/>
    </xf>
    <xf numFmtId="0" fontId="1" fillId="2" borderId="35" xfId="0" applyFont="1" applyFill="1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2" borderId="10" xfId="0" applyFill="1" applyBorder="1" applyAlignment="1">
      <alignment vertical="top"/>
    </xf>
    <xf numFmtId="0" fontId="1" fillId="0" borderId="10" xfId="0" applyFont="1" applyBorder="1" applyAlignment="1">
      <alignment vertical="top" wrapText="1"/>
    </xf>
    <xf numFmtId="49" fontId="1" fillId="2" borderId="10" xfId="0" applyNumberFormat="1" applyFont="1" applyFill="1" applyBorder="1" applyAlignment="1">
      <alignment horizontal="left" vertical="top"/>
    </xf>
    <xf numFmtId="0" fontId="1" fillId="2" borderId="14" xfId="0" applyFont="1" applyFill="1" applyBorder="1" applyAlignment="1">
      <alignment vertical="center"/>
    </xf>
    <xf numFmtId="0" fontId="1" fillId="5" borderId="10" xfId="0" applyFont="1" applyFill="1" applyBorder="1" applyAlignment="1">
      <alignment vertical="top"/>
    </xf>
    <xf numFmtId="0" fontId="0" fillId="5" borderId="10" xfId="0" applyFill="1" applyBorder="1" applyAlignment="1">
      <alignment horizontal="left" vertical="top"/>
    </xf>
    <xf numFmtId="0" fontId="0" fillId="7" borderId="10" xfId="0" applyFill="1" applyBorder="1" applyAlignment="1">
      <alignment horizontal="left" vertical="top" wrapText="1"/>
    </xf>
    <xf numFmtId="0" fontId="1" fillId="4" borderId="10" xfId="0" applyFont="1" applyFill="1" applyBorder="1" applyAlignment="1">
      <alignment vertical="top"/>
    </xf>
    <xf numFmtId="0" fontId="1" fillId="5" borderId="10" xfId="0" applyFont="1" applyFill="1" applyBorder="1"/>
    <xf numFmtId="0" fontId="1" fillId="7" borderId="33" xfId="0" applyFont="1" applyFill="1" applyBorder="1" applyAlignment="1">
      <alignment vertical="top" wrapText="1"/>
    </xf>
    <xf numFmtId="0" fontId="1" fillId="0" borderId="10" xfId="0" applyFont="1" applyBorder="1" applyAlignment="1">
      <alignment horizontal="left" vertical="top"/>
    </xf>
    <xf numFmtId="0" fontId="0" fillId="6" borderId="10" xfId="0" applyFill="1" applyBorder="1" applyAlignment="1">
      <alignment vertical="top" wrapText="1"/>
    </xf>
    <xf numFmtId="0" fontId="1" fillId="2" borderId="10" xfId="0" applyFont="1" applyFill="1" applyBorder="1" applyAlignment="1">
      <alignment horizontal="left" vertical="top" wrapText="1"/>
    </xf>
    <xf numFmtId="0" fontId="0" fillId="5" borderId="10" xfId="0" applyFill="1" applyBorder="1"/>
    <xf numFmtId="49" fontId="0" fillId="2" borderId="10" xfId="0" applyNumberFormat="1" applyFill="1" applyBorder="1" applyAlignment="1">
      <alignment horizontal="left" vertical="top"/>
    </xf>
    <xf numFmtId="49" fontId="0" fillId="0" borderId="10" xfId="0" applyNumberFormat="1" applyBorder="1" applyAlignment="1">
      <alignment horizontal="left" vertical="top" wrapText="1"/>
    </xf>
    <xf numFmtId="0" fontId="1" fillId="0" borderId="13" xfId="0" applyFont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0" fontId="1" fillId="2" borderId="34" xfId="0" applyFont="1" applyFill="1" applyBorder="1" applyAlignment="1">
      <alignment vertical="top"/>
    </xf>
    <xf numFmtId="0" fontId="0" fillId="0" borderId="27" xfId="0" applyBorder="1"/>
    <xf numFmtId="0" fontId="0" fillId="3" borderId="13" xfId="0" applyFill="1" applyBorder="1" applyAlignment="1">
      <alignment vertical="top" wrapText="1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5" borderId="10" xfId="0" applyFill="1" applyBorder="1" applyAlignment="1">
      <alignment horizontal="center" vertical="top"/>
    </xf>
    <xf numFmtId="0" fontId="0" fillId="3" borderId="10" xfId="0" applyFill="1" applyBorder="1" applyAlignment="1">
      <alignment horizontal="left" vertical="top" wrapText="1"/>
    </xf>
    <xf numFmtId="0" fontId="0" fillId="2" borderId="14" xfId="0" applyFill="1" applyBorder="1" applyAlignment="1">
      <alignment vertical="center"/>
    </xf>
    <xf numFmtId="0" fontId="1" fillId="0" borderId="33" xfId="0" applyFont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/>
    </xf>
    <xf numFmtId="0" fontId="1" fillId="0" borderId="29" xfId="0" applyFont="1" applyBorder="1" applyAlignment="1">
      <alignment vertical="center" wrapText="1"/>
    </xf>
    <xf numFmtId="0" fontId="0" fillId="0" borderId="29" xfId="0" applyBorder="1"/>
    <xf numFmtId="0" fontId="1" fillId="0" borderId="0" xfId="0" applyFont="1" applyAlignment="1">
      <alignment vertical="center"/>
    </xf>
    <xf numFmtId="49" fontId="1" fillId="0" borderId="10" xfId="0" applyNumberFormat="1" applyFont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22" fillId="0" borderId="0" xfId="11" applyFont="1">
      <alignment vertical="center"/>
    </xf>
    <xf numFmtId="0" fontId="14" fillId="0" borderId="0" xfId="11">
      <alignment vertical="center"/>
    </xf>
    <xf numFmtId="0" fontId="23" fillId="0" borderId="0" xfId="11" applyFont="1">
      <alignment vertical="center"/>
    </xf>
    <xf numFmtId="0" fontId="24" fillId="0" borderId="0" xfId="11" applyFont="1">
      <alignment vertical="center"/>
    </xf>
    <xf numFmtId="0" fontId="14" fillId="8" borderId="1" xfId="11" applyFill="1" applyBorder="1">
      <alignment vertical="center"/>
    </xf>
    <xf numFmtId="0" fontId="14" fillId="8" borderId="2" xfId="11" applyFill="1" applyBorder="1">
      <alignment vertical="center"/>
    </xf>
    <xf numFmtId="0" fontId="14" fillId="8" borderId="3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 applyAlignment="1">
      <alignment horizontal="center" vertical="center"/>
    </xf>
    <xf numFmtId="0" fontId="14" fillId="0" borderId="10" xfId="11" applyBorder="1">
      <alignment vertical="center"/>
    </xf>
    <xf numFmtId="0" fontId="14" fillId="0" borderId="10" xfId="11" applyBorder="1">
      <alignment vertical="center"/>
    </xf>
    <xf numFmtId="14" fontId="14" fillId="0" borderId="10" xfId="11" applyNumberFormat="1" applyBorder="1">
      <alignment vertical="center"/>
    </xf>
    <xf numFmtId="20" fontId="14" fillId="0" borderId="10" xfId="11" applyNumberFormat="1" applyBorder="1">
      <alignment vertical="center"/>
    </xf>
    <xf numFmtId="0" fontId="14" fillId="0" borderId="10" xfId="11" applyBorder="1" applyAlignment="1">
      <alignment horizontal="center" vertical="center"/>
    </xf>
    <xf numFmtId="0" fontId="14" fillId="8" borderId="10" xfId="11" applyFill="1" applyBorder="1" applyAlignment="1">
      <alignment horizontal="center" vertical="center" wrapText="1"/>
    </xf>
    <xf numFmtId="0" fontId="25" fillId="8" borderId="10" xfId="11" applyFont="1" applyFill="1" applyBorder="1" applyAlignment="1">
      <alignment vertical="center" wrapText="1"/>
    </xf>
    <xf numFmtId="0" fontId="25" fillId="8" borderId="10" xfId="11" applyFont="1" applyFill="1" applyBorder="1">
      <alignment vertical="center"/>
    </xf>
    <xf numFmtId="0" fontId="26" fillId="8" borderId="10" xfId="11" applyFont="1" applyFill="1" applyBorder="1" applyAlignment="1">
      <alignment vertical="center" wrapText="1"/>
    </xf>
    <xf numFmtId="0" fontId="26" fillId="0" borderId="0" xfId="11" applyFont="1" applyAlignment="1">
      <alignment vertical="center" wrapText="1"/>
    </xf>
    <xf numFmtId="178" fontId="14" fillId="0" borderId="10" xfId="11" applyNumberFormat="1" applyBorder="1">
      <alignment vertical="center"/>
    </xf>
    <xf numFmtId="178" fontId="22" fillId="9" borderId="10" xfId="11" applyNumberFormat="1" applyFont="1" applyFill="1" applyBorder="1">
      <alignment vertical="center"/>
    </xf>
    <xf numFmtId="0" fontId="22" fillId="8" borderId="10" xfId="11" applyFont="1" applyFill="1" applyBorder="1">
      <alignment vertical="center"/>
    </xf>
    <xf numFmtId="178" fontId="22" fillId="9" borderId="10" xfId="11" applyNumberFormat="1" applyFont="1" applyFill="1" applyBorder="1" applyAlignment="1">
      <alignment vertical="center" wrapText="1"/>
    </xf>
    <xf numFmtId="178" fontId="22" fillId="0" borderId="0" xfId="11" applyNumberFormat="1" applyFont="1" applyAlignment="1">
      <alignment vertical="center" wrapText="1"/>
    </xf>
    <xf numFmtId="0" fontId="22" fillId="0" borderId="0" xfId="11" applyFont="1" applyAlignment="1">
      <alignment vertical="center" wrapText="1"/>
    </xf>
    <xf numFmtId="0" fontId="14" fillId="0" borderId="0" xfId="11" applyAlignment="1">
      <alignment vertical="center" wrapText="1"/>
    </xf>
    <xf numFmtId="0" fontId="14" fillId="10" borderId="10" xfId="11" applyFill="1" applyBorder="1" applyAlignment="1">
      <alignment vertical="center" wrapText="1"/>
    </xf>
    <xf numFmtId="0" fontId="14" fillId="10" borderId="1" xfId="11" applyFill="1" applyBorder="1" applyAlignment="1">
      <alignment vertical="center" wrapText="1"/>
    </xf>
    <xf numFmtId="0" fontId="14" fillId="10" borderId="2" xfId="11" applyFill="1" applyBorder="1" applyAlignment="1">
      <alignment vertical="center" wrapText="1"/>
    </xf>
    <xf numFmtId="0" fontId="14" fillId="10" borderId="2" xfId="11" applyFill="1" applyBorder="1">
      <alignment vertical="center"/>
    </xf>
    <xf numFmtId="0" fontId="14" fillId="10" borderId="3" xfId="11" applyFill="1" applyBorder="1">
      <alignment vertical="center"/>
    </xf>
    <xf numFmtId="0" fontId="14" fillId="10" borderId="10" xfId="11" applyFill="1" applyBorder="1">
      <alignment vertical="center"/>
    </xf>
    <xf numFmtId="0" fontId="23" fillId="11" borderId="0" xfId="11" applyFont="1" applyFill="1" applyAlignment="1">
      <alignment horizontal="right" vertical="center"/>
    </xf>
    <xf numFmtId="0" fontId="23" fillId="0" borderId="0" xfId="11" applyFont="1" applyAlignment="1">
      <alignment horizontal="right" vertical="center"/>
    </xf>
    <xf numFmtId="0" fontId="23" fillId="0" borderId="0" xfId="11" applyFont="1" applyAlignment="1">
      <alignment vertical="center" wrapText="1"/>
    </xf>
    <xf numFmtId="0" fontId="17" fillId="0" borderId="0" xfId="5">
      <alignment vertical="top"/>
      <protection locked="0"/>
    </xf>
    <xf numFmtId="0" fontId="14" fillId="0" borderId="10" xfId="11" applyBorder="1" applyAlignment="1">
      <alignment vertical="center" wrapText="1"/>
    </xf>
    <xf numFmtId="0" fontId="17" fillId="0" borderId="0" xfId="5" quotePrefix="1">
      <alignment vertical="top"/>
      <protection locked="0"/>
    </xf>
  </cellXfs>
  <cellStyles count="12">
    <cellStyle name="パーセント 2" xfId="6" xr:uid="{00000000-0005-0000-0000-000006000000}"/>
    <cellStyle name="ハイパーリンク" xfId="5" builtinId="8"/>
    <cellStyle name="標準" xfId="0" builtinId="0"/>
    <cellStyle name="標準 10" xfId="7" xr:uid="{00000000-0005-0000-0000-000007000000}"/>
    <cellStyle name="標準 2" xfId="3" xr:uid="{00000000-0005-0000-0000-000003000000}"/>
    <cellStyle name="標準 2 13" xfId="8" xr:uid="{00000000-0005-0000-0000-000008000000}"/>
    <cellStyle name="標準 2 2" xfId="10" xr:uid="{00000000-0005-0000-0000-00000A000000}"/>
    <cellStyle name="標準 2 3" xfId="9" xr:uid="{00000000-0005-0000-0000-000009000000}"/>
    <cellStyle name="標準 3" xfId="11" xr:uid="{00000000-0005-0000-0000-00000B000000}"/>
    <cellStyle name="標準_~6362950" xfId="4" xr:uid="{00000000-0005-0000-0000-000004000000}"/>
    <cellStyle name="標準_画面標準" xfId="1" xr:uid="{00000000-0005-0000-0000-000001000000}"/>
    <cellStyle name="標準_画面標準定義" xfId="2" xr:uid="{00000000-0005-0000-0000-000002000000}"/>
  </cellStyles>
  <dxfs count="3">
    <dxf>
      <fill>
        <patternFill>
          <bgColor indexed="22"/>
        </patternFill>
      </fill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BFA6D-F3A8-4F79-B8FB-23EBC39F1CD4}">
  <sheetPr codeName="ErrorSheetTemplate">
    <tabColor theme="3" tint="0.59999389629810485"/>
  </sheetPr>
  <dimension ref="A1:B6"/>
  <sheetViews>
    <sheetView tabSelected="1" workbookViewId="0"/>
  </sheetViews>
  <sheetFormatPr defaultRowHeight="13.5" x14ac:dyDescent="0.15"/>
  <cols>
    <col min="1" max="1" width="105.1640625" style="287" customWidth="1"/>
    <col min="2" max="2" width="42.1640625" style="262" customWidth="1"/>
    <col min="3" max="16384" width="9.33203125" style="262"/>
  </cols>
  <sheetData>
    <row r="1" spans="1:2" x14ac:dyDescent="0.15">
      <c r="A1" s="286" t="s">
        <v>322</v>
      </c>
    </row>
    <row r="2" spans="1:2" x14ac:dyDescent="0.15">
      <c r="A2" s="287" t="s">
        <v>323</v>
      </c>
      <c r="B2" s="262" t="s">
        <v>296</v>
      </c>
    </row>
    <row r="3" spans="1:2" x14ac:dyDescent="0.15">
      <c r="A3" s="287" t="s">
        <v>324</v>
      </c>
      <c r="B3" s="299" t="s">
        <v>325</v>
      </c>
    </row>
    <row r="4" spans="1:2" x14ac:dyDescent="0.15">
      <c r="A4" s="287" t="s">
        <v>326</v>
      </c>
      <c r="B4" s="299" t="s">
        <v>327</v>
      </c>
    </row>
    <row r="5" spans="1:2" x14ac:dyDescent="0.15">
      <c r="A5" s="287" t="s">
        <v>328</v>
      </c>
      <c r="B5" s="299" t="s">
        <v>329</v>
      </c>
    </row>
    <row r="6" spans="1:2" x14ac:dyDescent="0.15">
      <c r="A6" s="287" t="s">
        <v>330</v>
      </c>
      <c r="B6" s="299" t="s">
        <v>331</v>
      </c>
    </row>
  </sheetData>
  <phoneticPr fontId="10"/>
  <hyperlinks>
    <hyperlink ref="B3" location="'2. WA1020101(プロジェクト登録画面)'!$E$68" display="'2. WA1020101(プロジェクト登録画面)'!$E$68" xr:uid="{4521BD8B-22B5-4F21-AA50-E59FD21057E2}"/>
    <hyperlink ref="B4" location="'2. WA1020101(プロジェクト登録画面)'!$E$69" display="'2. WA1020101(プロジェクト登録画面)'!$E$69" xr:uid="{C72C4843-61DB-404C-80A2-F40F9D9B7DB5}"/>
    <hyperlink ref="B5" location="'2. WA1020101(プロジェクト登録画面)'!$E$70" display="'2. WA1020101(プロジェクト登録画面)'!$E$70" xr:uid="{911FF07B-BCE3-40E4-9B48-D7B5761EECAF}"/>
    <hyperlink ref="B6" location="'2. WA1020101(プロジェクト登録画面)'!$E$71" display="'2. WA1020101(プロジェクト登録画面)'!$E$71" xr:uid="{2F8C4466-D9A3-4D93-9594-D062BE681A98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B63FE-1374-40A3-B82A-172AC9F47334}">
  <sheetPr codeName="SheetTemplate">
    <tabColor indexed="44"/>
    <pageSetUpPr fitToPage="1"/>
  </sheetPr>
  <dimension ref="A1:U23"/>
  <sheetViews>
    <sheetView showGridLines="0" view="pageBreakPreview" zoomScale="75" zoomScaleNormal="75" zoomScaleSheetLayoutView="75" workbookViewId="0">
      <pane ySplit="14" topLeftCell="A15" activePane="bottomLeft" state="frozen"/>
      <selection pane="bottomLeft" activeCell="AC14" sqref="AC14:AC16"/>
    </sheetView>
  </sheetViews>
  <sheetFormatPr defaultRowHeight="13.5" x14ac:dyDescent="0.15"/>
  <cols>
    <col min="1" max="1" width="9.33203125" style="262"/>
    <col min="2" max="11" width="17.6640625" style="262" customWidth="1"/>
    <col min="12" max="19" width="4.5" style="262" customWidth="1"/>
    <col min="20" max="20" width="98.1640625" style="262" customWidth="1"/>
    <col min="21" max="26" width="4.5" style="262" customWidth="1"/>
    <col min="27" max="27" width="98.1640625" style="262" customWidth="1"/>
    <col min="28" max="16384" width="9.33203125" style="262"/>
  </cols>
  <sheetData>
    <row r="1" spans="1:21" x14ac:dyDescent="0.15">
      <c r="A1" s="261" t="s">
        <v>265</v>
      </c>
      <c r="L1" s="263"/>
      <c r="T1" s="264" t="s">
        <v>266</v>
      </c>
    </row>
    <row r="2" spans="1:21" x14ac:dyDescent="0.15">
      <c r="A2" s="262" t="s">
        <v>267</v>
      </c>
      <c r="E2" s="265" t="s">
        <v>268</v>
      </c>
      <c r="F2" s="266"/>
      <c r="G2" s="266"/>
      <c r="H2" s="266"/>
      <c r="I2" s="267"/>
      <c r="L2" s="263"/>
    </row>
    <row r="3" spans="1:21" x14ac:dyDescent="0.15">
      <c r="A3" s="268" t="s">
        <v>269</v>
      </c>
      <c r="B3" s="268"/>
      <c r="C3" s="269" t="s">
        <v>270</v>
      </c>
      <c r="E3" s="269" t="s">
        <v>271</v>
      </c>
      <c r="F3" s="269" t="s">
        <v>272</v>
      </c>
      <c r="G3" s="270"/>
      <c r="H3" s="269" t="s">
        <v>273</v>
      </c>
      <c r="I3" s="269" t="s">
        <v>274</v>
      </c>
    </row>
    <row r="4" spans="1:21" x14ac:dyDescent="0.15">
      <c r="A4" s="271" t="s">
        <v>300</v>
      </c>
      <c r="B4" s="271"/>
      <c r="C4" s="272">
        <v>1</v>
      </c>
      <c r="E4" s="273">
        <v>45139</v>
      </c>
      <c r="F4" s="274">
        <v>0.375</v>
      </c>
      <c r="G4" s="275" t="s">
        <v>275</v>
      </c>
      <c r="H4" s="274">
        <v>0.58333333333333337</v>
      </c>
      <c r="I4" s="272">
        <v>200</v>
      </c>
    </row>
    <row r="6" spans="1:21" x14ac:dyDescent="0.15">
      <c r="A6" s="261" t="s">
        <v>276</v>
      </c>
    </row>
    <row r="7" spans="1:21" x14ac:dyDescent="0.15">
      <c r="B7" s="276" t="s">
        <v>277</v>
      </c>
      <c r="C7" s="276" t="s">
        <v>278</v>
      </c>
      <c r="D7" s="270" t="s">
        <v>279</v>
      </c>
      <c r="E7" s="270" t="s">
        <v>280</v>
      </c>
      <c r="F7" s="270" t="s">
        <v>281</v>
      </c>
      <c r="G7" s="270" t="s">
        <v>282</v>
      </c>
      <c r="H7" s="270" t="s">
        <v>332</v>
      </c>
      <c r="I7" s="270" t="s">
        <v>333</v>
      </c>
    </row>
    <row r="8" spans="1:21" ht="27" x14ac:dyDescent="0.15">
      <c r="A8" s="269" t="s">
        <v>283</v>
      </c>
      <c r="B8" s="277" t="s">
        <v>284</v>
      </c>
      <c r="C8" s="277" t="s">
        <v>285</v>
      </c>
      <c r="D8" s="277" t="s">
        <v>286</v>
      </c>
      <c r="E8" s="278" t="s">
        <v>287</v>
      </c>
      <c r="F8" s="277" t="s">
        <v>288</v>
      </c>
      <c r="G8" s="277" t="s">
        <v>289</v>
      </c>
      <c r="H8" s="277" t="s">
        <v>334</v>
      </c>
      <c r="I8" s="277" t="s">
        <v>335</v>
      </c>
      <c r="J8" s="279" t="s">
        <v>290</v>
      </c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</row>
    <row r="9" spans="1:21" x14ac:dyDescent="0.15">
      <c r="A9" s="269" t="s">
        <v>291</v>
      </c>
      <c r="B9" s="281" t="str">
        <f>IF(SUMIF($K15:$K23,$A9,L15:L23)=0,"",SUMIF($K15:$K23,$A9,L15:L23))</f>
        <v/>
      </c>
      <c r="C9" s="281" t="str">
        <f>IF(SUMIF($K15:$K23,$A9,M15:M23)=0,"",SUMIF($K15:$K23,$A9,M15:M23))</f>
        <v/>
      </c>
      <c r="D9" s="281">
        <f>IF(SUMIF($K15:$K23,$A9,N15:N23)=0,"",SUMIF($K15:$K23,$A9,N15:N23))</f>
        <v>1</v>
      </c>
      <c r="E9" s="281" t="str">
        <f>IF(SUMIF($K15:$K23,$A9,O15:O23)=0,"",SUMIF($K15:$K23,$A9,O15:O23))</f>
        <v/>
      </c>
      <c r="F9" s="281" t="str">
        <f>IF(SUMIF($K15:$K23,$A9,P15:P23)=0,"",SUMIF($K15:$K23,$A9,P15:P23))</f>
        <v/>
      </c>
      <c r="G9" s="281" t="str">
        <f>IF(SUMIF($K15:$K23,$A9,Q15:Q23)=0,"",SUMIF($K15:$K23,$A9,Q15:Q23))</f>
        <v/>
      </c>
      <c r="H9" s="281" t="str">
        <f>IF(SUMIF($K15:$K23,$A9,R15:R23)=0,"",SUMIF($K15:$K23,$A9,R15:R23))</f>
        <v/>
      </c>
      <c r="I9" s="281" t="str">
        <f>IF(SUMIF($K15:$K23,$A9,S15:S23)=0,"",SUMIF($K15:$K23,$A9,S15:S23))</f>
        <v/>
      </c>
      <c r="J9" s="282">
        <f>SUM(B9:I9)</f>
        <v>1</v>
      </c>
      <c r="K9" s="261"/>
      <c r="L9" s="261"/>
      <c r="M9" s="261"/>
      <c r="N9" s="261"/>
      <c r="O9" s="261"/>
      <c r="P9" s="261"/>
      <c r="Q9" s="261"/>
      <c r="R9" s="261"/>
      <c r="S9" s="261"/>
      <c r="T9" s="261"/>
      <c r="U9" s="261"/>
    </row>
    <row r="10" spans="1:21" x14ac:dyDescent="0.15">
      <c r="A10" s="269" t="s">
        <v>292</v>
      </c>
      <c r="B10" s="281">
        <f>IF(SUMIF($K15:$K23,$A10,L15:L23)=0,"",SUMIF($K15:$K23,$A10,L15:L23))</f>
        <v>1</v>
      </c>
      <c r="C10" s="281">
        <f>IF(SUMIF($K15:$K23,$A10,M15:M23)=0,"",SUMIF($K15:$K23,$A10,M15:M23))</f>
        <v>1</v>
      </c>
      <c r="D10" s="281" t="str">
        <f>IF(SUMIF($K15:$K23,$A10,N15:N23)=0,"",SUMIF($K15:$K23,$A10,N15:N23))</f>
        <v/>
      </c>
      <c r="E10" s="281">
        <f>IF(SUMIF($K15:$K23,$A10,O15:O23)=0,"",SUMIF($K15:$K23,$A10,O15:O23))</f>
        <v>1</v>
      </c>
      <c r="F10" s="281">
        <f>IF(SUMIF($K15:$K23,$A10,P15:P23)=0,"",SUMIF($K15:$K23,$A10,P15:P23))</f>
        <v>1</v>
      </c>
      <c r="G10" s="281">
        <f>IF(SUMIF($K15:$K23,$A10,Q15:Q23)=0,"",SUMIF($K15:$K23,$A10,Q15:Q23))</f>
        <v>1</v>
      </c>
      <c r="H10" s="281">
        <f>IF(SUMIF($K15:$K23,$A10,R15:R23)=0,"",SUMIF($K15:$K23,$A10,R15:R23))</f>
        <v>1</v>
      </c>
      <c r="I10" s="281">
        <f>IF(SUMIF($K15:$K23,$A10,S15:S23)=0,"",SUMIF($K15:$K23,$A10,S15:S23))</f>
        <v>1</v>
      </c>
      <c r="J10" s="282">
        <f>SUM(B10:I10)</f>
        <v>7</v>
      </c>
      <c r="K10" s="261"/>
      <c r="L10" s="261"/>
      <c r="M10" s="261"/>
      <c r="N10" s="261"/>
      <c r="O10" s="261"/>
      <c r="P10" s="261"/>
      <c r="Q10" s="261"/>
      <c r="R10" s="261"/>
      <c r="S10" s="261"/>
      <c r="T10" s="261"/>
      <c r="U10" s="261"/>
    </row>
    <row r="11" spans="1:21" x14ac:dyDescent="0.15">
      <c r="A11" s="283" t="s">
        <v>290</v>
      </c>
      <c r="B11" s="284">
        <f>SUM(B9:B10)</f>
        <v>1</v>
      </c>
      <c r="C11" s="284">
        <f t="shared" ref="C11:I11" si="0">SUM(C9:C10)</f>
        <v>1</v>
      </c>
      <c r="D11" s="284">
        <f t="shared" si="0"/>
        <v>1</v>
      </c>
      <c r="E11" s="284">
        <f t="shared" si="0"/>
        <v>1</v>
      </c>
      <c r="F11" s="284">
        <f t="shared" si="0"/>
        <v>1</v>
      </c>
      <c r="G11" s="284">
        <f t="shared" si="0"/>
        <v>1</v>
      </c>
      <c r="H11" s="284">
        <f t="shared" si="0"/>
        <v>1</v>
      </c>
      <c r="I11" s="284">
        <f t="shared" si="0"/>
        <v>1</v>
      </c>
      <c r="J11" s="284">
        <f>SUM(B11:I11)</f>
        <v>8</v>
      </c>
    </row>
    <row r="12" spans="1:21" x14ac:dyDescent="0.15">
      <c r="A12" s="261"/>
      <c r="B12" s="285"/>
      <c r="C12" s="285"/>
      <c r="D12" s="285"/>
      <c r="E12" s="285"/>
      <c r="F12" s="285"/>
      <c r="G12" s="285"/>
      <c r="H12" s="285"/>
      <c r="I12" s="285"/>
      <c r="J12" s="285"/>
      <c r="K12" s="285"/>
    </row>
    <row r="13" spans="1:21" x14ac:dyDescent="0.15">
      <c r="A13" s="286" t="s">
        <v>293</v>
      </c>
      <c r="B13" s="287"/>
      <c r="C13" s="287"/>
      <c r="D13" s="287"/>
      <c r="F13" s="287"/>
      <c r="L13" s="263" t="s">
        <v>294</v>
      </c>
      <c r="M13" s="263"/>
      <c r="N13" s="263"/>
      <c r="O13" s="263"/>
      <c r="P13" s="263"/>
      <c r="Q13" s="263"/>
      <c r="R13" s="263"/>
      <c r="S13" s="263"/>
    </row>
    <row r="14" spans="1:21" x14ac:dyDescent="0.15">
      <c r="A14" s="288" t="s">
        <v>295</v>
      </c>
      <c r="B14" s="288" t="s">
        <v>296</v>
      </c>
      <c r="C14" s="288" t="s">
        <v>297</v>
      </c>
      <c r="D14" s="288" t="s">
        <v>298</v>
      </c>
      <c r="E14" s="289" t="s">
        <v>299</v>
      </c>
      <c r="F14" s="290"/>
      <c r="G14" s="291"/>
      <c r="H14" s="291"/>
      <c r="I14" s="291"/>
      <c r="J14" s="292"/>
      <c r="K14" s="293" t="s">
        <v>283</v>
      </c>
      <c r="L14" s="294" t="s">
        <v>277</v>
      </c>
      <c r="M14" s="294" t="s">
        <v>278</v>
      </c>
      <c r="N14" s="294" t="s">
        <v>279</v>
      </c>
      <c r="O14" s="294" t="s">
        <v>280</v>
      </c>
      <c r="P14" s="294" t="s">
        <v>281</v>
      </c>
      <c r="Q14" s="294" t="s">
        <v>282</v>
      </c>
      <c r="R14" s="294" t="s">
        <v>332</v>
      </c>
      <c r="S14" s="294" t="s">
        <v>333</v>
      </c>
    </row>
    <row r="15" spans="1:21" ht="40.5" x14ac:dyDescent="0.15">
      <c r="A15" s="272" t="s">
        <v>38</v>
      </c>
      <c r="B15" s="297" t="s">
        <v>301</v>
      </c>
      <c r="C15" s="272" t="s">
        <v>302</v>
      </c>
      <c r="D15" s="272" t="s">
        <v>303</v>
      </c>
      <c r="E15" s="298" t="s">
        <v>304</v>
      </c>
      <c r="F15" s="271"/>
      <c r="G15" s="271"/>
      <c r="H15" s="271"/>
      <c r="I15" s="271"/>
      <c r="J15" s="271"/>
      <c r="K15" s="272" t="s">
        <v>305</v>
      </c>
      <c r="L15" s="295">
        <f t="shared" ref="L15:S23" si="1">IF($D15=L$14,1,0)</f>
        <v>1</v>
      </c>
      <c r="M15" s="295">
        <f t="shared" si="1"/>
        <v>0</v>
      </c>
      <c r="N15" s="295">
        <f t="shared" si="1"/>
        <v>0</v>
      </c>
      <c r="O15" s="295">
        <f t="shared" si="1"/>
        <v>0</v>
      </c>
      <c r="P15" s="295">
        <f t="shared" si="1"/>
        <v>0</v>
      </c>
      <c r="Q15" s="295">
        <f t="shared" si="1"/>
        <v>0</v>
      </c>
      <c r="R15" s="295">
        <f t="shared" si="1"/>
        <v>0</v>
      </c>
      <c r="S15" s="295">
        <f t="shared" si="1"/>
        <v>0</v>
      </c>
      <c r="T15" s="296" t="str">
        <f>IF(E15&lt;&gt;"",E15,"")</f>
        <v>レビュー指摘コメントの例。
自動で挿入される名前とコロンの直後に指摘分類をa～iで書く。
※レビュー日時を書く場合はコロンの直後に*を書く。</v>
      </c>
    </row>
    <row r="16" spans="1:21" ht="40.5" x14ac:dyDescent="0.15">
      <c r="A16" s="272" t="s">
        <v>38</v>
      </c>
      <c r="B16" s="297" t="s">
        <v>306</v>
      </c>
      <c r="C16" s="272" t="s">
        <v>302</v>
      </c>
      <c r="D16" s="272" t="s">
        <v>307</v>
      </c>
      <c r="E16" s="298" t="s">
        <v>308</v>
      </c>
      <c r="F16" s="271"/>
      <c r="G16" s="271"/>
      <c r="H16" s="271"/>
      <c r="I16" s="271"/>
      <c r="J16" s="271"/>
      <c r="K16" s="272" t="s">
        <v>305</v>
      </c>
      <c r="L16" s="295">
        <f t="shared" si="1"/>
        <v>0</v>
      </c>
      <c r="M16" s="295">
        <f t="shared" si="1"/>
        <v>1</v>
      </c>
      <c r="N16" s="295">
        <f t="shared" si="1"/>
        <v>0</v>
      </c>
      <c r="O16" s="295">
        <f t="shared" si="1"/>
        <v>0</v>
      </c>
      <c r="P16" s="295">
        <f t="shared" si="1"/>
        <v>0</v>
      </c>
      <c r="Q16" s="295">
        <f t="shared" si="1"/>
        <v>0</v>
      </c>
      <c r="R16" s="295">
        <f t="shared" si="1"/>
        <v>0</v>
      </c>
      <c r="S16" s="295">
        <f t="shared" si="1"/>
        <v>0</v>
      </c>
      <c r="T16" s="296" t="str">
        <f>IF(E16&lt;&gt;"",E16,"")</f>
        <v>対応内容の例。
---
対応内容はデリミタ（---）の後に記入する。</v>
      </c>
    </row>
    <row r="17" spans="1:20" ht="67.5" x14ac:dyDescent="0.15">
      <c r="A17" s="272" t="s">
        <v>38</v>
      </c>
      <c r="B17" s="297" t="s">
        <v>309</v>
      </c>
      <c r="C17" s="272" t="s">
        <v>302</v>
      </c>
      <c r="D17" s="272" t="s">
        <v>310</v>
      </c>
      <c r="E17" s="298" t="s">
        <v>311</v>
      </c>
      <c r="F17" s="271"/>
      <c r="G17" s="271"/>
      <c r="H17" s="271"/>
      <c r="I17" s="271"/>
      <c r="J17" s="271"/>
      <c r="K17" s="272" t="s">
        <v>312</v>
      </c>
      <c r="L17" s="295">
        <f t="shared" si="1"/>
        <v>0</v>
      </c>
      <c r="M17" s="295">
        <f t="shared" si="1"/>
        <v>0</v>
      </c>
      <c r="N17" s="295">
        <f t="shared" si="1"/>
        <v>1</v>
      </c>
      <c r="O17" s="295">
        <f t="shared" si="1"/>
        <v>0</v>
      </c>
      <c r="P17" s="295">
        <f t="shared" si="1"/>
        <v>0</v>
      </c>
      <c r="Q17" s="295">
        <f t="shared" si="1"/>
        <v>0</v>
      </c>
      <c r="R17" s="295">
        <f t="shared" si="1"/>
        <v>0</v>
      </c>
      <c r="S17" s="295">
        <f t="shared" si="1"/>
        <v>0</v>
      </c>
      <c r="T17" s="296" t="str">
        <f>IF(E17&lt;&gt;"",E17,"")</f>
        <v>対応内容を確認し、指摘をクローズする例。
---
最後の行に「済」と書くと指摘をクローズできる。
「済」の前にスペースを空けて確認日と確認者を書くこともできる。
08/02山田 済</v>
      </c>
    </row>
    <row r="18" spans="1:20" x14ac:dyDescent="0.15">
      <c r="A18" s="272" t="s">
        <v>38</v>
      </c>
      <c r="B18" s="297" t="s">
        <v>313</v>
      </c>
      <c r="C18" s="272" t="s">
        <v>302</v>
      </c>
      <c r="D18" s="272" t="s">
        <v>314</v>
      </c>
      <c r="E18" s="271" t="s">
        <v>315</v>
      </c>
      <c r="F18" s="271"/>
      <c r="G18" s="271"/>
      <c r="H18" s="271"/>
      <c r="I18" s="271"/>
      <c r="J18" s="271"/>
      <c r="K18" s="272" t="s">
        <v>305</v>
      </c>
      <c r="L18" s="295">
        <f t="shared" si="1"/>
        <v>0</v>
      </c>
      <c r="M18" s="295">
        <f t="shared" si="1"/>
        <v>0</v>
      </c>
      <c r="N18" s="295">
        <f t="shared" si="1"/>
        <v>0</v>
      </c>
      <c r="O18" s="295">
        <f t="shared" si="1"/>
        <v>1</v>
      </c>
      <c r="P18" s="295">
        <f t="shared" si="1"/>
        <v>0</v>
      </c>
      <c r="Q18" s="295">
        <f t="shared" si="1"/>
        <v>0</v>
      </c>
      <c r="R18" s="295">
        <f t="shared" si="1"/>
        <v>0</v>
      </c>
      <c r="S18" s="295">
        <f t="shared" si="1"/>
        <v>0</v>
      </c>
      <c r="T18" s="296" t="str">
        <f>IF(E18&lt;&gt;"",E18,"")</f>
        <v>機能・仕様誤りの指摘例（カテゴリd）。</v>
      </c>
    </row>
    <row r="19" spans="1:20" x14ac:dyDescent="0.15">
      <c r="A19" s="272" t="s">
        <v>38</v>
      </c>
      <c r="B19" s="297" t="s">
        <v>316</v>
      </c>
      <c r="C19" s="272" t="s">
        <v>302</v>
      </c>
      <c r="D19" s="272" t="s">
        <v>317</v>
      </c>
      <c r="E19" s="271" t="s">
        <v>318</v>
      </c>
      <c r="F19" s="271"/>
      <c r="G19" s="271"/>
      <c r="H19" s="271"/>
      <c r="I19" s="271"/>
      <c r="J19" s="271"/>
      <c r="K19" s="272" t="s">
        <v>305</v>
      </c>
      <c r="L19" s="295">
        <f t="shared" si="1"/>
        <v>0</v>
      </c>
      <c r="M19" s="295">
        <f t="shared" si="1"/>
        <v>0</v>
      </c>
      <c r="N19" s="295">
        <f t="shared" si="1"/>
        <v>0</v>
      </c>
      <c r="O19" s="295">
        <f t="shared" si="1"/>
        <v>0</v>
      </c>
      <c r="P19" s="295">
        <f t="shared" si="1"/>
        <v>1</v>
      </c>
      <c r="Q19" s="295">
        <f t="shared" si="1"/>
        <v>0</v>
      </c>
      <c r="R19" s="295">
        <f t="shared" si="1"/>
        <v>0</v>
      </c>
      <c r="S19" s="295">
        <f t="shared" si="1"/>
        <v>0</v>
      </c>
      <c r="T19" s="296" t="str">
        <f>IF(E19&lt;&gt;"",E19,"")</f>
        <v>設計・ドキュメント規約違反の指摘例（カテゴリe）。</v>
      </c>
    </row>
    <row r="20" spans="1:20" x14ac:dyDescent="0.15">
      <c r="A20" s="272" t="s">
        <v>38</v>
      </c>
      <c r="B20" s="297" t="s">
        <v>319</v>
      </c>
      <c r="C20" s="272" t="s">
        <v>302</v>
      </c>
      <c r="D20" s="272" t="s">
        <v>320</v>
      </c>
      <c r="E20" s="271" t="s">
        <v>321</v>
      </c>
      <c r="F20" s="271"/>
      <c r="G20" s="271"/>
      <c r="H20" s="271"/>
      <c r="I20" s="271"/>
      <c r="J20" s="271"/>
      <c r="K20" s="272" t="s">
        <v>305</v>
      </c>
      <c r="L20" s="295">
        <f t="shared" si="1"/>
        <v>0</v>
      </c>
      <c r="M20" s="295">
        <f t="shared" si="1"/>
        <v>0</v>
      </c>
      <c r="N20" s="295">
        <f t="shared" si="1"/>
        <v>0</v>
      </c>
      <c r="O20" s="295">
        <f t="shared" si="1"/>
        <v>0</v>
      </c>
      <c r="P20" s="295">
        <f t="shared" si="1"/>
        <v>0</v>
      </c>
      <c r="Q20" s="295">
        <f t="shared" si="1"/>
        <v>1</v>
      </c>
      <c r="R20" s="295">
        <f t="shared" si="1"/>
        <v>0</v>
      </c>
      <c r="S20" s="295">
        <f t="shared" si="1"/>
        <v>0</v>
      </c>
      <c r="T20" s="296" t="str">
        <f>IF(E20&lt;&gt;"",E20,"")</f>
        <v>記述誤りの指摘例（カテゴリf）。</v>
      </c>
    </row>
    <row r="21" spans="1:20" x14ac:dyDescent="0.15">
      <c r="A21" s="272" t="s">
        <v>38</v>
      </c>
      <c r="B21" s="297" t="s">
        <v>336</v>
      </c>
      <c r="C21" s="272" t="s">
        <v>302</v>
      </c>
      <c r="D21" s="272" t="s">
        <v>337</v>
      </c>
      <c r="E21" s="271" t="s">
        <v>338</v>
      </c>
      <c r="F21" s="271"/>
      <c r="G21" s="271"/>
      <c r="H21" s="271"/>
      <c r="I21" s="271"/>
      <c r="J21" s="271"/>
      <c r="K21" s="272" t="s">
        <v>305</v>
      </c>
      <c r="L21" s="295">
        <f t="shared" si="1"/>
        <v>0</v>
      </c>
      <c r="M21" s="295">
        <f t="shared" si="1"/>
        <v>0</v>
      </c>
      <c r="N21" s="295">
        <f t="shared" si="1"/>
        <v>0</v>
      </c>
      <c r="O21" s="295">
        <f t="shared" si="1"/>
        <v>0</v>
      </c>
      <c r="P21" s="295">
        <f t="shared" si="1"/>
        <v>0</v>
      </c>
      <c r="Q21" s="295">
        <f t="shared" si="1"/>
        <v>0</v>
      </c>
      <c r="R21" s="295">
        <f t="shared" si="1"/>
        <v>1</v>
      </c>
      <c r="S21" s="295">
        <f t="shared" si="1"/>
        <v>0</v>
      </c>
      <c r="T21" s="296" t="str">
        <f>IF(E21&lt;&gt;"",E21,"")</f>
        <v>疑問点・確認の指摘例（カテゴリg）。</v>
      </c>
    </row>
    <row r="22" spans="1:20" x14ac:dyDescent="0.15">
      <c r="A22" s="272" t="s">
        <v>38</v>
      </c>
      <c r="B22" s="297" t="s">
        <v>339</v>
      </c>
      <c r="C22" s="272" t="s">
        <v>302</v>
      </c>
      <c r="D22" s="272" t="s">
        <v>340</v>
      </c>
      <c r="E22" s="271" t="s">
        <v>341</v>
      </c>
      <c r="F22" s="271"/>
      <c r="G22" s="271"/>
      <c r="H22" s="271"/>
      <c r="I22" s="271"/>
      <c r="J22" s="271"/>
      <c r="K22" s="272" t="s">
        <v>305</v>
      </c>
      <c r="L22" s="295">
        <f t="shared" si="1"/>
        <v>0</v>
      </c>
      <c r="M22" s="295">
        <f t="shared" si="1"/>
        <v>0</v>
      </c>
      <c r="N22" s="295">
        <f t="shared" si="1"/>
        <v>0</v>
      </c>
      <c r="O22" s="295">
        <f t="shared" si="1"/>
        <v>0</v>
      </c>
      <c r="P22" s="295">
        <f t="shared" si="1"/>
        <v>0</v>
      </c>
      <c r="Q22" s="295">
        <f t="shared" si="1"/>
        <v>0</v>
      </c>
      <c r="R22" s="295">
        <f t="shared" si="1"/>
        <v>0</v>
      </c>
      <c r="S22" s="295">
        <f t="shared" si="1"/>
        <v>1</v>
      </c>
      <c r="T22" s="296" t="str">
        <f>IF(E22&lt;&gt;"",E22,"")</f>
        <v>改善要望の指摘例（カテゴリh）。</v>
      </c>
    </row>
    <row r="23" spans="1:20" x14ac:dyDescent="0.15">
      <c r="A23" s="272"/>
      <c r="B23" s="272"/>
      <c r="C23" s="272"/>
      <c r="D23" s="272"/>
      <c r="E23" s="271"/>
      <c r="F23" s="271"/>
      <c r="G23" s="271"/>
      <c r="H23" s="271"/>
      <c r="I23" s="271"/>
      <c r="J23" s="271"/>
      <c r="K23" s="272"/>
      <c r="L23" s="295">
        <f t="shared" si="1"/>
        <v>0</v>
      </c>
      <c r="M23" s="295">
        <f t="shared" si="1"/>
        <v>0</v>
      </c>
      <c r="N23" s="295">
        <f t="shared" si="1"/>
        <v>0</v>
      </c>
      <c r="O23" s="295">
        <f t="shared" si="1"/>
        <v>0</v>
      </c>
      <c r="P23" s="295">
        <f t="shared" si="1"/>
        <v>0</v>
      </c>
      <c r="Q23" s="295">
        <f t="shared" si="1"/>
        <v>0</v>
      </c>
      <c r="R23" s="295">
        <f t="shared" si="1"/>
        <v>0</v>
      </c>
      <c r="S23" s="295">
        <f t="shared" si="1"/>
        <v>0</v>
      </c>
      <c r="T23" s="296" t="str">
        <f>IF(E23&lt;&gt;"",E23,"")</f>
        <v/>
      </c>
    </row>
  </sheetData>
  <mergeCells count="11">
    <mergeCell ref="E22:J22"/>
    <mergeCell ref="E23:J23"/>
    <mergeCell ref="A3:B3"/>
    <mergeCell ref="A4:B4"/>
    <mergeCell ref="E15:J15"/>
    <mergeCell ref="E16:J16"/>
    <mergeCell ref="E17:J17"/>
    <mergeCell ref="E18:J18"/>
    <mergeCell ref="E19:J19"/>
    <mergeCell ref="E20:J20"/>
    <mergeCell ref="E21:J21"/>
  </mergeCells>
  <phoneticPr fontId="10"/>
  <conditionalFormatting sqref="A15:K23">
    <cfRule type="expression" dxfId="0" priority="1" stopIfTrue="1">
      <formula>$K15="済"</formula>
    </cfRule>
  </conditionalFormatting>
  <dataValidations count="1">
    <dataValidation type="list" allowBlank="1" showInputMessage="1" showErrorMessage="1" sqref="K15:K23" xr:uid="{D0CF7C5F-FE28-45D2-AEFF-97987FDBCFD6}">
      <formula1>"未,済"</formula1>
    </dataValidation>
  </dataValidations>
  <hyperlinks>
    <hyperlink ref="B15" location="'2. WA1020101(プロジェクト登録画面)'!$B$5" display="'2. WA1020101(プロジェクト登録画面)'!$B$5" xr:uid="{22717790-421B-4642-B9F6-DEB03C8B5049}"/>
    <hyperlink ref="B16" location="'2. WA1020101(プロジェクト登録画面)'!$E$60" display="'2. WA1020101(プロジェクト登録画面)'!$E$60" xr:uid="{CDE13FB3-6723-4095-B8DB-82D6A0144708}"/>
    <hyperlink ref="B17" location="'2. WA1020101(プロジェクト登録画面)'!$E$62" display="'2. WA1020101(プロジェクト登録画面)'!$E$62" xr:uid="{3E8EDC3A-0270-43E9-BADB-19E954423A73}"/>
    <hyperlink ref="B18" location="'2. WA1020101(プロジェクト登録画面)'!$E$63" display="'2. WA1020101(プロジェクト登録画面)'!$E$63" xr:uid="{BAB0440D-5FDA-4478-B40E-AE5328F2D74A}"/>
    <hyperlink ref="B19" location="'2. WA1020101(プロジェクト登録画面)'!$E$64" display="'2. WA1020101(プロジェクト登録画面)'!$E$64" xr:uid="{5C357E34-4D16-4249-968F-5715202E2451}"/>
    <hyperlink ref="B20" location="'2. WA1020101(プロジェクト登録画面)'!$E$65" display="'2. WA1020101(プロジェクト登録画面)'!$E$65" xr:uid="{3558E812-BDA5-4754-8895-5E58C1072216}"/>
    <hyperlink ref="B21" location="'2. WA1020101(プロジェクト登録画面)'!$E$66" display="'2. WA1020101(プロジェクト登録画面)'!$E$66" xr:uid="{B0A5978A-E3C0-435C-A298-AA215DB88120}"/>
    <hyperlink ref="B22" location="'2. WA1020101(プロジェクト登録画面)'!$E$67" display="'2. WA1020101(プロジェクト登録画面)'!$E$67" xr:uid="{8AF2A74F-F094-484F-9BB4-831A15B26B65}"/>
  </hyperlinks>
  <pageMargins left="0.75" right="0.75" top="1" bottom="1" header="0.51200000000000001" footer="0.51200000000000001"/>
  <pageSetup paperSize="9" scale="86" orientation="landscape" verticalDpi="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S513"/>
  <sheetViews>
    <sheetView showGridLines="0" view="pageBreakPreview" zoomScaleNormal="100" zoomScaleSheetLayoutView="100" workbookViewId="0"/>
  </sheetViews>
  <sheetFormatPr defaultColWidth="8.83203125" defaultRowHeight="13.5" x14ac:dyDescent="0.15"/>
  <cols>
    <col min="1" max="1" width="8.83203125" style="1" customWidth="1"/>
    <col min="2" max="16384" width="8.83203125" style="1"/>
  </cols>
  <sheetData>
    <row r="1" spans="1:3" ht="13.5" customHeight="1" x14ac:dyDescent="0.25">
      <c r="B1" s="2"/>
      <c r="C1" s="3"/>
    </row>
    <row r="2" spans="1:3" ht="19.5" customHeight="1" x14ac:dyDescent="0.2">
      <c r="A2" s="4"/>
    </row>
    <row r="3" spans="1:3" ht="13.5" customHeight="1" x14ac:dyDescent="0.15"/>
    <row r="4" spans="1:3" ht="13.5" customHeight="1" x14ac:dyDescent="0.15"/>
    <row r="5" spans="1:3" ht="13.5" customHeight="1" x14ac:dyDescent="0.15"/>
    <row r="6" spans="1:3" ht="13.5" customHeight="1" x14ac:dyDescent="0.15"/>
    <row r="7" spans="1:3" ht="13.5" customHeight="1" x14ac:dyDescent="0.15"/>
    <row r="8" spans="1:3" ht="13.5" customHeight="1" x14ac:dyDescent="0.15"/>
    <row r="9" spans="1:3" ht="13.5" customHeight="1" x14ac:dyDescent="0.15"/>
    <row r="10" spans="1:3" ht="13.5" customHeight="1" x14ac:dyDescent="0.15"/>
    <row r="11" spans="1:3" ht="13.5" customHeight="1" x14ac:dyDescent="0.15"/>
    <row r="12" spans="1:3" ht="13.5" customHeight="1" x14ac:dyDescent="0.15"/>
    <row r="13" spans="1:3" ht="13.5" customHeight="1" x14ac:dyDescent="0.15"/>
    <row r="14" spans="1:3" ht="13.5" customHeight="1" x14ac:dyDescent="0.15"/>
    <row r="15" spans="1:3" ht="13.5" customHeight="1" x14ac:dyDescent="0.15"/>
    <row r="16" spans="1:3" ht="13.5" customHeight="1" x14ac:dyDescent="0.15"/>
    <row r="17" spans="6:12" ht="13.5" customHeight="1" x14ac:dyDescent="0.15"/>
    <row r="18" spans="6:12" ht="13.5" customHeight="1" x14ac:dyDescent="0.15"/>
    <row r="19" spans="6:12" ht="13.5" customHeight="1" x14ac:dyDescent="0.15"/>
    <row r="20" spans="6:12" ht="13.5" customHeight="1" x14ac:dyDescent="0.15"/>
    <row r="21" spans="6:12" ht="13.5" customHeight="1" x14ac:dyDescent="0.15"/>
    <row r="22" spans="6:12" ht="13.5" customHeight="1" x14ac:dyDescent="0.2">
      <c r="F22" s="5"/>
      <c r="H22" s="5"/>
    </row>
    <row r="23" spans="6:12" ht="17.25" customHeight="1" x14ac:dyDescent="0.2">
      <c r="F23" s="5"/>
      <c r="G23" s="5"/>
      <c r="H23" s="5"/>
      <c r="I23" s="18"/>
      <c r="J23" s="14" t="s">
        <v>0</v>
      </c>
      <c r="K23" s="18"/>
      <c r="L23" s="18"/>
    </row>
    <row r="24" spans="6:12" ht="13.5" customHeight="1" x14ac:dyDescent="0.2">
      <c r="F24" s="5"/>
      <c r="G24" s="5"/>
      <c r="H24" s="5"/>
      <c r="I24" s="18"/>
      <c r="J24" s="18"/>
      <c r="K24" s="18"/>
      <c r="L24" s="18"/>
    </row>
    <row r="25" spans="6:12" ht="18" customHeight="1" x14ac:dyDescent="0.2">
      <c r="F25" s="5"/>
      <c r="G25" s="5"/>
      <c r="H25" s="5"/>
      <c r="I25" s="159">
        <f ca="1">IF(INDIRECT("変更履歴!D8")="","",MAX(INDIRECT("変更履歴!D8"):INDIRECT("変更履歴!F33")))</f>
        <v>44908</v>
      </c>
      <c r="J25" s="160"/>
      <c r="K25" s="160"/>
      <c r="L25" s="18"/>
    </row>
    <row r="26" spans="6:12" ht="13.5" customHeight="1" x14ac:dyDescent="0.2">
      <c r="F26" s="5"/>
      <c r="G26" s="5"/>
      <c r="H26" s="5"/>
      <c r="I26" s="18"/>
      <c r="J26" s="18"/>
      <c r="K26" s="18"/>
      <c r="L26" s="18"/>
    </row>
    <row r="27" spans="6:12" ht="13.5" customHeight="1" x14ac:dyDescent="0.2">
      <c r="F27" s="5"/>
      <c r="G27" s="5"/>
      <c r="H27" s="5"/>
      <c r="I27" s="18"/>
      <c r="J27" s="18"/>
      <c r="K27" s="18"/>
      <c r="L27" s="18"/>
    </row>
    <row r="28" spans="6:12" ht="13.5" customHeight="1" x14ac:dyDescent="0.2">
      <c r="F28" s="6"/>
      <c r="G28" s="5"/>
      <c r="H28" s="5"/>
      <c r="I28" s="18"/>
      <c r="J28" s="18"/>
      <c r="K28" s="18"/>
      <c r="L28" s="18"/>
    </row>
    <row r="29" spans="6:12" ht="15" customHeight="1" x14ac:dyDescent="0.2">
      <c r="F29" s="5"/>
      <c r="H29" s="5"/>
      <c r="I29" s="18"/>
      <c r="J29" s="18"/>
      <c r="K29" s="18"/>
      <c r="L29" s="18"/>
    </row>
    <row r="30" spans="6:12" ht="13.5" customHeight="1" x14ac:dyDescent="0.2">
      <c r="F30" s="5"/>
      <c r="G30" s="12"/>
      <c r="H30" s="5"/>
      <c r="I30" s="18"/>
      <c r="J30" s="18"/>
      <c r="K30" s="18"/>
      <c r="L30" s="18"/>
    </row>
    <row r="31" spans="6:12" ht="18.75" customHeight="1" x14ac:dyDescent="0.2">
      <c r="F31" s="5"/>
      <c r="G31" s="12"/>
      <c r="H31" s="5"/>
      <c r="I31" s="18"/>
      <c r="J31" s="18"/>
      <c r="K31" s="18"/>
      <c r="L31" s="18"/>
    </row>
    <row r="32" spans="6:12" ht="18.75" customHeight="1" x14ac:dyDescent="0.2">
      <c r="F32" s="5"/>
      <c r="G32" s="12"/>
      <c r="H32" s="5"/>
      <c r="I32" s="18"/>
      <c r="J32" s="19"/>
      <c r="K32" s="18"/>
      <c r="L32" s="18"/>
    </row>
    <row r="33" spans="6:19" ht="18.75" customHeight="1" x14ac:dyDescent="0.2">
      <c r="F33" s="5"/>
      <c r="H33" s="5"/>
      <c r="I33" s="18"/>
      <c r="J33" s="20"/>
      <c r="K33" s="18"/>
      <c r="L33" s="21"/>
      <c r="M33" s="8"/>
      <c r="N33" s="7"/>
      <c r="O33" s="7"/>
      <c r="P33" s="7"/>
    </row>
    <row r="34" spans="6:19" ht="18.75" customHeight="1" x14ac:dyDescent="0.2">
      <c r="F34" s="5"/>
      <c r="H34" s="5"/>
      <c r="I34" s="18"/>
      <c r="J34" s="19"/>
      <c r="K34" s="18"/>
      <c r="L34" s="21"/>
      <c r="M34" s="7"/>
      <c r="N34" s="7"/>
      <c r="O34" s="7"/>
      <c r="P34" s="7"/>
      <c r="Q34" s="59"/>
      <c r="R34" s="60"/>
      <c r="S34" s="60"/>
    </row>
    <row r="35" spans="6:19" ht="13.5" customHeight="1" x14ac:dyDescent="0.15">
      <c r="O35" s="7"/>
      <c r="P35" s="7"/>
      <c r="Q35" s="60"/>
      <c r="R35" s="60"/>
      <c r="S35" s="60"/>
    </row>
    <row r="36" spans="6:19" ht="13.5" customHeight="1" x14ac:dyDescent="0.15">
      <c r="O36" s="61"/>
      <c r="P36" s="60"/>
      <c r="Q36" s="61"/>
      <c r="R36" s="60"/>
      <c r="S36" s="58"/>
    </row>
    <row r="37" spans="6:19" ht="13.5" customHeight="1" x14ac:dyDescent="0.15">
      <c r="P37" s="62"/>
      <c r="R37" s="62"/>
    </row>
    <row r="38" spans="6:19" ht="13.5" customHeight="1" x14ac:dyDescent="0.15">
      <c r="O38" s="62"/>
      <c r="P38" s="62"/>
      <c r="Q38" s="62"/>
      <c r="R38" s="62"/>
      <c r="S38" s="62"/>
    </row>
    <row r="39" spans="6:19" ht="13.5" customHeight="1" x14ac:dyDescent="0.15">
      <c r="O39" s="62"/>
      <c r="P39" s="62"/>
      <c r="Q39" s="62"/>
      <c r="R39" s="62"/>
      <c r="S39" s="62"/>
    </row>
    <row r="40" spans="6:19" ht="13.5" customHeight="1" x14ac:dyDescent="0.15"/>
    <row r="41" spans="6:19" ht="13.5" customHeight="1" x14ac:dyDescent="0.15"/>
    <row r="42" spans="6:19" ht="13.5" customHeight="1" x14ac:dyDescent="0.15"/>
    <row r="43" spans="6:19" ht="13.5" customHeight="1" x14ac:dyDescent="0.15"/>
    <row r="44" spans="6:19" ht="13.5" customHeight="1" x14ac:dyDescent="0.15"/>
    <row r="45" spans="6:19" ht="13.5" customHeight="1" x14ac:dyDescent="0.15"/>
    <row r="46" spans="6:19" ht="13.5" customHeight="1" x14ac:dyDescent="0.15"/>
    <row r="47" spans="6:19" ht="13.5" customHeight="1" x14ac:dyDescent="0.15"/>
    <row r="48" spans="6:19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1">
    <mergeCell ref="I25:K25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N34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sheetData>
    <row r="1" spans="1:40" s="11" customFormat="1" x14ac:dyDescent="0.15">
      <c r="A1" s="179" t="s">
        <v>1</v>
      </c>
      <c r="B1" s="162"/>
      <c r="C1" s="162"/>
      <c r="D1" s="163"/>
      <c r="E1" s="188" t="s">
        <v>2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66" t="s">
        <v>4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>IF(AF8="","",AF8)</f>
        <v>TIS</v>
      </c>
      <c r="AD1" s="162"/>
      <c r="AE1" s="162"/>
      <c r="AF1" s="163"/>
      <c r="AG1" s="184">
        <f>IF(D8="","",D8)</f>
        <v>43598</v>
      </c>
      <c r="AH1" s="162"/>
      <c r="AI1" s="163"/>
      <c r="AJ1" s="9"/>
      <c r="AK1" s="9"/>
      <c r="AL1" s="9"/>
      <c r="AM1" s="9"/>
      <c r="AN1" s="10"/>
    </row>
    <row r="2" spans="1:40" s="11" customFormat="1" x14ac:dyDescent="0.15">
      <c r="A2" s="179" t="s">
        <v>6</v>
      </c>
      <c r="B2" s="162"/>
      <c r="C2" s="162"/>
      <c r="D2" s="163"/>
      <c r="E2" s="188" t="s">
        <v>7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5" t="str">
        <f ca="1">IF(COUNTA(AF9:AF33)&lt;&gt;0,INDIRECT("AF"&amp;(COUNTA(AF9:AF33)+8)),"")</f>
        <v>TIS</v>
      </c>
      <c r="AD2" s="162"/>
      <c r="AE2" s="162"/>
      <c r="AF2" s="163"/>
      <c r="AG2" s="184">
        <f>IF(D9="","",MAX(D9:F33))</f>
        <v>44908</v>
      </c>
      <c r="AH2" s="162"/>
      <c r="AI2" s="163"/>
      <c r="AJ2" s="9"/>
      <c r="AK2" s="9"/>
      <c r="AL2" s="9"/>
      <c r="AM2" s="9"/>
      <c r="AN2" s="9"/>
    </row>
    <row r="3" spans="1:40" s="11" customFormat="1" x14ac:dyDescent="0.15">
      <c r="A3" s="179" t="s">
        <v>9</v>
      </c>
      <c r="B3" s="162"/>
      <c r="C3" s="162"/>
      <c r="D3" s="163"/>
      <c r="E3" s="188" t="s">
        <v>10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93"/>
      <c r="AB3" s="163"/>
      <c r="AC3" s="190"/>
      <c r="AD3" s="162"/>
      <c r="AE3" s="162"/>
      <c r="AF3" s="163"/>
      <c r="AG3" s="184"/>
      <c r="AH3" s="162"/>
      <c r="AI3" s="163"/>
      <c r="AJ3" s="9"/>
      <c r="AK3" s="9"/>
      <c r="AL3" s="9"/>
      <c r="AM3" s="9"/>
      <c r="AN3" s="9"/>
    </row>
    <row r="4" spans="1:40" s="15" customFormat="1" x14ac:dyDescent="0.15">
      <c r="A4" t="s">
        <v>11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1:40" s="17" customFormat="1" ht="22.5" customHeight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3" t="s">
        <v>12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22"/>
      <c r="AB5" s="22"/>
      <c r="AC5" s="23"/>
      <c r="AD5" s="24"/>
      <c r="AE5" s="24"/>
      <c r="AF5" s="24"/>
      <c r="AG5" s="22"/>
      <c r="AH5" s="22"/>
      <c r="AI5" s="22"/>
      <c r="AJ5" s="11"/>
      <c r="AK5" s="11"/>
      <c r="AL5" s="11"/>
      <c r="AM5" s="11"/>
      <c r="AN5" s="11"/>
    </row>
    <row r="6" spans="1:40" s="17" customFormat="1" ht="15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3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2"/>
      <c r="AB6" s="22"/>
      <c r="AC6" s="23"/>
      <c r="AD6" s="24"/>
      <c r="AE6" s="24"/>
      <c r="AF6" s="24"/>
      <c r="AG6" s="22"/>
      <c r="AH6" s="22"/>
      <c r="AI6" s="22"/>
      <c r="AJ6" s="11"/>
      <c r="AK6" s="11"/>
      <c r="AL6" s="11"/>
      <c r="AM6" s="11"/>
      <c r="AN6" s="11"/>
    </row>
    <row r="7" spans="1:40" s="39" customFormat="1" ht="15" customHeight="1" thickBot="1" x14ac:dyDescent="0.2">
      <c r="A7" s="38" t="s">
        <v>13</v>
      </c>
      <c r="B7" s="176" t="s">
        <v>14</v>
      </c>
      <c r="C7" s="178"/>
      <c r="D7" s="176" t="s">
        <v>15</v>
      </c>
      <c r="E7" s="177"/>
      <c r="F7" s="178"/>
      <c r="G7" s="176" t="s">
        <v>16</v>
      </c>
      <c r="H7" s="177"/>
      <c r="I7" s="178"/>
      <c r="J7" s="176" t="s">
        <v>17</v>
      </c>
      <c r="K7" s="177"/>
      <c r="L7" s="177"/>
      <c r="M7" s="177"/>
      <c r="N7" s="177"/>
      <c r="O7" s="177"/>
      <c r="P7" s="178"/>
      <c r="Q7" s="176" t="s">
        <v>18</v>
      </c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8"/>
      <c r="AF7" s="176" t="s">
        <v>19</v>
      </c>
      <c r="AG7" s="177"/>
      <c r="AH7" s="177"/>
      <c r="AI7" s="178"/>
    </row>
    <row r="8" spans="1:40" s="39" customFormat="1" ht="15" customHeight="1" thickTop="1" x14ac:dyDescent="0.15">
      <c r="A8" s="40">
        <v>1</v>
      </c>
      <c r="B8" s="186" t="s">
        <v>20</v>
      </c>
      <c r="C8" s="183"/>
      <c r="D8" s="189">
        <v>43598</v>
      </c>
      <c r="E8" s="182"/>
      <c r="F8" s="183"/>
      <c r="G8" s="186" t="s">
        <v>21</v>
      </c>
      <c r="H8" s="182"/>
      <c r="I8" s="183"/>
      <c r="J8" s="192" t="s">
        <v>22</v>
      </c>
      <c r="K8" s="182"/>
      <c r="L8" s="182"/>
      <c r="M8" s="182"/>
      <c r="N8" s="182"/>
      <c r="O8" s="182"/>
      <c r="P8" s="183"/>
      <c r="Q8" s="181" t="s">
        <v>23</v>
      </c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3"/>
      <c r="AF8" s="191" t="s">
        <v>24</v>
      </c>
      <c r="AG8" s="182"/>
      <c r="AH8" s="182"/>
      <c r="AI8" s="183"/>
    </row>
    <row r="9" spans="1:40" s="39" customFormat="1" ht="15" customHeight="1" x14ac:dyDescent="0.15">
      <c r="A9" s="41">
        <v>2</v>
      </c>
      <c r="B9" s="165" t="s">
        <v>25</v>
      </c>
      <c r="C9" s="163"/>
      <c r="D9" s="161">
        <v>44701</v>
      </c>
      <c r="E9" s="162"/>
      <c r="F9" s="163"/>
      <c r="G9" s="165" t="s">
        <v>8</v>
      </c>
      <c r="H9" s="162"/>
      <c r="I9" s="163"/>
      <c r="J9" s="164" t="s">
        <v>26</v>
      </c>
      <c r="K9" s="162"/>
      <c r="L9" s="162"/>
      <c r="M9" s="162"/>
      <c r="N9" s="162"/>
      <c r="O9" s="162"/>
      <c r="P9" s="163"/>
      <c r="Q9" s="175" t="s">
        <v>27</v>
      </c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3"/>
      <c r="AF9" s="164" t="s">
        <v>24</v>
      </c>
      <c r="AG9" s="162"/>
      <c r="AH9" s="162"/>
      <c r="AI9" s="163"/>
    </row>
    <row r="10" spans="1:40" s="39" customFormat="1" ht="15" customHeight="1" x14ac:dyDescent="0.15">
      <c r="A10" s="41"/>
      <c r="B10" s="165"/>
      <c r="C10" s="163"/>
      <c r="D10" s="161"/>
      <c r="E10" s="162"/>
      <c r="F10" s="163"/>
      <c r="G10" s="165"/>
      <c r="H10" s="162"/>
      <c r="I10" s="163"/>
      <c r="J10" s="164" t="s">
        <v>28</v>
      </c>
      <c r="K10" s="162"/>
      <c r="L10" s="162"/>
      <c r="M10" s="162"/>
      <c r="N10" s="162"/>
      <c r="O10" s="162"/>
      <c r="P10" s="163"/>
      <c r="Q10" s="175" t="s">
        <v>29</v>
      </c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3"/>
      <c r="AF10" s="164" t="s">
        <v>24</v>
      </c>
      <c r="AG10" s="162"/>
      <c r="AH10" s="162"/>
      <c r="AI10" s="163"/>
    </row>
    <row r="11" spans="1:40" s="39" customFormat="1" ht="15" customHeight="1" x14ac:dyDescent="0.15">
      <c r="A11" s="41">
        <v>3</v>
      </c>
      <c r="B11" s="165" t="s">
        <v>30</v>
      </c>
      <c r="C11" s="163"/>
      <c r="D11" s="161">
        <v>44907</v>
      </c>
      <c r="E11" s="162"/>
      <c r="F11" s="163"/>
      <c r="G11" s="165" t="s">
        <v>8</v>
      </c>
      <c r="H11" s="162"/>
      <c r="I11" s="163"/>
      <c r="J11" s="164" t="s">
        <v>31</v>
      </c>
      <c r="K11" s="162"/>
      <c r="L11" s="162"/>
      <c r="M11" s="162"/>
      <c r="N11" s="162"/>
      <c r="O11" s="162"/>
      <c r="P11" s="163"/>
      <c r="Q11" s="175" t="s">
        <v>32</v>
      </c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3"/>
      <c r="AF11" s="164" t="s">
        <v>24</v>
      </c>
      <c r="AG11" s="162"/>
      <c r="AH11" s="162"/>
      <c r="AI11" s="163"/>
    </row>
    <row r="12" spans="1:40" s="39" customFormat="1" ht="15" customHeight="1" x14ac:dyDescent="0.15">
      <c r="A12" s="41">
        <v>4</v>
      </c>
      <c r="B12" s="165" t="s">
        <v>30</v>
      </c>
      <c r="C12" s="163"/>
      <c r="D12" s="161">
        <v>44908</v>
      </c>
      <c r="E12" s="162"/>
      <c r="F12" s="163"/>
      <c r="G12" s="165" t="s">
        <v>8</v>
      </c>
      <c r="H12" s="162"/>
      <c r="I12" s="163"/>
      <c r="J12" s="164" t="s">
        <v>33</v>
      </c>
      <c r="K12" s="162"/>
      <c r="L12" s="162"/>
      <c r="M12" s="162"/>
      <c r="N12" s="162"/>
      <c r="O12" s="162"/>
      <c r="P12" s="163"/>
      <c r="Q12" s="175" t="s">
        <v>34</v>
      </c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3"/>
      <c r="AF12" s="164" t="s">
        <v>24</v>
      </c>
      <c r="AG12" s="162"/>
      <c r="AH12" s="162"/>
      <c r="AI12" s="163"/>
    </row>
    <row r="13" spans="1:40" s="39" customFormat="1" ht="15" customHeight="1" x14ac:dyDescent="0.15">
      <c r="A13" s="41"/>
      <c r="B13" s="165"/>
      <c r="C13" s="163"/>
      <c r="D13" s="161"/>
      <c r="E13" s="162"/>
      <c r="F13" s="163"/>
      <c r="G13" s="165"/>
      <c r="H13" s="162"/>
      <c r="I13" s="163"/>
      <c r="J13" s="164"/>
      <c r="K13" s="162"/>
      <c r="L13" s="162"/>
      <c r="M13" s="162"/>
      <c r="N13" s="162"/>
      <c r="O13" s="162"/>
      <c r="P13" s="163"/>
      <c r="Q13" s="175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3"/>
      <c r="AF13" s="164"/>
      <c r="AG13" s="162"/>
      <c r="AH13" s="162"/>
      <c r="AI13" s="163"/>
    </row>
    <row r="14" spans="1:40" s="39" customFormat="1" ht="15" customHeight="1" x14ac:dyDescent="0.15">
      <c r="A14" s="41"/>
      <c r="B14" s="165"/>
      <c r="C14" s="163"/>
      <c r="D14" s="161"/>
      <c r="E14" s="162"/>
      <c r="F14" s="163"/>
      <c r="G14" s="165"/>
      <c r="H14" s="162"/>
      <c r="I14" s="163"/>
      <c r="J14" s="164"/>
      <c r="K14" s="162"/>
      <c r="L14" s="162"/>
      <c r="M14" s="162"/>
      <c r="N14" s="162"/>
      <c r="O14" s="162"/>
      <c r="P14" s="163"/>
      <c r="Q14" s="175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3"/>
      <c r="AF14" s="164"/>
      <c r="AG14" s="162"/>
      <c r="AH14" s="162"/>
      <c r="AI14" s="163"/>
    </row>
    <row r="15" spans="1:40" s="39" customFormat="1" ht="15" customHeight="1" x14ac:dyDescent="0.15">
      <c r="A15" s="41"/>
      <c r="B15" s="165"/>
      <c r="C15" s="163"/>
      <c r="D15" s="161"/>
      <c r="E15" s="162"/>
      <c r="F15" s="163"/>
      <c r="G15" s="165"/>
      <c r="H15" s="162"/>
      <c r="I15" s="163"/>
      <c r="J15" s="164"/>
      <c r="K15" s="162"/>
      <c r="L15" s="162"/>
      <c r="M15" s="162"/>
      <c r="N15" s="162"/>
      <c r="O15" s="162"/>
      <c r="P15" s="163"/>
      <c r="Q15" s="175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3"/>
      <c r="AF15" s="164"/>
      <c r="AG15" s="162"/>
      <c r="AH15" s="162"/>
      <c r="AI15" s="163"/>
    </row>
    <row r="16" spans="1:40" s="39" customFormat="1" ht="15" customHeight="1" x14ac:dyDescent="0.15">
      <c r="A16" s="41"/>
      <c r="B16" s="165"/>
      <c r="C16" s="163"/>
      <c r="D16" s="161"/>
      <c r="E16" s="162"/>
      <c r="F16" s="163"/>
      <c r="G16" s="165"/>
      <c r="H16" s="162"/>
      <c r="I16" s="163"/>
      <c r="J16" s="164"/>
      <c r="K16" s="162"/>
      <c r="L16" s="162"/>
      <c r="M16" s="162"/>
      <c r="N16" s="162"/>
      <c r="O16" s="162"/>
      <c r="P16" s="163"/>
      <c r="Q16" s="175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3"/>
      <c r="AF16" s="164"/>
      <c r="AG16" s="162"/>
      <c r="AH16" s="162"/>
      <c r="AI16" s="163"/>
    </row>
    <row r="17" spans="1:35" s="39" customFormat="1" ht="15" customHeight="1" x14ac:dyDescent="0.15">
      <c r="A17" s="41"/>
      <c r="B17" s="165"/>
      <c r="C17" s="163"/>
      <c r="D17" s="161"/>
      <c r="E17" s="162"/>
      <c r="F17" s="163"/>
      <c r="G17" s="165"/>
      <c r="H17" s="162"/>
      <c r="I17" s="163"/>
      <c r="J17" s="164"/>
      <c r="K17" s="162"/>
      <c r="L17" s="162"/>
      <c r="M17" s="162"/>
      <c r="N17" s="162"/>
      <c r="O17" s="162"/>
      <c r="P17" s="163"/>
      <c r="Q17" s="175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3"/>
      <c r="AF17" s="164"/>
      <c r="AG17" s="162"/>
      <c r="AH17" s="162"/>
      <c r="AI17" s="163"/>
    </row>
    <row r="18" spans="1:35" s="39" customFormat="1" ht="15" customHeight="1" x14ac:dyDescent="0.15">
      <c r="A18" s="41"/>
      <c r="B18" s="165"/>
      <c r="C18" s="163"/>
      <c r="D18" s="161"/>
      <c r="E18" s="162"/>
      <c r="F18" s="163"/>
      <c r="G18" s="165"/>
      <c r="H18" s="162"/>
      <c r="I18" s="163"/>
      <c r="J18" s="164"/>
      <c r="K18" s="162"/>
      <c r="L18" s="162"/>
      <c r="M18" s="162"/>
      <c r="N18" s="162"/>
      <c r="O18" s="162"/>
      <c r="P18" s="163"/>
      <c r="Q18" s="175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3"/>
      <c r="AF18" s="164"/>
      <c r="AG18" s="162"/>
      <c r="AH18" s="162"/>
      <c r="AI18" s="163"/>
    </row>
    <row r="19" spans="1:35" s="39" customFormat="1" ht="15" customHeight="1" x14ac:dyDescent="0.15">
      <c r="A19" s="41"/>
      <c r="B19" s="165"/>
      <c r="C19" s="163"/>
      <c r="D19" s="161"/>
      <c r="E19" s="162"/>
      <c r="F19" s="163"/>
      <c r="G19" s="165"/>
      <c r="H19" s="162"/>
      <c r="I19" s="163"/>
      <c r="J19" s="164"/>
      <c r="K19" s="162"/>
      <c r="L19" s="162"/>
      <c r="M19" s="162"/>
      <c r="N19" s="162"/>
      <c r="O19" s="162"/>
      <c r="P19" s="163"/>
      <c r="Q19" s="175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3"/>
      <c r="AF19" s="164"/>
      <c r="AG19" s="162"/>
      <c r="AH19" s="162"/>
      <c r="AI19" s="163"/>
    </row>
    <row r="20" spans="1:35" s="39" customFormat="1" ht="15" customHeight="1" x14ac:dyDescent="0.15">
      <c r="A20" s="41"/>
      <c r="B20" s="165"/>
      <c r="C20" s="163"/>
      <c r="D20" s="161"/>
      <c r="E20" s="162"/>
      <c r="F20" s="163"/>
      <c r="G20" s="165"/>
      <c r="H20" s="162"/>
      <c r="I20" s="163"/>
      <c r="J20" s="164"/>
      <c r="K20" s="162"/>
      <c r="L20" s="162"/>
      <c r="M20" s="162"/>
      <c r="N20" s="162"/>
      <c r="O20" s="162"/>
      <c r="P20" s="163"/>
      <c r="Q20" s="175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3"/>
      <c r="AF20" s="164"/>
      <c r="AG20" s="162"/>
      <c r="AH20" s="162"/>
      <c r="AI20" s="163"/>
    </row>
    <row r="21" spans="1:35" s="39" customFormat="1" ht="15" customHeight="1" x14ac:dyDescent="0.15">
      <c r="A21" s="41"/>
      <c r="B21" s="165"/>
      <c r="C21" s="163"/>
      <c r="D21" s="161"/>
      <c r="E21" s="162"/>
      <c r="F21" s="163"/>
      <c r="G21" s="165"/>
      <c r="H21" s="162"/>
      <c r="I21" s="163"/>
      <c r="J21" s="164"/>
      <c r="K21" s="162"/>
      <c r="L21" s="162"/>
      <c r="M21" s="162"/>
      <c r="N21" s="162"/>
      <c r="O21" s="162"/>
      <c r="P21" s="163"/>
      <c r="Q21" s="175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3"/>
      <c r="AF21" s="164"/>
      <c r="AG21" s="162"/>
      <c r="AH21" s="162"/>
      <c r="AI21" s="163"/>
    </row>
    <row r="22" spans="1:35" s="39" customFormat="1" ht="15" customHeight="1" x14ac:dyDescent="0.15">
      <c r="A22" s="41"/>
      <c r="B22" s="165"/>
      <c r="C22" s="163"/>
      <c r="D22" s="161"/>
      <c r="E22" s="162"/>
      <c r="F22" s="163"/>
      <c r="G22" s="165"/>
      <c r="H22" s="162"/>
      <c r="I22" s="163"/>
      <c r="J22" s="164"/>
      <c r="K22" s="162"/>
      <c r="L22" s="162"/>
      <c r="M22" s="162"/>
      <c r="N22" s="162"/>
      <c r="O22" s="162"/>
      <c r="P22" s="163"/>
      <c r="Q22" s="175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3"/>
      <c r="AF22" s="164"/>
      <c r="AG22" s="162"/>
      <c r="AH22" s="162"/>
      <c r="AI22" s="163"/>
    </row>
    <row r="23" spans="1:35" s="39" customFormat="1" ht="15" customHeight="1" x14ac:dyDescent="0.15">
      <c r="A23" s="41"/>
      <c r="B23" s="165"/>
      <c r="C23" s="163"/>
      <c r="D23" s="161"/>
      <c r="E23" s="162"/>
      <c r="F23" s="163"/>
      <c r="G23" s="165"/>
      <c r="H23" s="162"/>
      <c r="I23" s="163"/>
      <c r="J23" s="164"/>
      <c r="K23" s="162"/>
      <c r="L23" s="162"/>
      <c r="M23" s="162"/>
      <c r="N23" s="162"/>
      <c r="O23" s="162"/>
      <c r="P23" s="163"/>
      <c r="Q23" s="175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3"/>
      <c r="AF23" s="164"/>
      <c r="AG23" s="162"/>
      <c r="AH23" s="162"/>
      <c r="AI23" s="163"/>
    </row>
    <row r="24" spans="1:35" s="39" customFormat="1" ht="15" customHeight="1" x14ac:dyDescent="0.15">
      <c r="A24" s="41"/>
      <c r="B24" s="165"/>
      <c r="C24" s="163"/>
      <c r="D24" s="161"/>
      <c r="E24" s="162"/>
      <c r="F24" s="163"/>
      <c r="G24" s="165"/>
      <c r="H24" s="162"/>
      <c r="I24" s="163"/>
      <c r="J24" s="164"/>
      <c r="K24" s="162"/>
      <c r="L24" s="162"/>
      <c r="M24" s="162"/>
      <c r="N24" s="162"/>
      <c r="O24" s="162"/>
      <c r="P24" s="163"/>
      <c r="Q24" s="175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3"/>
      <c r="AF24" s="164"/>
      <c r="AG24" s="162"/>
      <c r="AH24" s="162"/>
      <c r="AI24" s="163"/>
    </row>
    <row r="25" spans="1:35" s="39" customFormat="1" ht="15" customHeight="1" x14ac:dyDescent="0.15">
      <c r="A25" s="41"/>
      <c r="B25" s="165"/>
      <c r="C25" s="163"/>
      <c r="D25" s="161"/>
      <c r="E25" s="162"/>
      <c r="F25" s="163"/>
      <c r="G25" s="165"/>
      <c r="H25" s="162"/>
      <c r="I25" s="163"/>
      <c r="J25" s="164"/>
      <c r="K25" s="162"/>
      <c r="L25" s="162"/>
      <c r="M25" s="162"/>
      <c r="N25" s="162"/>
      <c r="O25" s="162"/>
      <c r="P25" s="163"/>
      <c r="Q25" s="175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3"/>
      <c r="AF25" s="164"/>
      <c r="AG25" s="162"/>
      <c r="AH25" s="162"/>
      <c r="AI25" s="163"/>
    </row>
    <row r="26" spans="1:35" s="39" customFormat="1" ht="15" customHeight="1" x14ac:dyDescent="0.15">
      <c r="A26" s="41"/>
      <c r="B26" s="165"/>
      <c r="C26" s="163"/>
      <c r="D26" s="161"/>
      <c r="E26" s="162"/>
      <c r="F26" s="163"/>
      <c r="G26" s="165"/>
      <c r="H26" s="162"/>
      <c r="I26" s="163"/>
      <c r="J26" s="164"/>
      <c r="K26" s="162"/>
      <c r="L26" s="162"/>
      <c r="M26" s="162"/>
      <c r="N26" s="162"/>
      <c r="O26" s="162"/>
      <c r="P26" s="163"/>
      <c r="Q26" s="175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3"/>
      <c r="AF26" s="164"/>
      <c r="AG26" s="162"/>
      <c r="AH26" s="162"/>
      <c r="AI26" s="163"/>
    </row>
    <row r="27" spans="1:35" s="39" customFormat="1" ht="15" customHeight="1" x14ac:dyDescent="0.15">
      <c r="A27" s="41"/>
      <c r="B27" s="165"/>
      <c r="C27" s="163"/>
      <c r="D27" s="161"/>
      <c r="E27" s="162"/>
      <c r="F27" s="163"/>
      <c r="G27" s="165"/>
      <c r="H27" s="162"/>
      <c r="I27" s="163"/>
      <c r="J27" s="164"/>
      <c r="K27" s="162"/>
      <c r="L27" s="162"/>
      <c r="M27" s="162"/>
      <c r="N27" s="162"/>
      <c r="O27" s="162"/>
      <c r="P27" s="163"/>
      <c r="Q27" s="175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3"/>
      <c r="AF27" s="164"/>
      <c r="AG27" s="162"/>
      <c r="AH27" s="162"/>
      <c r="AI27" s="163"/>
    </row>
    <row r="28" spans="1:35" s="39" customFormat="1" ht="15" customHeight="1" x14ac:dyDescent="0.15">
      <c r="A28" s="41"/>
      <c r="B28" s="165"/>
      <c r="C28" s="163"/>
      <c r="D28" s="161"/>
      <c r="E28" s="162"/>
      <c r="F28" s="163"/>
      <c r="G28" s="165"/>
      <c r="H28" s="162"/>
      <c r="I28" s="163"/>
      <c r="J28" s="164"/>
      <c r="K28" s="162"/>
      <c r="L28" s="162"/>
      <c r="M28" s="162"/>
      <c r="N28" s="162"/>
      <c r="O28" s="162"/>
      <c r="P28" s="163"/>
      <c r="Q28" s="175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3"/>
      <c r="AF28" s="164"/>
      <c r="AG28" s="162"/>
      <c r="AH28" s="162"/>
      <c r="AI28" s="163"/>
    </row>
    <row r="29" spans="1:35" s="39" customFormat="1" ht="15" customHeight="1" x14ac:dyDescent="0.15">
      <c r="A29" s="41"/>
      <c r="B29" s="165"/>
      <c r="C29" s="163"/>
      <c r="D29" s="161"/>
      <c r="E29" s="162"/>
      <c r="F29" s="163"/>
      <c r="G29" s="165"/>
      <c r="H29" s="162"/>
      <c r="I29" s="163"/>
      <c r="J29" s="164"/>
      <c r="K29" s="162"/>
      <c r="L29" s="162"/>
      <c r="M29" s="162"/>
      <c r="N29" s="162"/>
      <c r="O29" s="162"/>
      <c r="P29" s="163"/>
      <c r="Q29" s="175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3"/>
      <c r="AF29" s="164"/>
      <c r="AG29" s="162"/>
      <c r="AH29" s="162"/>
      <c r="AI29" s="163"/>
    </row>
    <row r="30" spans="1:35" s="39" customFormat="1" ht="15" customHeight="1" x14ac:dyDescent="0.15">
      <c r="A30" s="41"/>
      <c r="B30" s="165"/>
      <c r="C30" s="163"/>
      <c r="D30" s="161"/>
      <c r="E30" s="162"/>
      <c r="F30" s="163"/>
      <c r="G30" s="165"/>
      <c r="H30" s="162"/>
      <c r="I30" s="163"/>
      <c r="J30" s="164"/>
      <c r="K30" s="162"/>
      <c r="L30" s="162"/>
      <c r="M30" s="162"/>
      <c r="N30" s="162"/>
      <c r="O30" s="162"/>
      <c r="P30" s="163"/>
      <c r="Q30" s="175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3"/>
      <c r="AF30" s="164"/>
      <c r="AG30" s="162"/>
      <c r="AH30" s="162"/>
      <c r="AI30" s="163"/>
    </row>
    <row r="31" spans="1:35" s="39" customFormat="1" ht="15" customHeight="1" x14ac:dyDescent="0.15">
      <c r="A31" s="41"/>
      <c r="B31" s="165"/>
      <c r="C31" s="163"/>
      <c r="D31" s="161"/>
      <c r="E31" s="162"/>
      <c r="F31" s="163"/>
      <c r="G31" s="165"/>
      <c r="H31" s="162"/>
      <c r="I31" s="163"/>
      <c r="J31" s="164"/>
      <c r="K31" s="162"/>
      <c r="L31" s="162"/>
      <c r="M31" s="162"/>
      <c r="N31" s="162"/>
      <c r="O31" s="162"/>
      <c r="P31" s="163"/>
      <c r="Q31" s="175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3"/>
      <c r="AF31" s="164"/>
      <c r="AG31" s="162"/>
      <c r="AH31" s="162"/>
      <c r="AI31" s="163"/>
    </row>
    <row r="32" spans="1:35" s="39" customFormat="1" ht="15" customHeight="1" x14ac:dyDescent="0.15">
      <c r="A32" s="41"/>
      <c r="B32" s="165"/>
      <c r="C32" s="163"/>
      <c r="D32" s="161"/>
      <c r="E32" s="162"/>
      <c r="F32" s="163"/>
      <c r="G32" s="165"/>
      <c r="H32" s="162"/>
      <c r="I32" s="163"/>
      <c r="J32" s="164"/>
      <c r="K32" s="162"/>
      <c r="L32" s="162"/>
      <c r="M32" s="162"/>
      <c r="N32" s="162"/>
      <c r="O32" s="162"/>
      <c r="P32" s="163"/>
      <c r="Q32" s="175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3"/>
      <c r="AF32" s="164"/>
      <c r="AG32" s="162"/>
      <c r="AH32" s="162"/>
      <c r="AI32" s="163"/>
    </row>
    <row r="33" spans="1:35" s="39" customFormat="1" ht="15" customHeight="1" x14ac:dyDescent="0.15">
      <c r="A33" s="41"/>
      <c r="B33" s="165"/>
      <c r="C33" s="163"/>
      <c r="D33" s="161"/>
      <c r="E33" s="162"/>
      <c r="F33" s="163"/>
      <c r="G33" s="165"/>
      <c r="H33" s="162"/>
      <c r="I33" s="163"/>
      <c r="J33" s="164"/>
      <c r="K33" s="162"/>
      <c r="L33" s="162"/>
      <c r="M33" s="162"/>
      <c r="N33" s="162"/>
      <c r="O33" s="162"/>
      <c r="P33" s="163"/>
      <c r="Q33" s="175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3"/>
      <c r="AF33" s="164"/>
      <c r="AG33" s="162"/>
      <c r="AH33" s="162"/>
      <c r="AI33" s="163"/>
    </row>
    <row r="34" spans="1:35" s="39" customFormat="1" ht="15" customHeight="1" x14ac:dyDescent="0.15"/>
  </sheetData>
  <mergeCells count="179">
    <mergeCell ref="Q33:AE33"/>
    <mergeCell ref="AF21:AI21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D15:F15"/>
    <mergeCell ref="J10:P10"/>
    <mergeCell ref="G25:I25"/>
    <mergeCell ref="D24:F24"/>
    <mergeCell ref="J19:P19"/>
    <mergeCell ref="J9:P9"/>
    <mergeCell ref="AF29:AI29"/>
    <mergeCell ref="D26:F26"/>
    <mergeCell ref="G11:I11"/>
    <mergeCell ref="Q25:AE25"/>
    <mergeCell ref="D10:F10"/>
    <mergeCell ref="AA3:AB3"/>
    <mergeCell ref="D19:F19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D13:F13"/>
    <mergeCell ref="Q20:AE20"/>
    <mergeCell ref="AF8:AI8"/>
    <mergeCell ref="Q14:AE14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AF31:AI31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D32:F32"/>
    <mergeCell ref="Q26:AE26"/>
    <mergeCell ref="D16:F16"/>
    <mergeCell ref="AF28:AI28"/>
    <mergeCell ref="AF13:AI13"/>
    <mergeCell ref="D18:F18"/>
    <mergeCell ref="G20:I20"/>
    <mergeCell ref="B17:C17"/>
    <mergeCell ref="G29:I29"/>
    <mergeCell ref="J14:P14"/>
    <mergeCell ref="D33:F33"/>
    <mergeCell ref="J28:P28"/>
    <mergeCell ref="J32:P32"/>
    <mergeCell ref="Q29:AE29"/>
    <mergeCell ref="AF17:AI17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D7:F7"/>
    <mergeCell ref="AG3:AI3"/>
    <mergeCell ref="D8:F8"/>
    <mergeCell ref="Q23:AE23"/>
    <mergeCell ref="B23:C23"/>
    <mergeCell ref="B8:C8"/>
    <mergeCell ref="B10:C10"/>
    <mergeCell ref="A3:D3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27:C27"/>
    <mergeCell ref="B18:C18"/>
    <mergeCell ref="G30:I30"/>
    <mergeCell ref="Q30:AE30"/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AI4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5" customHeight="1" x14ac:dyDescent="0.15"/>
  <cols>
    <col min="1" max="16" width="4.83203125" style="44" customWidth="1"/>
    <col min="17" max="17" width="4.83203125" style="37" customWidth="1"/>
    <col min="18" max="33" width="4.83203125" style="44" customWidth="1"/>
    <col min="34" max="34" width="4.83203125" style="37" customWidth="1"/>
    <col min="35" max="16384" width="4.83203125" style="44" customWidth="1"/>
  </cols>
  <sheetData>
    <row r="1" spans="1:35" s="11" customFormat="1" ht="11.25" customHeigh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ht="11.25" customHeigh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ht="11.25" customHeigh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s="29" customFormat="1" ht="19.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28"/>
      <c r="AD4" s="16"/>
      <c r="AE4" s="16"/>
      <c r="AF4" s="16"/>
      <c r="AG4" s="16"/>
      <c r="AH4" s="16"/>
      <c r="AI4" s="16"/>
    </row>
    <row r="5" spans="1:35" s="29" customFormat="1" ht="1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8" t="s">
        <v>35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28"/>
      <c r="AD5" s="16"/>
      <c r="AE5" s="16"/>
      <c r="AF5" s="16"/>
      <c r="AG5" s="16"/>
      <c r="AH5" s="16"/>
      <c r="AI5" s="16"/>
    </row>
    <row r="6" spans="1:35" s="26" customFormat="1" ht="15" customHeight="1" x14ac:dyDescent="0.15">
      <c r="AC6" s="42"/>
    </row>
    <row r="7" spans="1:35" ht="15" customHeight="1" x14ac:dyDescent="0.15">
      <c r="B7" s="30" t="s">
        <v>36</v>
      </c>
      <c r="C7" s="30"/>
      <c r="N7" s="43"/>
      <c r="P7" s="42"/>
      <c r="R7" s="42"/>
      <c r="AG7" s="42"/>
      <c r="AH7" s="31"/>
    </row>
    <row r="8" spans="1:35" ht="15" customHeight="1" x14ac:dyDescent="0.15">
      <c r="B8" s="30"/>
      <c r="C8" s="30" t="s">
        <v>37</v>
      </c>
      <c r="N8" s="43"/>
      <c r="P8" s="42"/>
      <c r="R8" s="42"/>
      <c r="AF8" s="42"/>
      <c r="AG8" s="42"/>
      <c r="AH8" s="31"/>
    </row>
    <row r="9" spans="1:35" ht="15" customHeight="1" x14ac:dyDescent="0.15">
      <c r="C9" s="30"/>
      <c r="N9" s="43"/>
      <c r="P9" s="42"/>
      <c r="R9" s="42"/>
      <c r="AH9" s="31"/>
    </row>
    <row r="10" spans="1:35" ht="15" customHeight="1" x14ac:dyDescent="0.15">
      <c r="B10" s="30" t="s">
        <v>38</v>
      </c>
      <c r="N10" s="43"/>
      <c r="P10" s="42"/>
      <c r="R10" s="42"/>
      <c r="AG10" s="42"/>
      <c r="AH10" s="31"/>
    </row>
    <row r="11" spans="1:35" ht="15" customHeight="1" x14ac:dyDescent="0.15">
      <c r="C11" s="30" t="s">
        <v>39</v>
      </c>
      <c r="N11" s="43"/>
      <c r="P11" s="42"/>
      <c r="R11" s="42"/>
      <c r="AG11" s="42"/>
      <c r="AH11" s="31"/>
    </row>
    <row r="12" spans="1:35" ht="15" customHeight="1" x14ac:dyDescent="0.15">
      <c r="C12" t="s">
        <v>40</v>
      </c>
      <c r="N12" s="43"/>
      <c r="P12" s="42"/>
      <c r="R12" s="42"/>
      <c r="AG12" s="42"/>
      <c r="AH12" s="31"/>
    </row>
    <row r="13" spans="1:35" ht="15" customHeight="1" x14ac:dyDescent="0.15">
      <c r="C13" t="s">
        <v>41</v>
      </c>
      <c r="Q13" s="45"/>
      <c r="AG13" s="42"/>
      <c r="AH13" s="31"/>
    </row>
    <row r="14" spans="1:35" ht="15" customHeight="1" x14ac:dyDescent="0.15">
      <c r="B14" s="30"/>
      <c r="C14" t="s">
        <v>42</v>
      </c>
      <c r="Q14" s="45"/>
      <c r="AG14" s="42"/>
      <c r="AH14" s="31"/>
    </row>
    <row r="15" spans="1:35" ht="15" customHeight="1" x14ac:dyDescent="0.15">
      <c r="B15" s="30"/>
      <c r="C15" t="s">
        <v>43</v>
      </c>
      <c r="N15" s="43"/>
      <c r="P15" s="42"/>
      <c r="AG15" s="42"/>
      <c r="AH15" s="31"/>
    </row>
    <row r="16" spans="1:35" ht="15" customHeight="1" x14ac:dyDescent="0.15">
      <c r="C16" t="s">
        <v>44</v>
      </c>
      <c r="P16" s="42"/>
      <c r="AG16" s="42"/>
      <c r="AH16" s="31"/>
    </row>
    <row r="17" spans="1:35" ht="15" customHeight="1" x14ac:dyDescent="0.15">
      <c r="P17" s="42"/>
      <c r="AG17" s="42"/>
      <c r="AH17" s="31"/>
    </row>
    <row r="18" spans="1:35" ht="15" customHeight="1" x14ac:dyDescent="0.15">
      <c r="B18" s="30" t="s">
        <v>45</v>
      </c>
      <c r="P18" s="42"/>
      <c r="AG18" s="42"/>
      <c r="AH18" s="31"/>
    </row>
    <row r="19" spans="1:35" ht="15" customHeight="1" x14ac:dyDescent="0.15">
      <c r="C19" s="30" t="s">
        <v>46</v>
      </c>
      <c r="P19" s="42"/>
      <c r="AG19" s="42"/>
      <c r="AH19" s="31"/>
    </row>
    <row r="20" spans="1:35" ht="15" customHeight="1" x14ac:dyDescent="0.15">
      <c r="C20" t="s">
        <v>47</v>
      </c>
      <c r="P20" s="42"/>
      <c r="AG20" s="42"/>
      <c r="AH20" s="31"/>
    </row>
    <row r="21" spans="1:35" ht="15" customHeight="1" x14ac:dyDescent="0.15">
      <c r="C21" t="s">
        <v>48</v>
      </c>
      <c r="P21" s="42"/>
      <c r="AG21" s="42"/>
      <c r="AH21" s="31"/>
    </row>
    <row r="22" spans="1:35" ht="15" customHeight="1" x14ac:dyDescent="0.15">
      <c r="B22" s="30"/>
      <c r="C22" t="s">
        <v>49</v>
      </c>
      <c r="P22" s="42"/>
      <c r="AG22" s="42"/>
      <c r="AH22" s="31"/>
    </row>
    <row r="23" spans="1:35" ht="15" customHeight="1" x14ac:dyDescent="0.15">
      <c r="B23" s="30"/>
      <c r="C23" t="s">
        <v>50</v>
      </c>
      <c r="N23" s="43"/>
      <c r="P23" s="42"/>
      <c r="AG23" s="42"/>
      <c r="AH23" s="31"/>
    </row>
    <row r="24" spans="1:35" ht="15" customHeight="1" x14ac:dyDescent="0.15">
      <c r="C24" t="s">
        <v>51</v>
      </c>
      <c r="P24" s="42"/>
      <c r="AG24" s="42"/>
      <c r="AH24" s="31"/>
    </row>
    <row r="25" spans="1:35" ht="15" customHeight="1" x14ac:dyDescent="0.15">
      <c r="P25" s="42"/>
      <c r="AG25" s="42"/>
      <c r="AH25" s="31"/>
    </row>
    <row r="26" spans="1:35" ht="15" customHeight="1" x14ac:dyDescent="0.15">
      <c r="B26" s="30" t="s">
        <v>52</v>
      </c>
      <c r="P26" s="42"/>
      <c r="AG26" s="42"/>
      <c r="AH26" s="31"/>
    </row>
    <row r="27" spans="1:35" ht="15" customHeight="1" x14ac:dyDescent="0.15">
      <c r="A27" s="25"/>
      <c r="C27" s="30" t="s">
        <v>53</v>
      </c>
      <c r="P27" s="42"/>
      <c r="AG27" s="42"/>
      <c r="AH27" s="31"/>
    </row>
    <row r="28" spans="1:35" ht="15" customHeight="1" x14ac:dyDescent="0.15">
      <c r="A28" s="25"/>
      <c r="C28" t="s">
        <v>54</v>
      </c>
      <c r="N28" s="43"/>
      <c r="P28" s="42"/>
      <c r="AG28" s="42"/>
      <c r="AH28" s="31"/>
    </row>
    <row r="29" spans="1:35" ht="15" customHeight="1" x14ac:dyDescent="0.15">
      <c r="A29" s="25"/>
      <c r="C29" t="s">
        <v>55</v>
      </c>
      <c r="D29" s="25"/>
      <c r="E29" s="25"/>
      <c r="F29" s="25"/>
      <c r="G29" s="25"/>
      <c r="H29" s="25"/>
      <c r="I29" s="25"/>
      <c r="P29" s="42"/>
      <c r="AG29" s="42"/>
      <c r="AH29" s="31"/>
    </row>
    <row r="30" spans="1:35" ht="15" customHeight="1" x14ac:dyDescent="0.15">
      <c r="A30" s="25"/>
      <c r="B30" s="30"/>
      <c r="C30" t="s">
        <v>56</v>
      </c>
      <c r="D30" s="25"/>
      <c r="E30" s="25"/>
      <c r="F30" s="25"/>
      <c r="G30" s="25"/>
      <c r="H30" s="25"/>
      <c r="I30" s="25"/>
      <c r="J30" s="25"/>
      <c r="P30" s="42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46"/>
      <c r="AH30" s="32"/>
      <c r="AI30" s="25"/>
    </row>
    <row r="31" spans="1:35" ht="15" customHeight="1" x14ac:dyDescent="0.15">
      <c r="A31" s="25"/>
      <c r="B31" s="30"/>
      <c r="C31" t="s">
        <v>57</v>
      </c>
      <c r="D31" s="25"/>
      <c r="E31" s="25"/>
      <c r="F31" s="25"/>
      <c r="G31" s="25"/>
      <c r="H31" s="25"/>
      <c r="I31" s="25"/>
      <c r="J31" s="25"/>
      <c r="P31" s="42"/>
      <c r="Q31" s="31"/>
      <c r="S31" s="33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46"/>
      <c r="AH31" s="32"/>
      <c r="AI31" s="25"/>
    </row>
    <row r="32" spans="1:35" ht="15" customHeight="1" x14ac:dyDescent="0.15">
      <c r="A32" s="25"/>
      <c r="C32" t="s">
        <v>58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34"/>
      <c r="Q32" s="31"/>
      <c r="R32" s="25"/>
      <c r="S32" s="3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46"/>
      <c r="AH32" s="32"/>
      <c r="AI32" s="25"/>
    </row>
    <row r="33" spans="1:35" ht="15" customHeight="1" x14ac:dyDescent="0.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34"/>
      <c r="Q33" s="31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46"/>
      <c r="AH33" s="32"/>
      <c r="AI33" s="25"/>
    </row>
    <row r="34" spans="1:35" ht="15" customHeight="1" x14ac:dyDescent="0.15">
      <c r="J34" s="25"/>
      <c r="K34" s="25"/>
      <c r="L34" s="25"/>
      <c r="M34" s="25"/>
      <c r="N34" s="25"/>
      <c r="O34" s="25"/>
      <c r="P34" s="34"/>
      <c r="Q34" s="31"/>
      <c r="R34" s="25"/>
      <c r="S34" s="3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46"/>
      <c r="AH34" s="32"/>
      <c r="AI34" s="25"/>
    </row>
    <row r="35" spans="1:35" ht="15" customHeight="1" x14ac:dyDescent="0.15">
      <c r="K35" s="25"/>
      <c r="L35" s="25"/>
      <c r="M35" s="25"/>
      <c r="N35" s="25"/>
      <c r="O35" s="25"/>
      <c r="P35" s="34"/>
      <c r="Q35" s="31"/>
      <c r="R35" s="25"/>
      <c r="S35" s="25"/>
      <c r="T35" s="25"/>
      <c r="U35" s="47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46"/>
      <c r="AH35" s="32"/>
      <c r="AI35" s="25"/>
    </row>
    <row r="36" spans="1:35" ht="15" customHeight="1" x14ac:dyDescent="0.15">
      <c r="K36" s="25"/>
      <c r="L36" s="25"/>
      <c r="M36" s="25"/>
      <c r="N36" s="25"/>
      <c r="O36" s="25"/>
      <c r="P36" s="34"/>
      <c r="Q36" s="32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32"/>
      <c r="AI36" s="25"/>
    </row>
    <row r="37" spans="1:35" ht="15" customHeight="1" x14ac:dyDescent="0.15">
      <c r="P37" s="36"/>
      <c r="U37" s="48"/>
      <c r="AG37" s="49"/>
    </row>
    <row r="38" spans="1:35" ht="15" customHeight="1" x14ac:dyDescent="0.15">
      <c r="U38" s="48"/>
      <c r="AF38" s="49"/>
      <c r="AG38" s="36"/>
    </row>
    <row r="39" spans="1:35" ht="15" customHeight="1" x14ac:dyDescent="0.15">
      <c r="T39" s="48"/>
      <c r="AF39" s="49"/>
      <c r="AG39" s="49"/>
    </row>
    <row r="40" spans="1:35" ht="15" customHeight="1" x14ac:dyDescent="0.15">
      <c r="AG40" s="36"/>
    </row>
    <row r="41" spans="1:35" ht="15" customHeight="1" x14ac:dyDescent="0.15">
      <c r="AG41" s="36"/>
    </row>
    <row r="42" spans="1:35" ht="15" customHeight="1" x14ac:dyDescent="0.15">
      <c r="AF42" s="49"/>
      <c r="AG42" s="36"/>
    </row>
    <row r="43" spans="1:35" ht="15" customHeight="1" x14ac:dyDescent="0.15">
      <c r="AF43" s="49"/>
      <c r="AG43" s="49"/>
    </row>
    <row r="44" spans="1:35" ht="15" customHeight="1" x14ac:dyDescent="0.15">
      <c r="AF44" s="49"/>
      <c r="AG44" s="49"/>
    </row>
    <row r="45" spans="1:35" ht="15" customHeight="1" x14ac:dyDescent="0.15">
      <c r="AG45" s="49"/>
    </row>
    <row r="46" spans="1:35" ht="15" customHeight="1" x14ac:dyDescent="0.15">
      <c r="AF46" s="49"/>
      <c r="AG46" s="49"/>
    </row>
    <row r="47" spans="1:35" ht="15" customHeight="1" x14ac:dyDescent="0.15">
      <c r="AG47" s="49"/>
    </row>
    <row r="49" spans="33:33" ht="15" customHeight="1" x14ac:dyDescent="0.15">
      <c r="AG49" s="49"/>
    </row>
  </sheetData>
  <mergeCells count="17">
    <mergeCell ref="E1:N1"/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AI52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" width="4.83203125" style="16" customWidth="1"/>
    <col min="2" max="16384" width="4.83203125" style="16"/>
  </cols>
  <sheetData>
    <row r="1" spans="1:35" s="11" customForma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ht="12" customHeight="1" x14ac:dyDescent="0.15"/>
    <row r="5" spans="1:35" s="63" customFormat="1" ht="12" customHeight="1" x14ac:dyDescent="0.15">
      <c r="B5" s="63" t="s">
        <v>36</v>
      </c>
    </row>
    <row r="6" spans="1:35" s="63" customFormat="1" ht="12" customHeight="1" x14ac:dyDescent="0.15">
      <c r="C6" s="63" t="s">
        <v>59</v>
      </c>
    </row>
    <row r="7" spans="1:35" s="63" customFormat="1" ht="12" customHeight="1" x14ac:dyDescent="0.15"/>
    <row r="8" spans="1:35" s="63" customFormat="1" ht="12" customHeight="1" x14ac:dyDescent="0.15">
      <c r="B8" s="64"/>
      <c r="C8" s="197" t="s">
        <v>60</v>
      </c>
      <c r="D8" s="162"/>
      <c r="E8" s="162"/>
      <c r="F8" s="163"/>
      <c r="G8" s="164" t="s">
        <v>61</v>
      </c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3"/>
    </row>
    <row r="9" spans="1:35" s="63" customFormat="1" ht="12" customHeight="1" x14ac:dyDescent="0.15">
      <c r="B9" s="64"/>
      <c r="C9" s="200" t="s">
        <v>62</v>
      </c>
      <c r="D9" s="162"/>
      <c r="E9" s="162"/>
      <c r="F9" s="163"/>
      <c r="G9" s="164" t="s">
        <v>63</v>
      </c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3"/>
    </row>
    <row r="10" spans="1:35" s="63" customFormat="1" ht="12" customHeight="1" x14ac:dyDescent="0.15">
      <c r="B10" s="64"/>
      <c r="C10" s="198" t="s">
        <v>64</v>
      </c>
      <c r="D10" s="167"/>
      <c r="E10" s="167"/>
      <c r="F10" s="168"/>
      <c r="G10" s="129" t="s">
        <v>65</v>
      </c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6"/>
    </row>
    <row r="11" spans="1:35" s="63" customFormat="1" ht="12" customHeight="1" x14ac:dyDescent="0.15">
      <c r="B11" s="64"/>
      <c r="C11" s="169"/>
      <c r="D11" s="199"/>
      <c r="E11" s="199"/>
      <c r="F11" s="171"/>
      <c r="G11" s="67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68"/>
    </row>
    <row r="12" spans="1:35" s="63" customFormat="1" ht="12" customHeight="1" x14ac:dyDescent="0.15">
      <c r="B12" s="64"/>
      <c r="C12" s="169"/>
      <c r="D12" s="199"/>
      <c r="E12" s="199"/>
      <c r="F12" s="171"/>
      <c r="G12" s="130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68"/>
    </row>
    <row r="13" spans="1:35" s="63" customFormat="1" ht="12" customHeight="1" x14ac:dyDescent="0.15">
      <c r="B13" s="64"/>
      <c r="C13" s="172"/>
      <c r="D13" s="173"/>
      <c r="E13" s="173"/>
      <c r="F13" s="174"/>
      <c r="G13" s="69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1"/>
    </row>
    <row r="14" spans="1:35" s="63" customFormat="1" ht="12" customHeight="1" x14ac:dyDescent="0.15">
      <c r="B14" s="64"/>
      <c r="C14" s="198" t="s">
        <v>66</v>
      </c>
      <c r="D14" s="162"/>
      <c r="E14" s="162"/>
      <c r="F14" s="163"/>
      <c r="G14" s="72" t="s">
        <v>67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4"/>
    </row>
    <row r="15" spans="1:35" ht="12" customHeight="1" x14ac:dyDescent="0.15"/>
    <row r="16" spans="1:35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</sheetData>
  <mergeCells count="23"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AG2:AI2"/>
    <mergeCell ref="G8:AG8"/>
    <mergeCell ref="C8:F8"/>
    <mergeCell ref="S1:Z3"/>
    <mergeCell ref="AA1:AB1"/>
    <mergeCell ref="AC2:AF2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useFirstPageNumber="1" r:id="rId1"/>
  <headerFooter alignWithMargins="0">
    <oddFooter>&amp;C- &amp;P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BF17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0" width="4.83203125" style="16" customWidth="1"/>
    <col min="11" max="16384" width="4.83203125" style="16"/>
  </cols>
  <sheetData>
    <row r="1" spans="1:39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9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9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9" ht="12" customHeight="1" x14ac:dyDescent="0.15">
      <c r="A4"/>
    </row>
    <row r="5" spans="1:39" ht="12" customHeight="1" x14ac:dyDescent="0.15">
      <c r="B5" s="26" t="s">
        <v>38</v>
      </c>
      <c r="AM5" s="140"/>
    </row>
    <row r="6" spans="1:39" ht="12" customHeight="1" x14ac:dyDescent="0.15">
      <c r="C6" t="s">
        <v>39</v>
      </c>
    </row>
    <row r="7" spans="1:39" ht="12" customHeight="1" x14ac:dyDescent="0.15"/>
    <row r="8" spans="1:39" ht="12" customHeight="1" x14ac:dyDescent="0.15"/>
    <row r="9" spans="1:39" ht="12" customHeight="1" x14ac:dyDescent="0.15"/>
    <row r="10" spans="1:39" ht="12" customHeight="1" x14ac:dyDescent="0.15"/>
    <row r="11" spans="1:39" ht="12" customHeight="1" x14ac:dyDescent="0.15"/>
    <row r="12" spans="1:39" ht="12" customHeight="1" x14ac:dyDescent="0.15"/>
    <row r="13" spans="1:39" ht="12" customHeight="1" x14ac:dyDescent="0.15"/>
    <row r="14" spans="1:39" ht="12" customHeight="1" x14ac:dyDescent="0.15"/>
    <row r="15" spans="1:39" ht="12" customHeight="1" x14ac:dyDescent="0.15"/>
    <row r="16" spans="1:39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34" ht="12" customHeight="1" x14ac:dyDescent="0.15"/>
    <row r="34" spans="3:34" ht="12" customHeight="1" x14ac:dyDescent="0.15"/>
    <row r="35" spans="3:34" ht="12" customHeight="1" x14ac:dyDescent="0.15"/>
    <row r="36" spans="3:34" ht="12" customHeight="1" x14ac:dyDescent="0.15"/>
    <row r="37" spans="3:34" ht="12" customHeight="1" x14ac:dyDescent="0.15"/>
    <row r="38" spans="3:34" ht="12" customHeight="1" x14ac:dyDescent="0.15"/>
    <row r="39" spans="3:34" ht="12" customHeight="1" x14ac:dyDescent="0.15"/>
    <row r="40" spans="3:34" ht="12" customHeight="1" x14ac:dyDescent="0.15"/>
    <row r="41" spans="3:34" ht="12" customHeight="1" x14ac:dyDescent="0.15"/>
    <row r="42" spans="3:34" ht="12" customHeight="1" x14ac:dyDescent="0.15"/>
    <row r="43" spans="3:34" ht="12" customHeight="1" x14ac:dyDescent="0.15"/>
    <row r="44" spans="3:34" ht="12" customHeight="1" x14ac:dyDescent="0.15"/>
    <row r="45" spans="3:34" ht="12" customHeight="1" x14ac:dyDescent="0.15"/>
    <row r="46" spans="3:34" ht="12" customHeight="1" x14ac:dyDescent="0.15"/>
    <row r="47" spans="3:34" ht="12" customHeight="1" x14ac:dyDescent="0.15"/>
    <row r="48" spans="3:34" x14ac:dyDescent="0.15">
      <c r="C48" s="26" t="s">
        <v>40</v>
      </c>
      <c r="D48" s="103"/>
      <c r="E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</row>
    <row r="49" spans="3:53" x14ac:dyDescent="0.15">
      <c r="C49" s="29"/>
      <c r="D49" s="103"/>
      <c r="E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</row>
    <row r="50" spans="3:53" x14ac:dyDescent="0.15">
      <c r="D50" s="97" t="s">
        <v>13</v>
      </c>
      <c r="E50" s="231" t="s">
        <v>68</v>
      </c>
      <c r="F50" s="223"/>
      <c r="G50" s="223"/>
      <c r="H50" s="223"/>
      <c r="I50" s="223"/>
      <c r="J50" s="223"/>
      <c r="K50" s="223"/>
      <c r="L50" s="223"/>
      <c r="M50" s="224"/>
      <c r="N50" s="231" t="s">
        <v>69</v>
      </c>
      <c r="O50" s="223"/>
      <c r="P50" s="224"/>
      <c r="Q50" s="231" t="s">
        <v>70</v>
      </c>
      <c r="R50" s="223"/>
      <c r="S50" s="223"/>
      <c r="T50" s="223"/>
      <c r="U50" s="224"/>
      <c r="V50" s="231" t="s">
        <v>71</v>
      </c>
      <c r="W50" s="223"/>
      <c r="X50" s="223"/>
      <c r="Y50" s="223"/>
      <c r="Z50" s="223"/>
      <c r="AA50" s="223"/>
      <c r="AB50" s="223"/>
      <c r="AC50" s="224"/>
      <c r="AD50" s="103"/>
      <c r="AE50" s="103"/>
      <c r="AF50" s="103"/>
      <c r="AG50" s="103"/>
      <c r="AH50" s="103"/>
    </row>
    <row r="51" spans="3:53" ht="11.25" customHeight="1" x14ac:dyDescent="0.15">
      <c r="D51" s="121">
        <v>1</v>
      </c>
      <c r="E51" s="248" t="s">
        <v>22</v>
      </c>
      <c r="F51" s="203"/>
      <c r="G51" s="203"/>
      <c r="H51" s="203"/>
      <c r="I51" s="203"/>
      <c r="J51" s="203"/>
      <c r="K51" s="203"/>
      <c r="L51" s="203"/>
      <c r="M51" s="204"/>
      <c r="N51" s="245" t="s">
        <v>22</v>
      </c>
      <c r="O51" s="203"/>
      <c r="P51" s="204"/>
      <c r="Q51" s="244" t="s">
        <v>22</v>
      </c>
      <c r="R51" s="203"/>
      <c r="S51" s="203"/>
      <c r="T51" s="203"/>
      <c r="U51" s="204"/>
      <c r="V51" s="227" t="s">
        <v>22</v>
      </c>
      <c r="W51" s="203"/>
      <c r="X51" s="203"/>
      <c r="Y51" s="203"/>
      <c r="Z51" s="203"/>
      <c r="AA51" s="203"/>
      <c r="AB51" s="203"/>
      <c r="AC51" s="204"/>
      <c r="AM51" s="29"/>
    </row>
    <row r="52" spans="3:53" ht="11.25" customHeight="1" x14ac:dyDescent="0.15">
      <c r="D52" s="123"/>
      <c r="E52" s="114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03"/>
      <c r="S52" s="103"/>
      <c r="T52" s="103"/>
      <c r="U52" s="103"/>
      <c r="V52" s="51"/>
      <c r="W52" s="103"/>
      <c r="X52" s="103"/>
      <c r="Y52" s="103"/>
      <c r="Z52" s="103"/>
      <c r="AA52" s="103"/>
      <c r="AB52" s="103"/>
      <c r="AC52" s="103"/>
      <c r="AM52" s="29"/>
    </row>
    <row r="53" spans="3:53" ht="11.25" customHeight="1" x14ac:dyDescent="0.15">
      <c r="L53" s="1"/>
      <c r="O53" s="122"/>
    </row>
    <row r="54" spans="3:53" x14ac:dyDescent="0.15">
      <c r="C54" t="s">
        <v>41</v>
      </c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</row>
    <row r="55" spans="3:53" s="63" customFormat="1" x14ac:dyDescent="0.15"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</row>
    <row r="56" spans="3:53" s="63" customFormat="1" x14ac:dyDescent="0.15">
      <c r="D56" s="198" t="s">
        <v>13</v>
      </c>
      <c r="E56" s="198" t="s">
        <v>72</v>
      </c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3"/>
      <c r="AD56" s="198" t="s">
        <v>73</v>
      </c>
      <c r="AE56" s="167"/>
      <c r="AF56" s="167"/>
      <c r="AG56" s="168"/>
      <c r="AH56" s="92"/>
      <c r="AI56" s="92"/>
      <c r="AJ56" s="92"/>
      <c r="AK56" s="44" t="s">
        <v>74</v>
      </c>
      <c r="AL56" s="92"/>
      <c r="AM56" s="92"/>
      <c r="AN56" s="92"/>
    </row>
    <row r="57" spans="3:53" s="63" customFormat="1" ht="11.25" customHeight="1" x14ac:dyDescent="0.15">
      <c r="D57" s="218"/>
      <c r="E57" s="198" t="s">
        <v>75</v>
      </c>
      <c r="F57" s="167"/>
      <c r="G57" s="167"/>
      <c r="H57" s="168"/>
      <c r="I57" s="240" t="s">
        <v>76</v>
      </c>
      <c r="J57" s="167"/>
      <c r="K57" s="167"/>
      <c r="L57" s="168"/>
      <c r="M57" s="225" t="s">
        <v>77</v>
      </c>
      <c r="N57" s="167"/>
      <c r="O57" s="167"/>
      <c r="P57" s="167"/>
      <c r="Q57" s="167"/>
      <c r="R57" s="167"/>
      <c r="S57" s="167"/>
      <c r="T57" s="168"/>
      <c r="U57" s="198" t="s">
        <v>78</v>
      </c>
      <c r="V57" s="167"/>
      <c r="W57" s="167"/>
      <c r="X57" s="167"/>
      <c r="Y57" s="168"/>
      <c r="Z57" s="198" t="s">
        <v>79</v>
      </c>
      <c r="AA57" s="167"/>
      <c r="AB57" s="168"/>
      <c r="AC57" s="198" t="s">
        <v>80</v>
      </c>
      <c r="AD57" s="169"/>
      <c r="AE57" s="199"/>
      <c r="AF57" s="199"/>
      <c r="AG57" s="171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</row>
    <row r="58" spans="3:53" s="63" customFormat="1" x14ac:dyDescent="0.15">
      <c r="D58" s="210"/>
      <c r="E58" s="172"/>
      <c r="F58" s="173"/>
      <c r="G58" s="173"/>
      <c r="H58" s="174"/>
      <c r="I58" s="172"/>
      <c r="J58" s="173"/>
      <c r="K58" s="173"/>
      <c r="L58" s="174"/>
      <c r="M58" s="172"/>
      <c r="N58" s="173"/>
      <c r="O58" s="173"/>
      <c r="P58" s="173"/>
      <c r="Q58" s="173"/>
      <c r="R58" s="173"/>
      <c r="S58" s="173"/>
      <c r="T58" s="174"/>
      <c r="U58" s="172"/>
      <c r="V58" s="173"/>
      <c r="W58" s="173"/>
      <c r="X58" s="173"/>
      <c r="Y58" s="174"/>
      <c r="Z58" s="172"/>
      <c r="AA58" s="173"/>
      <c r="AB58" s="174"/>
      <c r="AC58" s="210"/>
      <c r="AD58" s="172"/>
      <c r="AE58" s="173"/>
      <c r="AF58" s="173"/>
      <c r="AG58" s="174"/>
      <c r="AH58" s="92"/>
      <c r="AI58" s="92"/>
      <c r="AJ58" s="92"/>
      <c r="AK58" s="92"/>
      <c r="AL58" s="212" t="s">
        <v>81</v>
      </c>
      <c r="AM58" s="162"/>
      <c r="AN58" s="162"/>
      <c r="AO58" s="162"/>
      <c r="AP58" s="163"/>
      <c r="AQ58" s="92"/>
      <c r="AR58" s="92"/>
      <c r="AS58" s="92"/>
      <c r="AT58" s="92"/>
    </row>
    <row r="59" spans="3:53" s="63" customFormat="1" x14ac:dyDescent="0.15">
      <c r="D59" s="239" t="s">
        <v>82</v>
      </c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3"/>
      <c r="AH59" s="92"/>
      <c r="AI59" s="92"/>
      <c r="AJ59" s="92"/>
      <c r="AK59" s="92"/>
      <c r="AL59" s="138" t="s">
        <v>22</v>
      </c>
      <c r="AM59" s="136"/>
      <c r="AN59" s="136"/>
      <c r="AO59" s="136"/>
      <c r="AP59" s="137"/>
      <c r="AQ59" s="92"/>
      <c r="AR59" s="92"/>
      <c r="AS59" s="92"/>
      <c r="AT59" s="92"/>
    </row>
    <row r="60" spans="3:53" s="64" customFormat="1" ht="11.25" customHeight="1" x14ac:dyDescent="0.15">
      <c r="D60" s="106">
        <v>1</v>
      </c>
      <c r="E60" s="164" t="s">
        <v>83</v>
      </c>
      <c r="F60" s="162"/>
      <c r="G60" s="162"/>
      <c r="H60" s="163"/>
      <c r="I60" s="213" t="s">
        <v>84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86</v>
      </c>
      <c r="AE60" s="162"/>
      <c r="AF60" s="162"/>
      <c r="AG60" s="163"/>
      <c r="AL60" s="164" t="s">
        <v>87</v>
      </c>
      <c r="AM60" s="162"/>
      <c r="AN60" s="162"/>
      <c r="AO60" s="162"/>
      <c r="AP60" s="163"/>
    </row>
    <row r="61" spans="3:53" s="64" customFormat="1" ht="11.25" customHeight="1" x14ac:dyDescent="0.15">
      <c r="D61" s="106">
        <v>2</v>
      </c>
      <c r="E61" s="164" t="s">
        <v>88</v>
      </c>
      <c r="F61" s="162"/>
      <c r="G61" s="162"/>
      <c r="H61" s="163"/>
      <c r="I61" s="213" t="s">
        <v>84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22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86</v>
      </c>
      <c r="AE61" s="162"/>
      <c r="AF61" s="162"/>
      <c r="AG61" s="163"/>
      <c r="AL61" s="164" t="s">
        <v>89</v>
      </c>
      <c r="AM61" s="162"/>
      <c r="AN61" s="162"/>
      <c r="AO61" s="162"/>
      <c r="AP61" s="163"/>
    </row>
    <row r="62" spans="3:53" s="63" customFormat="1" ht="11.25" customHeight="1" x14ac:dyDescent="0.15">
      <c r="D62" s="106">
        <v>3</v>
      </c>
      <c r="E62" s="164" t="s">
        <v>1</v>
      </c>
      <c r="F62" s="162"/>
      <c r="G62" s="162"/>
      <c r="H62" s="163"/>
      <c r="I62" s="213" t="s">
        <v>90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22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91</v>
      </c>
      <c r="AE62" s="162"/>
      <c r="AF62" s="162"/>
      <c r="AG62" s="163"/>
      <c r="AH62" s="92"/>
      <c r="AI62" s="92"/>
      <c r="AJ62" s="92"/>
      <c r="AK62" s="92"/>
      <c r="AL62" s="164" t="s">
        <v>92</v>
      </c>
      <c r="AM62" s="162"/>
      <c r="AN62" s="162"/>
      <c r="AO62" s="162"/>
      <c r="AP62" s="163"/>
      <c r="AQ62" s="92"/>
      <c r="AR62" s="92"/>
      <c r="AS62" s="92"/>
      <c r="AT62" s="92"/>
    </row>
    <row r="63" spans="3:53" s="63" customFormat="1" ht="95.25" customHeight="1" x14ac:dyDescent="0.15">
      <c r="D63" s="106">
        <v>4</v>
      </c>
      <c r="E63" s="164" t="s">
        <v>93</v>
      </c>
      <c r="F63" s="162"/>
      <c r="G63" s="162"/>
      <c r="H63" s="163"/>
      <c r="I63" s="213" t="s">
        <v>84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94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85</v>
      </c>
      <c r="AD63" s="175" t="s">
        <v>95</v>
      </c>
      <c r="AE63" s="162"/>
      <c r="AF63" s="162"/>
      <c r="AG63" s="163"/>
      <c r="AH63" s="92"/>
      <c r="AI63" s="92"/>
      <c r="AJ63" s="92"/>
      <c r="AK63" s="92"/>
      <c r="AL63" s="164" t="s">
        <v>96</v>
      </c>
      <c r="AM63" s="162"/>
      <c r="AN63" s="162"/>
      <c r="AO63" s="162"/>
      <c r="AP63" s="163"/>
      <c r="AQ63" s="92"/>
      <c r="AR63" s="92"/>
      <c r="AS63" s="92"/>
      <c r="AT63" s="92"/>
    </row>
    <row r="64" spans="3:53" s="63" customFormat="1" ht="95.25" customHeight="1" x14ac:dyDescent="0.15">
      <c r="D64" s="106">
        <v>5</v>
      </c>
      <c r="E64" s="164" t="s">
        <v>97</v>
      </c>
      <c r="F64" s="162"/>
      <c r="G64" s="162"/>
      <c r="H64" s="163"/>
      <c r="I64" s="213" t="s">
        <v>98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99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100</v>
      </c>
      <c r="AE64" s="162"/>
      <c r="AF64" s="162"/>
      <c r="AG64" s="163"/>
      <c r="AH64" s="92"/>
      <c r="AI64" s="92"/>
      <c r="AJ64" s="92"/>
      <c r="AK64" s="92"/>
      <c r="AL64" s="164" t="s">
        <v>101</v>
      </c>
      <c r="AM64" s="162"/>
      <c r="AN64" s="162"/>
      <c r="AO64" s="162"/>
      <c r="AP64" s="163"/>
      <c r="AQ64" s="92"/>
      <c r="AR64" s="92"/>
      <c r="AS64" s="92"/>
      <c r="AT64" s="92"/>
    </row>
    <row r="65" spans="1:48" ht="11.25" customHeight="1" x14ac:dyDescent="0.15">
      <c r="D65" s="106">
        <v>6</v>
      </c>
      <c r="E65" s="164" t="s">
        <v>102</v>
      </c>
      <c r="F65" s="162"/>
      <c r="G65" s="162"/>
      <c r="H65" s="163"/>
      <c r="I65" s="243" t="s">
        <v>90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22</v>
      </c>
      <c r="AD65" s="175" t="s">
        <v>103</v>
      </c>
      <c r="AE65" s="162"/>
      <c r="AF65" s="162"/>
      <c r="AG65" s="163"/>
      <c r="AL65" s="164" t="s">
        <v>104</v>
      </c>
      <c r="AM65" s="162"/>
      <c r="AN65" s="162"/>
      <c r="AO65" s="162"/>
      <c r="AP65" s="163"/>
    </row>
    <row r="66" spans="1:48" s="64" customFormat="1" ht="24.75" customHeight="1" x14ac:dyDescent="0.15">
      <c r="D66" s="106">
        <v>7</v>
      </c>
      <c r="E66" s="164" t="s">
        <v>105</v>
      </c>
      <c r="F66" s="162"/>
      <c r="G66" s="162"/>
      <c r="H66" s="163"/>
      <c r="I66" s="213" t="s">
        <v>106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107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108</v>
      </c>
      <c r="AE66" s="162"/>
      <c r="AF66" s="162"/>
      <c r="AG66" s="163"/>
      <c r="AL66" s="164" t="s">
        <v>109</v>
      </c>
      <c r="AM66" s="162"/>
      <c r="AN66" s="162"/>
      <c r="AO66" s="162"/>
      <c r="AP66" s="163"/>
    </row>
    <row r="67" spans="1:48" s="64" customFormat="1" ht="11.25" customHeight="1" x14ac:dyDescent="0.15">
      <c r="D67" s="106">
        <v>8</v>
      </c>
      <c r="E67" s="164" t="s">
        <v>110</v>
      </c>
      <c r="F67" s="162"/>
      <c r="G67" s="162"/>
      <c r="H67" s="163"/>
      <c r="I67" s="213" t="s">
        <v>90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111</v>
      </c>
      <c r="AE67" s="162"/>
      <c r="AF67" s="162"/>
      <c r="AG67" s="163"/>
      <c r="AL67" s="164" t="s">
        <v>112</v>
      </c>
      <c r="AM67" s="162"/>
      <c r="AN67" s="162"/>
      <c r="AO67" s="162"/>
      <c r="AP67" s="163"/>
      <c r="AV67" s="75"/>
    </row>
    <row r="68" spans="1:48" s="64" customFormat="1" ht="11.25" customHeight="1" x14ac:dyDescent="0.15">
      <c r="D68" s="106">
        <v>9</v>
      </c>
      <c r="E68" s="164" t="s">
        <v>113</v>
      </c>
      <c r="F68" s="162"/>
      <c r="G68" s="162"/>
      <c r="H68" s="163"/>
      <c r="I68" s="213" t="s">
        <v>90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111</v>
      </c>
      <c r="AE68" s="162"/>
      <c r="AF68" s="162"/>
      <c r="AG68" s="163"/>
      <c r="AL68" s="175" t="s">
        <v>114</v>
      </c>
      <c r="AM68" s="162"/>
      <c r="AN68" s="162"/>
      <c r="AO68" s="162"/>
      <c r="AP68" s="163"/>
      <c r="AR68" s="92"/>
      <c r="AS68" s="92"/>
    </row>
    <row r="69" spans="1:48" s="63" customFormat="1" ht="22.5" customHeight="1" x14ac:dyDescent="0.15">
      <c r="D69" s="106">
        <v>10</v>
      </c>
      <c r="E69" s="175" t="s">
        <v>115</v>
      </c>
      <c r="F69" s="162"/>
      <c r="G69" s="162"/>
      <c r="H69" s="163"/>
      <c r="I69" s="213" t="s">
        <v>116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117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85</v>
      </c>
      <c r="AD69" s="175" t="s">
        <v>118</v>
      </c>
      <c r="AE69" s="162"/>
      <c r="AF69" s="162"/>
      <c r="AG69" s="163"/>
      <c r="AH69" s="92"/>
      <c r="AI69" s="92"/>
      <c r="AJ69" s="92"/>
      <c r="AK69" s="92"/>
      <c r="AL69" s="164" t="s">
        <v>119</v>
      </c>
      <c r="AM69" s="162"/>
      <c r="AN69" s="162"/>
      <c r="AO69" s="162"/>
      <c r="AP69" s="163"/>
      <c r="AQ69" s="92"/>
      <c r="AR69" s="92"/>
    </row>
    <row r="70" spans="1:48" s="64" customFormat="1" ht="22.5" customHeight="1" x14ac:dyDescent="0.15">
      <c r="D70" s="106">
        <v>11</v>
      </c>
      <c r="E70" s="175" t="s">
        <v>120</v>
      </c>
      <c r="F70" s="162"/>
      <c r="G70" s="162"/>
      <c r="H70" s="163"/>
      <c r="I70" s="213" t="s">
        <v>116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117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118</v>
      </c>
      <c r="AE70" s="162"/>
      <c r="AF70" s="162"/>
      <c r="AG70" s="163"/>
      <c r="AL70" s="164" t="s">
        <v>121</v>
      </c>
      <c r="AM70" s="162"/>
      <c r="AN70" s="162"/>
      <c r="AO70" s="162"/>
      <c r="AP70" s="163"/>
    </row>
    <row r="71" spans="1:48" x14ac:dyDescent="0.15">
      <c r="A71"/>
      <c r="D71" s="106">
        <v>12</v>
      </c>
      <c r="E71" s="164" t="s">
        <v>71</v>
      </c>
      <c r="F71" s="162"/>
      <c r="G71" s="162"/>
      <c r="H71" s="163"/>
      <c r="I71" s="213" t="s">
        <v>122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22</v>
      </c>
      <c r="AD71" s="175" t="s">
        <v>71</v>
      </c>
      <c r="AE71" s="162"/>
      <c r="AF71" s="162"/>
      <c r="AG71" s="163"/>
      <c r="AL71" s="238" t="s">
        <v>123</v>
      </c>
      <c r="AM71" s="162"/>
      <c r="AN71" s="162"/>
      <c r="AO71" s="162"/>
      <c r="AP71" s="163"/>
    </row>
    <row r="72" spans="1:48" ht="11.25" customHeight="1" x14ac:dyDescent="0.15"/>
    <row r="73" spans="1:48" x14ac:dyDescent="0.15">
      <c r="D73" s="64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100"/>
      <c r="Y73" s="100"/>
      <c r="Z73" s="100"/>
      <c r="AA73" s="100"/>
      <c r="AB73" s="96"/>
      <c r="AC73" s="96"/>
      <c r="AD73" s="96"/>
      <c r="AE73" s="96"/>
      <c r="AF73" s="96"/>
      <c r="AG73" s="96"/>
      <c r="AH73" s="96"/>
      <c r="AI73" s="96"/>
      <c r="AJ73" s="96"/>
      <c r="AK73" s="96"/>
    </row>
    <row r="74" spans="1:48" x14ac:dyDescent="0.15">
      <c r="C74" s="16" t="s">
        <v>42</v>
      </c>
      <c r="D74" s="64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100"/>
      <c r="Y74" s="100"/>
      <c r="Z74" s="100"/>
      <c r="AA74" s="100"/>
      <c r="AB74" s="96"/>
      <c r="AC74" s="96"/>
      <c r="AD74" s="96"/>
      <c r="AE74" s="96"/>
      <c r="AF74" s="96"/>
      <c r="AG74" s="96"/>
      <c r="AH74" s="96"/>
      <c r="AI74" s="96"/>
      <c r="AJ74" s="96"/>
      <c r="AK74" s="96"/>
    </row>
    <row r="75" spans="1:48" ht="11.25" customHeight="1" x14ac:dyDescent="0.15">
      <c r="AI75" s="96"/>
      <c r="AJ75" s="96"/>
    </row>
    <row r="76" spans="1:48" x14ac:dyDescent="0.15">
      <c r="D76" s="235" t="s">
        <v>13</v>
      </c>
      <c r="E76" s="200" t="s">
        <v>124</v>
      </c>
      <c r="F76" s="167"/>
      <c r="G76" s="167"/>
      <c r="H76" s="167"/>
      <c r="I76" s="167"/>
      <c r="J76" s="168"/>
      <c r="K76" s="200" t="s">
        <v>125</v>
      </c>
      <c r="L76" s="167"/>
      <c r="M76" s="167"/>
      <c r="N76" s="168"/>
      <c r="O76" s="209" t="s">
        <v>126</v>
      </c>
      <c r="P76" s="108" t="s">
        <v>127</v>
      </c>
      <c r="Q76" s="109"/>
      <c r="R76" s="109"/>
      <c r="S76" s="109"/>
      <c r="T76" s="109"/>
      <c r="U76" s="109"/>
      <c r="V76" s="200" t="s">
        <v>71</v>
      </c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8"/>
    </row>
    <row r="77" spans="1:48" x14ac:dyDescent="0.15">
      <c r="D77" s="210"/>
      <c r="E77" s="172"/>
      <c r="F77" s="173"/>
      <c r="G77" s="173"/>
      <c r="H77" s="173"/>
      <c r="I77" s="173"/>
      <c r="J77" s="174"/>
      <c r="K77" s="172"/>
      <c r="L77" s="173"/>
      <c r="M77" s="173"/>
      <c r="N77" s="174"/>
      <c r="O77" s="210"/>
      <c r="P77" s="110" t="s">
        <v>128</v>
      </c>
      <c r="Q77" s="110" t="s">
        <v>129</v>
      </c>
      <c r="R77" s="110" t="s">
        <v>130</v>
      </c>
      <c r="S77" s="110" t="s">
        <v>131</v>
      </c>
      <c r="T77" s="201" t="s">
        <v>132</v>
      </c>
      <c r="U77" s="163"/>
      <c r="V77" s="172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4"/>
    </row>
    <row r="78" spans="1:48" x14ac:dyDescent="0.15">
      <c r="D78" s="111">
        <v>1</v>
      </c>
      <c r="E78" s="214" t="s">
        <v>133</v>
      </c>
      <c r="F78" s="162"/>
      <c r="G78" s="162"/>
      <c r="H78" s="162"/>
      <c r="I78" s="162"/>
      <c r="J78" s="163"/>
      <c r="K78" s="215" t="s">
        <v>134</v>
      </c>
      <c r="L78" s="162"/>
      <c r="M78" s="162"/>
      <c r="N78" s="163"/>
      <c r="O78" s="105" t="s">
        <v>135</v>
      </c>
      <c r="P78" s="112" t="s">
        <v>22</v>
      </c>
      <c r="Q78" s="112" t="s">
        <v>85</v>
      </c>
      <c r="R78" s="112" t="s">
        <v>22</v>
      </c>
      <c r="S78" s="112" t="s">
        <v>22</v>
      </c>
      <c r="T78" s="207" t="s">
        <v>22</v>
      </c>
      <c r="U78" s="163"/>
      <c r="V78" s="215" t="s">
        <v>22</v>
      </c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3"/>
    </row>
    <row r="79" spans="1:48" x14ac:dyDescent="0.15">
      <c r="D79" s="101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</row>
    <row r="80" spans="1:48" x14ac:dyDescent="0.15">
      <c r="D80" s="64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R80" s="96"/>
      <c r="S80" s="96"/>
      <c r="T80" s="96"/>
      <c r="U80" s="96"/>
      <c r="V80" s="96"/>
      <c r="W80" s="96"/>
      <c r="X80" s="100"/>
      <c r="Y80" s="100"/>
      <c r="Z80" s="100"/>
      <c r="AA80" s="100"/>
      <c r="AB80" s="96"/>
      <c r="AC80" s="96"/>
      <c r="AD80" s="96"/>
      <c r="AE80" s="96"/>
      <c r="AF80" s="96"/>
      <c r="AG80" s="96"/>
      <c r="AH80" s="96"/>
      <c r="AI80" s="96"/>
      <c r="AJ80" s="96"/>
    </row>
    <row r="81" spans="3:36" x14ac:dyDescent="0.15">
      <c r="C81" s="16" t="s">
        <v>43</v>
      </c>
    </row>
    <row r="83" spans="3:36" ht="11.25" customHeight="1" x14ac:dyDescent="0.15">
      <c r="C83" s="75"/>
      <c r="D83" s="113" t="s">
        <v>13</v>
      </c>
      <c r="E83" s="246" t="s">
        <v>136</v>
      </c>
      <c r="F83" s="162"/>
      <c r="G83" s="162"/>
      <c r="H83" s="162"/>
      <c r="I83" s="162"/>
      <c r="J83" s="247"/>
      <c r="K83" s="226" t="s">
        <v>137</v>
      </c>
      <c r="L83" s="162"/>
      <c r="M83" s="162"/>
      <c r="N83" s="162"/>
      <c r="O83" s="162"/>
      <c r="P83" s="162"/>
      <c r="Q83" s="163"/>
      <c r="R83" s="197" t="s">
        <v>138</v>
      </c>
      <c r="S83" s="162"/>
      <c r="T83" s="162"/>
      <c r="U83" s="162"/>
      <c r="V83" s="162"/>
      <c r="W83" s="162"/>
      <c r="X83" s="162"/>
      <c r="Y83" s="163"/>
      <c r="Z83" s="198" t="s">
        <v>139</v>
      </c>
      <c r="AA83" s="162"/>
      <c r="AB83" s="162"/>
      <c r="AC83" s="162"/>
      <c r="AD83" s="163"/>
      <c r="AE83" s="222" t="s">
        <v>140</v>
      </c>
      <c r="AF83" s="223"/>
      <c r="AG83" s="223"/>
      <c r="AH83" s="224"/>
    </row>
    <row r="84" spans="3:36" ht="27" customHeight="1" x14ac:dyDescent="0.15">
      <c r="D84" s="106">
        <v>1</v>
      </c>
      <c r="E84" s="215" t="s">
        <v>141</v>
      </c>
      <c r="F84" s="162"/>
      <c r="G84" s="162"/>
      <c r="H84" s="162"/>
      <c r="I84" s="162"/>
      <c r="J84" s="163"/>
      <c r="K84" s="215" t="s">
        <v>142</v>
      </c>
      <c r="L84" s="162"/>
      <c r="M84" s="162"/>
      <c r="N84" s="162"/>
      <c r="O84" s="162"/>
      <c r="P84" s="162"/>
      <c r="Q84" s="163"/>
      <c r="R84" s="175" t="s">
        <v>143</v>
      </c>
      <c r="S84" s="162"/>
      <c r="T84" s="162"/>
      <c r="U84" s="162"/>
      <c r="V84" s="162"/>
      <c r="W84" s="162"/>
      <c r="X84" s="162"/>
      <c r="Y84" s="163"/>
      <c r="Z84" s="215" t="s">
        <v>22</v>
      </c>
      <c r="AA84" s="162"/>
      <c r="AB84" s="162"/>
      <c r="AC84" s="162"/>
      <c r="AD84" s="163"/>
      <c r="AE84" s="202" t="s">
        <v>144</v>
      </c>
      <c r="AF84" s="203"/>
      <c r="AG84" s="203"/>
      <c r="AH84" s="204"/>
    </row>
    <row r="85" spans="3:36" ht="27" customHeight="1" x14ac:dyDescent="0.15">
      <c r="D85" s="139">
        <v>2</v>
      </c>
      <c r="E85" s="234" t="s">
        <v>145</v>
      </c>
      <c r="F85" s="162"/>
      <c r="G85" s="162"/>
      <c r="H85" s="162"/>
      <c r="I85" s="162"/>
      <c r="J85" s="163"/>
      <c r="K85" s="234" t="s">
        <v>146</v>
      </c>
      <c r="L85" s="162"/>
      <c r="M85" s="162"/>
      <c r="N85" s="162"/>
      <c r="O85" s="162"/>
      <c r="P85" s="162"/>
      <c r="Q85" s="163"/>
      <c r="R85" s="234" t="s">
        <v>147</v>
      </c>
      <c r="S85" s="162"/>
      <c r="T85" s="162"/>
      <c r="U85" s="162"/>
      <c r="V85" s="162"/>
      <c r="W85" s="162"/>
      <c r="X85" s="162"/>
      <c r="Y85" s="163"/>
      <c r="Z85" s="234" t="s">
        <v>22</v>
      </c>
      <c r="AA85" s="162"/>
      <c r="AB85" s="162"/>
      <c r="AC85" s="162"/>
      <c r="AD85" s="163"/>
      <c r="AE85" s="237" t="s">
        <v>148</v>
      </c>
      <c r="AF85" s="203"/>
      <c r="AG85" s="203"/>
      <c r="AH85" s="204"/>
    </row>
    <row r="86" spans="3:36" ht="27" customHeight="1" x14ac:dyDescent="0.15">
      <c r="D86" s="106">
        <v>3</v>
      </c>
      <c r="E86" s="175" t="s">
        <v>149</v>
      </c>
      <c r="F86" s="162"/>
      <c r="G86" s="162"/>
      <c r="H86" s="162"/>
      <c r="I86" s="162"/>
      <c r="J86" s="163"/>
      <c r="K86" s="175" t="s">
        <v>150</v>
      </c>
      <c r="L86" s="162"/>
      <c r="M86" s="162"/>
      <c r="N86" s="162"/>
      <c r="O86" s="162"/>
      <c r="P86" s="162"/>
      <c r="Q86" s="163"/>
      <c r="R86" s="175" t="s">
        <v>151</v>
      </c>
      <c r="S86" s="162"/>
      <c r="T86" s="162"/>
      <c r="U86" s="162"/>
      <c r="V86" s="162"/>
      <c r="W86" s="162"/>
      <c r="X86" s="162"/>
      <c r="Y86" s="163"/>
      <c r="Z86" s="175" t="s">
        <v>152</v>
      </c>
      <c r="AA86" s="162"/>
      <c r="AB86" s="162"/>
      <c r="AC86" s="162"/>
      <c r="AD86" s="163"/>
      <c r="AE86" s="202" t="s">
        <v>144</v>
      </c>
      <c r="AF86" s="203"/>
      <c r="AG86" s="203"/>
      <c r="AH86" s="204"/>
    </row>
    <row r="87" spans="3:36" ht="27" customHeight="1" x14ac:dyDescent="0.15">
      <c r="D87" s="106">
        <v>4</v>
      </c>
      <c r="E87" s="175" t="s">
        <v>153</v>
      </c>
      <c r="F87" s="162"/>
      <c r="G87" s="162"/>
      <c r="H87" s="162"/>
      <c r="I87" s="162"/>
      <c r="J87" s="163"/>
      <c r="K87" s="175" t="s">
        <v>154</v>
      </c>
      <c r="L87" s="162"/>
      <c r="M87" s="162"/>
      <c r="N87" s="162"/>
      <c r="O87" s="162"/>
      <c r="P87" s="162"/>
      <c r="Q87" s="163"/>
      <c r="R87" s="175" t="s">
        <v>155</v>
      </c>
      <c r="S87" s="162"/>
      <c r="T87" s="162"/>
      <c r="U87" s="162"/>
      <c r="V87" s="162"/>
      <c r="W87" s="162"/>
      <c r="X87" s="162"/>
      <c r="Y87" s="163"/>
      <c r="Z87" s="175" t="s">
        <v>156</v>
      </c>
      <c r="AA87" s="162"/>
      <c r="AB87" s="162"/>
      <c r="AC87" s="162"/>
      <c r="AD87" s="163"/>
      <c r="AE87" s="202" t="s">
        <v>144</v>
      </c>
      <c r="AF87" s="203"/>
      <c r="AG87" s="203"/>
      <c r="AH87" s="204"/>
    </row>
    <row r="88" spans="3:36" x14ac:dyDescent="0.15">
      <c r="D88" s="95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3"/>
    </row>
    <row r="89" spans="3:36" x14ac:dyDescent="0.15">
      <c r="AE89" s="104"/>
      <c r="AF89" s="104"/>
      <c r="AG89" s="104"/>
    </row>
    <row r="90" spans="3:36" x14ac:dyDescent="0.15">
      <c r="C90" s="16" t="s">
        <v>44</v>
      </c>
      <c r="D90" s="29"/>
      <c r="E90" s="29"/>
      <c r="AE90" s="104"/>
      <c r="AG90" s="104"/>
    </row>
    <row r="91" spans="3:36" ht="11.25" customHeight="1" x14ac:dyDescent="0.15">
      <c r="D91" s="26" t="s">
        <v>157</v>
      </c>
      <c r="E91" s="29"/>
    </row>
    <row r="92" spans="3:36" ht="11.25" customHeight="1" x14ac:dyDescent="0.15">
      <c r="D92" s="29"/>
      <c r="E92" s="29"/>
    </row>
    <row r="93" spans="3:36" ht="11.25" customHeight="1" x14ac:dyDescent="0.15">
      <c r="D93" s="29"/>
      <c r="E93" s="29" t="s">
        <v>158</v>
      </c>
    </row>
    <row r="94" spans="3:36" x14ac:dyDescent="0.15">
      <c r="D94" s="29"/>
      <c r="E94" s="29"/>
      <c r="F94" s="29"/>
    </row>
    <row r="95" spans="3:36" ht="11.25" customHeight="1" x14ac:dyDescent="0.15">
      <c r="D95" s="29"/>
      <c r="E95" s="29"/>
      <c r="F95" s="16" t="s">
        <v>159</v>
      </c>
    </row>
    <row r="96" spans="3:36" x14ac:dyDescent="0.15"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96"/>
    </row>
    <row r="97" spans="4:58" ht="11.25" customHeight="1" x14ac:dyDescent="0.15">
      <c r="D97" s="29"/>
      <c r="E97" s="29"/>
    </row>
    <row r="98" spans="4:58" x14ac:dyDescent="0.15">
      <c r="E98" t="s">
        <v>160</v>
      </c>
    </row>
    <row r="99" spans="4:58" x14ac:dyDescent="0.15">
      <c r="F99" t="s">
        <v>161</v>
      </c>
    </row>
    <row r="101" spans="4:58" x14ac:dyDescent="0.15">
      <c r="G101" s="212" t="s">
        <v>162</v>
      </c>
      <c r="H101" s="162"/>
      <c r="I101" s="162"/>
      <c r="J101" s="162"/>
      <c r="K101" s="162"/>
      <c r="L101" s="162"/>
      <c r="M101" s="162"/>
      <c r="N101" s="162"/>
      <c r="O101" s="162"/>
      <c r="P101" s="163"/>
      <c r="Q101" s="236" t="s">
        <v>163</v>
      </c>
      <c r="R101" s="162"/>
      <c r="S101" s="162"/>
      <c r="T101" s="162"/>
      <c r="U101" s="162"/>
      <c r="V101" s="162"/>
      <c r="W101" s="162"/>
      <c r="X101" s="162"/>
      <c r="Y101" s="162"/>
      <c r="Z101" s="163"/>
    </row>
    <row r="102" spans="4:58" ht="11.25" customHeight="1" x14ac:dyDescent="0.15">
      <c r="G102" s="219" t="s">
        <v>133</v>
      </c>
      <c r="H102" s="167"/>
      <c r="I102" s="167"/>
      <c r="J102" s="167"/>
      <c r="K102" s="167"/>
      <c r="L102" s="167"/>
      <c r="M102" s="167"/>
      <c r="N102" s="167"/>
      <c r="O102" s="167"/>
      <c r="P102" s="168"/>
      <c r="Q102" s="214" t="s">
        <v>86</v>
      </c>
      <c r="R102" s="162"/>
      <c r="S102" s="162"/>
      <c r="T102" s="162"/>
      <c r="U102" s="162"/>
      <c r="V102" s="162"/>
      <c r="W102" s="162"/>
      <c r="X102" s="162"/>
      <c r="Y102" s="162"/>
      <c r="Z102" s="163"/>
      <c r="AG102" s="76"/>
      <c r="AH102" s="76"/>
    </row>
    <row r="103" spans="4:58" x14ac:dyDescent="0.15">
      <c r="G103" s="169"/>
      <c r="H103" s="220"/>
      <c r="I103" s="220"/>
      <c r="J103" s="220"/>
      <c r="K103" s="220"/>
      <c r="L103" s="220"/>
      <c r="M103" s="220"/>
      <c r="N103" s="220"/>
      <c r="O103" s="220"/>
      <c r="P103" s="171"/>
      <c r="Q103" s="214" t="s">
        <v>164</v>
      </c>
      <c r="R103" s="162"/>
      <c r="S103" s="162"/>
      <c r="T103" s="162"/>
      <c r="U103" s="162"/>
      <c r="V103" s="162"/>
      <c r="W103" s="162"/>
      <c r="X103" s="162"/>
      <c r="Y103" s="162"/>
      <c r="Z103" s="163"/>
      <c r="AC103" s="77"/>
      <c r="AD103" s="77"/>
      <c r="AE103" s="77"/>
      <c r="AF103" s="77"/>
      <c r="AG103" s="76"/>
      <c r="AH103" s="76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</row>
    <row r="104" spans="4:58" x14ac:dyDescent="0.15">
      <c r="G104" s="230" t="s">
        <v>165</v>
      </c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3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</row>
    <row r="105" spans="4:58" x14ac:dyDescent="0.15">
      <c r="G105" s="78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80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</row>
    <row r="106" spans="4:58" x14ac:dyDescent="0.15">
      <c r="G106" s="81"/>
      <c r="H106" s="132" t="s">
        <v>166</v>
      </c>
      <c r="I106" s="82"/>
      <c r="J106" s="82"/>
      <c r="K106" s="82"/>
      <c r="L106" s="83"/>
      <c r="M106" s="83" t="s">
        <v>167</v>
      </c>
      <c r="N106" s="82"/>
      <c r="O106" s="82"/>
      <c r="P106" s="132" t="s">
        <v>168</v>
      </c>
      <c r="Q106" s="82"/>
      <c r="R106" s="82"/>
      <c r="S106" s="82"/>
      <c r="T106" s="82"/>
      <c r="U106" s="82"/>
      <c r="V106" s="84"/>
      <c r="W106" s="82"/>
      <c r="X106" s="82"/>
      <c r="Y106" s="82"/>
      <c r="Z106" s="85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</row>
    <row r="107" spans="4:58" x14ac:dyDescent="0.15">
      <c r="G107" s="86"/>
      <c r="H107" s="87"/>
      <c r="I107" s="87"/>
      <c r="J107" s="87"/>
      <c r="K107" s="87"/>
      <c r="L107" s="88"/>
      <c r="M107" s="88"/>
      <c r="N107" s="87"/>
      <c r="O107" s="87"/>
      <c r="P107" s="87"/>
      <c r="Q107" s="87"/>
      <c r="R107" s="87"/>
      <c r="S107" s="87"/>
      <c r="T107" s="87"/>
      <c r="U107" s="87"/>
      <c r="V107" s="89"/>
      <c r="W107" s="87"/>
      <c r="X107" s="87"/>
      <c r="Y107" s="87"/>
      <c r="Z107" s="90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</row>
    <row r="108" spans="4:58" x14ac:dyDescent="0.15">
      <c r="G108" s="82"/>
      <c r="H108" s="82"/>
      <c r="I108" s="82"/>
      <c r="J108" s="82"/>
      <c r="K108" s="82"/>
      <c r="L108" s="83"/>
      <c r="M108" s="83"/>
      <c r="N108" s="82"/>
      <c r="O108" s="82"/>
      <c r="P108" s="82"/>
      <c r="Q108" s="82"/>
      <c r="R108" s="82"/>
      <c r="S108" s="82"/>
      <c r="T108" s="82"/>
      <c r="U108" s="82"/>
      <c r="V108" s="84"/>
      <c r="W108" s="82"/>
      <c r="X108" s="82"/>
      <c r="Y108" s="82"/>
      <c r="Z108" s="91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</row>
    <row r="109" spans="4:58" x14ac:dyDescent="0.15"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</row>
    <row r="110" spans="4:58" x14ac:dyDescent="0.15">
      <c r="E110" s="16" t="s">
        <v>169</v>
      </c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</row>
    <row r="111" spans="4:58" x14ac:dyDescent="0.15"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</row>
    <row r="112" spans="4:58" x14ac:dyDescent="0.15">
      <c r="E112" s="92"/>
      <c r="F112" s="44" t="s">
        <v>170</v>
      </c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</row>
    <row r="113" spans="4:58" x14ac:dyDescent="0.15">
      <c r="E113" s="92"/>
      <c r="F113" s="93"/>
      <c r="G113" s="44" t="s">
        <v>171</v>
      </c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</row>
    <row r="114" spans="4:58" x14ac:dyDescent="0.15">
      <c r="E114" s="44"/>
      <c r="G114" s="44" t="s">
        <v>172</v>
      </c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  <c r="BD114" s="143"/>
      <c r="BE114" s="143"/>
      <c r="BF114" s="143"/>
    </row>
    <row r="115" spans="4:58" x14ac:dyDescent="0.15">
      <c r="E115" s="92"/>
      <c r="F115" s="93"/>
      <c r="G115" s="44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</row>
    <row r="116" spans="4:58" x14ac:dyDescent="0.15">
      <c r="E116" s="92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</row>
    <row r="117" spans="4:58" ht="11.25" customHeight="1" x14ac:dyDescent="0.15">
      <c r="D117" s="26" t="s">
        <v>173</v>
      </c>
      <c r="E117" s="29"/>
    </row>
    <row r="118" spans="4:58" ht="11.25" customHeight="1" x14ac:dyDescent="0.15">
      <c r="D118" s="29"/>
      <c r="E118" s="29"/>
    </row>
    <row r="119" spans="4:58" ht="11.25" customHeight="1" x14ac:dyDescent="0.15">
      <c r="D119" s="29"/>
      <c r="E119" s="29" t="s">
        <v>158</v>
      </c>
    </row>
    <row r="120" spans="4:58" x14ac:dyDescent="0.15">
      <c r="D120" s="29"/>
      <c r="E120" s="29"/>
      <c r="F120" s="29"/>
    </row>
    <row r="121" spans="4:58" ht="11.25" customHeight="1" x14ac:dyDescent="0.15">
      <c r="D121" s="29"/>
      <c r="E121" s="29"/>
      <c r="F121" s="16" t="s">
        <v>159</v>
      </c>
    </row>
    <row r="122" spans="4:58" x14ac:dyDescent="0.15"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96"/>
    </row>
    <row r="123" spans="4:58" ht="11.25" customHeight="1" x14ac:dyDescent="0.15">
      <c r="D123" s="29"/>
      <c r="E123" s="29"/>
    </row>
    <row r="124" spans="4:58" x14ac:dyDescent="0.15">
      <c r="E124" t="s">
        <v>160</v>
      </c>
    </row>
    <row r="125" spans="4:58" x14ac:dyDescent="0.15">
      <c r="F125" t="s">
        <v>161</v>
      </c>
    </row>
    <row r="127" spans="4:58" x14ac:dyDescent="0.15">
      <c r="G127" s="212" t="s">
        <v>162</v>
      </c>
      <c r="H127" s="162"/>
      <c r="I127" s="162"/>
      <c r="J127" s="162"/>
      <c r="K127" s="162"/>
      <c r="L127" s="162"/>
      <c r="M127" s="162"/>
      <c r="N127" s="162"/>
      <c r="O127" s="162"/>
      <c r="P127" s="163"/>
      <c r="Q127" s="236" t="s">
        <v>163</v>
      </c>
      <c r="R127" s="162"/>
      <c r="S127" s="162"/>
      <c r="T127" s="162"/>
      <c r="U127" s="162"/>
      <c r="V127" s="162"/>
      <c r="W127" s="162"/>
      <c r="X127" s="162"/>
      <c r="Y127" s="162"/>
      <c r="Z127" s="163"/>
    </row>
    <row r="128" spans="4:58" ht="11.25" customHeight="1" x14ac:dyDescent="0.15">
      <c r="G128" s="219" t="s">
        <v>133</v>
      </c>
      <c r="H128" s="167"/>
      <c r="I128" s="167"/>
      <c r="J128" s="167"/>
      <c r="K128" s="167"/>
      <c r="L128" s="167"/>
      <c r="M128" s="167"/>
      <c r="N128" s="167"/>
      <c r="O128" s="167"/>
      <c r="P128" s="168"/>
      <c r="Q128" s="214" t="s">
        <v>86</v>
      </c>
      <c r="R128" s="162"/>
      <c r="S128" s="162"/>
      <c r="T128" s="162"/>
      <c r="U128" s="162"/>
      <c r="V128" s="162"/>
      <c r="W128" s="162"/>
      <c r="X128" s="162"/>
      <c r="Y128" s="162"/>
      <c r="Z128" s="163"/>
      <c r="AG128" s="76"/>
      <c r="AH128" s="76"/>
    </row>
    <row r="129" spans="4:58" x14ac:dyDescent="0.15">
      <c r="G129" s="169"/>
      <c r="H129" s="220"/>
      <c r="I129" s="220"/>
      <c r="J129" s="220"/>
      <c r="K129" s="220"/>
      <c r="L129" s="220"/>
      <c r="M129" s="220"/>
      <c r="N129" s="220"/>
      <c r="O129" s="220"/>
      <c r="P129" s="171"/>
      <c r="Q129" s="214" t="s">
        <v>164</v>
      </c>
      <c r="R129" s="162"/>
      <c r="S129" s="162"/>
      <c r="T129" s="162"/>
      <c r="U129" s="162"/>
      <c r="V129" s="162"/>
      <c r="W129" s="162"/>
      <c r="X129" s="162"/>
      <c r="Y129" s="162"/>
      <c r="Z129" s="163"/>
      <c r="AC129" s="77"/>
      <c r="AD129" s="77"/>
      <c r="AE129" s="77"/>
      <c r="AF129" s="77"/>
      <c r="AG129" s="76"/>
      <c r="AH129" s="76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</row>
    <row r="130" spans="4:58" x14ac:dyDescent="0.15">
      <c r="G130" s="230" t="s">
        <v>165</v>
      </c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3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</row>
    <row r="131" spans="4:58" x14ac:dyDescent="0.15">
      <c r="G131" s="7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80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</row>
    <row r="132" spans="4:58" x14ac:dyDescent="0.15">
      <c r="G132" s="81"/>
      <c r="H132" s="132" t="s">
        <v>166</v>
      </c>
      <c r="I132" s="82"/>
      <c r="J132" s="82"/>
      <c r="K132" s="82"/>
      <c r="L132" s="83"/>
      <c r="M132" s="83" t="s">
        <v>167</v>
      </c>
      <c r="N132" s="82"/>
      <c r="O132" s="82"/>
      <c r="P132" s="132" t="s">
        <v>174</v>
      </c>
      <c r="Q132" s="82"/>
      <c r="R132" s="82"/>
      <c r="S132" s="82"/>
      <c r="T132" s="82"/>
      <c r="U132" s="82"/>
      <c r="V132" s="84"/>
      <c r="W132" s="82"/>
      <c r="X132" s="82"/>
      <c r="Y132" s="82"/>
      <c r="Z132" s="85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</row>
    <row r="133" spans="4:58" x14ac:dyDescent="0.15">
      <c r="G133" s="86"/>
      <c r="H133" s="87"/>
      <c r="I133" s="87"/>
      <c r="J133" s="87"/>
      <c r="K133" s="87"/>
      <c r="L133" s="88"/>
      <c r="M133" s="88"/>
      <c r="N133" s="87"/>
      <c r="O133" s="87"/>
      <c r="P133" s="87"/>
      <c r="Q133" s="87"/>
      <c r="R133" s="87"/>
      <c r="S133" s="87"/>
      <c r="T133" s="87"/>
      <c r="U133" s="87"/>
      <c r="V133" s="89"/>
      <c r="W133" s="87"/>
      <c r="X133" s="87"/>
      <c r="Y133" s="87"/>
      <c r="Z133" s="90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</row>
    <row r="134" spans="4:58" x14ac:dyDescent="0.15">
      <c r="G134" s="82"/>
      <c r="H134" s="82"/>
      <c r="I134" s="82"/>
      <c r="J134" s="82"/>
      <c r="K134" s="82"/>
      <c r="L134" s="83"/>
      <c r="M134" s="83"/>
      <c r="N134" s="82"/>
      <c r="O134" s="82"/>
      <c r="P134" s="82"/>
      <c r="Q134" s="82"/>
      <c r="R134" s="82"/>
      <c r="S134" s="82"/>
      <c r="T134" s="82"/>
      <c r="U134" s="82"/>
      <c r="V134" s="84"/>
      <c r="W134" s="82"/>
      <c r="X134" s="82"/>
      <c r="Y134" s="82"/>
      <c r="Z134" s="91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</row>
    <row r="135" spans="4:58" x14ac:dyDescent="0.15"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</row>
    <row r="136" spans="4:58" x14ac:dyDescent="0.15">
      <c r="E136" s="16" t="s">
        <v>169</v>
      </c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</row>
    <row r="137" spans="4:58" x14ac:dyDescent="0.15"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</row>
    <row r="138" spans="4:58" x14ac:dyDescent="0.15">
      <c r="E138" s="92"/>
      <c r="F138" s="44" t="s">
        <v>175</v>
      </c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</row>
    <row r="139" spans="4:58" x14ac:dyDescent="0.15">
      <c r="E139" s="92"/>
      <c r="F139" s="93"/>
      <c r="G139" s="44" t="s">
        <v>176</v>
      </c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</row>
    <row r="140" spans="4:58" x14ac:dyDescent="0.15">
      <c r="E140" s="44"/>
      <c r="G140" s="44" t="s">
        <v>172</v>
      </c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  <c r="BD140" s="143"/>
      <c r="BE140" s="143"/>
      <c r="BF140" s="143"/>
    </row>
    <row r="141" spans="4:58" x14ac:dyDescent="0.15">
      <c r="E141" s="92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</row>
    <row r="142" spans="4:58" ht="11.25" customHeight="1" x14ac:dyDescent="0.15">
      <c r="D142" s="26" t="s">
        <v>177</v>
      </c>
      <c r="E142" s="29"/>
    </row>
    <row r="143" spans="4:58" ht="11.25" customHeight="1" x14ac:dyDescent="0.15">
      <c r="D143" s="29"/>
      <c r="E143" s="29"/>
    </row>
    <row r="144" spans="4:58" ht="11.25" customHeight="1" x14ac:dyDescent="0.15">
      <c r="D144" s="29"/>
      <c r="E144" s="26" t="s">
        <v>158</v>
      </c>
    </row>
    <row r="145" spans="4:58" x14ac:dyDescent="0.15">
      <c r="D145" s="29"/>
      <c r="E145" s="29"/>
      <c r="F145" s="29"/>
    </row>
    <row r="146" spans="4:58" ht="11.25" customHeight="1" x14ac:dyDescent="0.15">
      <c r="D146" s="29"/>
      <c r="E146" s="29"/>
      <c r="F146" s="16" t="s">
        <v>159</v>
      </c>
    </row>
    <row r="147" spans="4:58" x14ac:dyDescent="0.15"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96"/>
    </row>
    <row r="148" spans="4:58" ht="11.25" customHeight="1" x14ac:dyDescent="0.15">
      <c r="D148" s="29"/>
      <c r="E148" s="29"/>
    </row>
    <row r="149" spans="4:58" x14ac:dyDescent="0.15">
      <c r="E149" t="s">
        <v>178</v>
      </c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</row>
    <row r="150" spans="4:58" x14ac:dyDescent="0.15"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</row>
    <row r="151" spans="4:58" x14ac:dyDescent="0.15">
      <c r="E151" s="92"/>
      <c r="F151" s="44" t="s">
        <v>179</v>
      </c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</row>
    <row r="152" spans="4:58" x14ac:dyDescent="0.15">
      <c r="E152" s="92"/>
      <c r="F152" s="93"/>
      <c r="G152" s="44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</row>
    <row r="153" spans="4:58" x14ac:dyDescent="0.15">
      <c r="E153" s="92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</row>
    <row r="154" spans="4:58" x14ac:dyDescent="0.15">
      <c r="D154" s="26" t="s">
        <v>180</v>
      </c>
      <c r="E154" s="29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</row>
    <row r="155" spans="4:58" x14ac:dyDescent="0.15">
      <c r="E155" s="29" t="s">
        <v>158</v>
      </c>
      <c r="F155" s="29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</row>
    <row r="156" spans="4:58" x14ac:dyDescent="0.15">
      <c r="E156" s="29"/>
      <c r="F156" s="29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</row>
    <row r="157" spans="4:58" ht="41.25" customHeight="1" x14ac:dyDescent="0.15">
      <c r="E157" s="29"/>
      <c r="F157" s="115" t="s">
        <v>13</v>
      </c>
      <c r="G157" s="197" t="s">
        <v>181</v>
      </c>
      <c r="H157" s="162"/>
      <c r="I157" s="162"/>
      <c r="J157" s="162"/>
      <c r="K157" s="162"/>
      <c r="L157" s="163"/>
      <c r="M157" s="228" t="s">
        <v>182</v>
      </c>
      <c r="N157" s="162"/>
      <c r="O157" s="162"/>
      <c r="P157" s="162"/>
      <c r="Q157" s="162"/>
      <c r="R157" s="162"/>
      <c r="S157" s="162"/>
      <c r="T157" s="162"/>
      <c r="U157" s="162"/>
      <c r="V157" s="163"/>
      <c r="W157" s="232" t="s">
        <v>183</v>
      </c>
      <c r="X157" s="162"/>
      <c r="Y157" s="163"/>
      <c r="Z157" s="232" t="s">
        <v>184</v>
      </c>
      <c r="AA157" s="162"/>
      <c r="AB157" s="162"/>
      <c r="AC157" s="163"/>
      <c r="AD157" s="208" t="s">
        <v>185</v>
      </c>
      <c r="AE157" s="162"/>
      <c r="AF157" s="162"/>
      <c r="AG157" s="163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</row>
    <row r="158" spans="4:58" ht="47.25" customHeight="1" x14ac:dyDescent="0.15">
      <c r="E158" s="29"/>
      <c r="F158" s="116">
        <v>1</v>
      </c>
      <c r="G158" s="229" t="s">
        <v>186</v>
      </c>
      <c r="H158" s="162"/>
      <c r="I158" s="162"/>
      <c r="J158" s="162"/>
      <c r="K158" s="162"/>
      <c r="L158" s="163"/>
      <c r="M158" s="205" t="s">
        <v>187</v>
      </c>
      <c r="N158" s="162"/>
      <c r="O158" s="162"/>
      <c r="P158" s="162"/>
      <c r="Q158" s="162"/>
      <c r="R158" s="162"/>
      <c r="S158" s="162"/>
      <c r="T158" s="162"/>
      <c r="U158" s="162"/>
      <c r="V158" s="163"/>
      <c r="W158" s="206" t="s">
        <v>188</v>
      </c>
      <c r="X158" s="162"/>
      <c r="Y158" s="163"/>
      <c r="Z158" s="205" t="s">
        <v>188</v>
      </c>
      <c r="AA158" s="162"/>
      <c r="AB158" s="162"/>
      <c r="AC158" s="163"/>
      <c r="AD158" s="205" t="s">
        <v>189</v>
      </c>
      <c r="AE158" s="162"/>
      <c r="AF158" s="162"/>
      <c r="AG158" s="163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</row>
    <row r="159" spans="4:58" ht="62.25" customHeight="1" x14ac:dyDescent="0.15">
      <c r="E159" s="29"/>
      <c r="F159" s="116">
        <v>2</v>
      </c>
      <c r="G159" s="211" t="s">
        <v>190</v>
      </c>
      <c r="H159" s="162"/>
      <c r="I159" s="162"/>
      <c r="J159" s="162"/>
      <c r="K159" s="162"/>
      <c r="L159" s="163"/>
      <c r="M159" s="221" t="s">
        <v>191</v>
      </c>
      <c r="N159" s="162"/>
      <c r="O159" s="162"/>
      <c r="P159" s="162"/>
      <c r="Q159" s="162"/>
      <c r="R159" s="162"/>
      <c r="S159" s="162"/>
      <c r="T159" s="162"/>
      <c r="U159" s="162"/>
      <c r="V159" s="163"/>
      <c r="W159" s="206" t="s">
        <v>192</v>
      </c>
      <c r="X159" s="162"/>
      <c r="Y159" s="163"/>
      <c r="Z159" s="205" t="s">
        <v>193</v>
      </c>
      <c r="AA159" s="162"/>
      <c r="AB159" s="162"/>
      <c r="AC159" s="163"/>
      <c r="AD159" s="221" t="s">
        <v>189</v>
      </c>
      <c r="AE159" s="162"/>
      <c r="AF159" s="162"/>
      <c r="AG159" s="163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</row>
    <row r="160" spans="4:58" x14ac:dyDescent="0.15">
      <c r="E160" s="29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</row>
    <row r="161" spans="5:58" x14ac:dyDescent="0.15">
      <c r="E161" s="29"/>
      <c r="F161" t="s">
        <v>194</v>
      </c>
    </row>
    <row r="162" spans="5:58" x14ac:dyDescent="0.15">
      <c r="E162" s="29"/>
      <c r="F162" s="29"/>
    </row>
    <row r="163" spans="5:58" x14ac:dyDescent="0.15">
      <c r="E163" t="s">
        <v>160</v>
      </c>
    </row>
    <row r="164" spans="5:58" x14ac:dyDescent="0.15">
      <c r="F164" t="s">
        <v>161</v>
      </c>
    </row>
    <row r="165" spans="5:58" x14ac:dyDescent="0.15">
      <c r="G165" t="s">
        <v>195</v>
      </c>
    </row>
    <row r="166" spans="5:58" x14ac:dyDescent="0.15">
      <c r="G166" t="s">
        <v>196</v>
      </c>
    </row>
    <row r="168" spans="5:58" x14ac:dyDescent="0.15">
      <c r="G168" s="233" t="s">
        <v>162</v>
      </c>
      <c r="H168" s="162"/>
      <c r="I168" s="162"/>
      <c r="J168" s="162"/>
      <c r="K168" s="162"/>
      <c r="L168" s="162"/>
      <c r="M168" s="162"/>
      <c r="N168" s="162"/>
      <c r="O168" s="162"/>
      <c r="P168" s="163"/>
      <c r="Q168" s="241" t="s">
        <v>163</v>
      </c>
      <c r="R168" s="162"/>
      <c r="S168" s="162"/>
      <c r="T168" s="162"/>
      <c r="U168" s="162"/>
      <c r="V168" s="162"/>
      <c r="W168" s="162"/>
      <c r="X168" s="162"/>
      <c r="Y168" s="162"/>
      <c r="Z168" s="163"/>
    </row>
    <row r="169" spans="5:58" ht="11.25" customHeight="1" x14ac:dyDescent="0.15">
      <c r="G169" s="219" t="s">
        <v>133</v>
      </c>
      <c r="H169" s="167"/>
      <c r="I169" s="167"/>
      <c r="J169" s="167"/>
      <c r="K169" s="167"/>
      <c r="L169" s="167"/>
      <c r="M169" s="167"/>
      <c r="N169" s="167"/>
      <c r="O169" s="167"/>
      <c r="P169" s="168"/>
      <c r="Q169" s="214" t="s">
        <v>164</v>
      </c>
      <c r="R169" s="162"/>
      <c r="S169" s="162"/>
      <c r="T169" s="162"/>
      <c r="U169" s="162"/>
      <c r="V169" s="162"/>
      <c r="W169" s="162"/>
      <c r="X169" s="162"/>
      <c r="Y169" s="162"/>
      <c r="Z169" s="163"/>
      <c r="AG169" s="144"/>
      <c r="AH169" s="144"/>
    </row>
    <row r="170" spans="5:58" x14ac:dyDescent="0.15">
      <c r="G170" s="242" t="s">
        <v>165</v>
      </c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  <c r="BD170" s="143"/>
      <c r="BE170" s="143"/>
      <c r="BF170" s="143"/>
    </row>
    <row r="171" spans="5:58" x14ac:dyDescent="0.15">
      <c r="G171" s="145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7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  <c r="BD171" s="143"/>
      <c r="BE171" s="143"/>
      <c r="BF171" s="143"/>
    </row>
    <row r="172" spans="5:58" x14ac:dyDescent="0.15">
      <c r="G172" s="148"/>
      <c r="H172" s="132" t="s">
        <v>197</v>
      </c>
      <c r="I172" s="132"/>
      <c r="J172" s="132"/>
      <c r="K172" s="132"/>
      <c r="L172" s="149"/>
      <c r="M172" s="149" t="s">
        <v>167</v>
      </c>
      <c r="N172" s="132"/>
      <c r="O172" s="132"/>
      <c r="P172" s="132" t="s">
        <v>198</v>
      </c>
      <c r="Q172" s="132"/>
      <c r="R172" s="132"/>
      <c r="S172" s="132"/>
      <c r="T172" s="132"/>
      <c r="U172" s="132"/>
      <c r="V172" s="150"/>
      <c r="W172" s="132"/>
      <c r="X172" s="132"/>
      <c r="Y172" s="132"/>
      <c r="Z172" s="151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  <c r="BD172" s="143"/>
      <c r="BE172" s="143"/>
      <c r="BF172" s="143"/>
    </row>
    <row r="173" spans="5:58" x14ac:dyDescent="0.15">
      <c r="G173" s="152"/>
      <c r="H173" s="153"/>
      <c r="I173" s="153"/>
      <c r="J173" s="153"/>
      <c r="K173" s="153"/>
      <c r="L173" s="154"/>
      <c r="M173" s="154"/>
      <c r="N173" s="153"/>
      <c r="O173" s="153"/>
      <c r="P173" s="153"/>
      <c r="Q173" s="153"/>
      <c r="R173" s="153"/>
      <c r="S173" s="153"/>
      <c r="T173" s="153"/>
      <c r="U173" s="153"/>
      <c r="V173" s="155"/>
      <c r="W173" s="153"/>
      <c r="X173" s="153"/>
      <c r="Y173" s="153"/>
      <c r="Z173" s="156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  <c r="BD173" s="143"/>
      <c r="BE173" s="143"/>
      <c r="BF173" s="143"/>
    </row>
    <row r="174" spans="5:58" x14ac:dyDescent="0.15">
      <c r="G174" s="132"/>
      <c r="H174" s="132"/>
      <c r="I174" s="132"/>
      <c r="J174" s="132"/>
      <c r="K174" s="132"/>
      <c r="L174" s="149"/>
      <c r="M174" s="149"/>
      <c r="N174" s="132"/>
      <c r="O174" s="132"/>
      <c r="P174" s="132"/>
      <c r="Q174" s="132"/>
      <c r="R174" s="132"/>
      <c r="S174" s="132"/>
      <c r="T174" s="132"/>
      <c r="U174" s="132"/>
      <c r="V174" s="150"/>
      <c r="W174" s="132"/>
      <c r="X174" s="132"/>
      <c r="Y174" s="132"/>
      <c r="Z174" s="157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  <c r="BD174" s="143"/>
      <c r="BE174" s="143"/>
      <c r="BF174" s="143"/>
    </row>
    <row r="175" spans="5:58" x14ac:dyDescent="0.15">
      <c r="F175" t="s">
        <v>199</v>
      </c>
      <c r="G175" s="132"/>
      <c r="H175" s="132"/>
      <c r="I175" s="132"/>
      <c r="J175" s="132"/>
      <c r="K175" s="132"/>
      <c r="L175" s="149"/>
      <c r="M175" s="149"/>
      <c r="N175" s="132"/>
      <c r="O175" s="132"/>
      <c r="P175" s="132"/>
      <c r="Q175" s="132"/>
      <c r="R175" s="132"/>
      <c r="S175" s="132"/>
      <c r="T175" s="132"/>
      <c r="U175" s="132"/>
      <c r="V175" s="150"/>
      <c r="W175" s="132"/>
      <c r="X175" s="132"/>
      <c r="Y175" s="132"/>
      <c r="Z175" s="157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  <c r="BD175" s="143"/>
      <c r="BE175" s="143"/>
      <c r="BF175" s="143"/>
    </row>
    <row r="176" spans="5:58" x14ac:dyDescent="0.15">
      <c r="E176" s="26"/>
      <c r="F176" s="26"/>
    </row>
    <row r="177" spans="5:38" x14ac:dyDescent="0.15">
      <c r="E177" s="29"/>
      <c r="F177" s="29"/>
    </row>
    <row r="178" spans="5:38" x14ac:dyDescent="0.15">
      <c r="E178" s="50" t="s">
        <v>200</v>
      </c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</row>
    <row r="179" spans="5:38" x14ac:dyDescent="0.15">
      <c r="E179" s="64"/>
      <c r="F179" s="44" t="s">
        <v>201</v>
      </c>
      <c r="G179" s="92"/>
      <c r="H179" s="92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</row>
  </sheetData>
  <mergeCells count="187"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Q102:Z102"/>
    <mergeCell ref="AA3:AB3"/>
    <mergeCell ref="E60:H60"/>
    <mergeCell ref="E69:H69"/>
    <mergeCell ref="N50:P50"/>
    <mergeCell ref="Z87:AD87"/>
    <mergeCell ref="G127:P127"/>
    <mergeCell ref="E76:J77"/>
    <mergeCell ref="U67:Y67"/>
    <mergeCell ref="V50:AC50"/>
    <mergeCell ref="N51:P51"/>
    <mergeCell ref="W158:Y158"/>
    <mergeCell ref="E83:J83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68:H68"/>
    <mergeCell ref="AE85:AH85"/>
    <mergeCell ref="W157:Y157"/>
    <mergeCell ref="AD64:AG64"/>
    <mergeCell ref="U66:Y66"/>
    <mergeCell ref="I64:L64"/>
    <mergeCell ref="AD66:AG66"/>
    <mergeCell ref="E84:J84"/>
    <mergeCell ref="E78:J78"/>
    <mergeCell ref="M67:T67"/>
    <mergeCell ref="I63:L63"/>
    <mergeCell ref="E86:J86"/>
    <mergeCell ref="U70:Y70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E56:AC56"/>
    <mergeCell ref="AG3:AI3"/>
    <mergeCell ref="Q50:U50"/>
    <mergeCell ref="AA1:AB1"/>
    <mergeCell ref="I57:L58"/>
    <mergeCell ref="Q168:Z168"/>
    <mergeCell ref="AL67:AP67"/>
    <mergeCell ref="AD70:AG70"/>
    <mergeCell ref="AD65:AG65"/>
    <mergeCell ref="M66:T66"/>
    <mergeCell ref="I67:L67"/>
    <mergeCell ref="E51:M5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G104:Z104"/>
    <mergeCell ref="U62:Y62"/>
    <mergeCell ref="M61:T61"/>
    <mergeCell ref="I71:L71"/>
    <mergeCell ref="M62:T62"/>
    <mergeCell ref="AL58:AP58"/>
    <mergeCell ref="U64:Y64"/>
    <mergeCell ref="AC57:AC58"/>
    <mergeCell ref="Z61:AB61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V51:AC51"/>
    <mergeCell ref="E50:M50"/>
    <mergeCell ref="A3:D3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AL66:AP66"/>
    <mergeCell ref="Z69:AB69"/>
    <mergeCell ref="AD67:AG67"/>
    <mergeCell ref="O76:O77"/>
    <mergeCell ref="E64:H64"/>
    <mergeCell ref="Z83:AD83"/>
    <mergeCell ref="AL68:AP68"/>
    <mergeCell ref="AD69:AG69"/>
    <mergeCell ref="U71:Y71"/>
    <mergeCell ref="E63:H63"/>
    <mergeCell ref="G101:P101"/>
    <mergeCell ref="I66:L66"/>
    <mergeCell ref="Q103:Z103"/>
    <mergeCell ref="E65:H65"/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Z60:AB60"/>
    <mergeCell ref="G159:L159"/>
    <mergeCell ref="AD60:AG60"/>
    <mergeCell ref="E57:H58"/>
    <mergeCell ref="AA2:AB2"/>
    <mergeCell ref="Z70:AB70"/>
    <mergeCell ref="M158:V158"/>
    <mergeCell ref="O1:R3"/>
    <mergeCell ref="Z84:AD84"/>
    <mergeCell ref="U63:Y63"/>
    <mergeCell ref="AD159:AG159"/>
    <mergeCell ref="M157:V157"/>
    <mergeCell ref="G158:L158"/>
    <mergeCell ref="AG1:AI1"/>
    <mergeCell ref="AD158:AG158"/>
  </mergeCells>
  <phoneticPr fontId="10"/>
  <dataValidations disablePrompts="1" count="5">
    <dataValidation type="list" allowBlank="1" showInputMessage="1" showErrorMessage="1" sqref="N51:P51" xr:uid="{00000000-0002-0000-0400-000000000000}">
      <formula1>"-,有,無"</formula1>
    </dataValidation>
    <dataValidation type="list" allowBlank="1" showInputMessage="1" showErrorMessage="1" sqref="P78:U78 AC60:AC71" xr:uid="{00000000-0002-0000-0400-000001000000}">
      <formula1>"-,○"</formula1>
    </dataValidation>
    <dataValidation type="list" allowBlank="1" showInputMessage="1" showErrorMessage="1" sqref="I60:I71" xr:uid="{00000000-0002-0000-0400-000002000000}">
      <formula1>画面項目種類</formula1>
    </dataValidation>
    <dataValidation type="list" allowBlank="1" showInputMessage="1" showErrorMessage="1" sqref="K78:N78" xr:uid="{00000000-0002-0000-0400-000003000000}">
      <formula1>種別一覧</formula1>
    </dataValidation>
    <dataValidation type="list" allowBlank="1" showInputMessage="1" showErrorMessage="1" sqref="O78" xr:uid="{00000000-0002-0000-04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4" manualBreakCount="4">
    <brk id="46" max="34" man="1"/>
    <brk id="72" max="34" man="1"/>
    <brk id="115" max="34" man="1"/>
    <brk id="153" max="34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BF13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9" width="4.83203125" style="16" customWidth="1"/>
    <col min="10" max="16384" width="4.83203125" style="16"/>
  </cols>
  <sheetData>
    <row r="1" spans="1:36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6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6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6" ht="12" customHeight="1" x14ac:dyDescent="0.15"/>
    <row r="5" spans="1:36" ht="12" customHeight="1" x14ac:dyDescent="0.15">
      <c r="B5" s="50" t="s">
        <v>45</v>
      </c>
    </row>
    <row r="6" spans="1:36" ht="12" customHeight="1" x14ac:dyDescent="0.15">
      <c r="C6" s="16" t="s">
        <v>46</v>
      </c>
    </row>
    <row r="7" spans="1:36" ht="12" customHeight="1" x14ac:dyDescent="0.15">
      <c r="AJ7" s="140"/>
    </row>
    <row r="8" spans="1:36" ht="12" customHeight="1" x14ac:dyDescent="0.15"/>
    <row r="9" spans="1:36" ht="12" customHeight="1" x14ac:dyDescent="0.15"/>
    <row r="10" spans="1:36" ht="12" customHeight="1" x14ac:dyDescent="0.15"/>
    <row r="11" spans="1:36" ht="12" customHeight="1" x14ac:dyDescent="0.15"/>
    <row r="12" spans="1:36" ht="12" customHeight="1" x14ac:dyDescent="0.15"/>
    <row r="13" spans="1:36" ht="12" customHeight="1" x14ac:dyDescent="0.15"/>
    <row r="14" spans="1:36" ht="12" customHeight="1" x14ac:dyDescent="0.15"/>
    <row r="15" spans="1:36" ht="12" customHeight="1" x14ac:dyDescent="0.15"/>
    <row r="16" spans="1:36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/>
    <row r="35" spans="3:53" ht="12" customHeight="1" x14ac:dyDescent="0.15"/>
    <row r="36" spans="3:53" ht="12" customHeight="1" x14ac:dyDescent="0.15"/>
    <row r="37" spans="3:53" ht="12" customHeight="1" x14ac:dyDescent="0.15"/>
    <row r="38" spans="3:53" ht="12" customHeight="1" x14ac:dyDescent="0.15"/>
    <row r="39" spans="3:53" ht="12" customHeight="1" x14ac:dyDescent="0.15"/>
    <row r="40" spans="3:53" ht="12" customHeight="1" x14ac:dyDescent="0.15">
      <c r="C40" t="s">
        <v>47</v>
      </c>
    </row>
    <row r="41" spans="3:53" ht="12" customHeight="1" x14ac:dyDescent="0.15"/>
    <row r="42" spans="3:53" ht="12" customHeight="1" x14ac:dyDescent="0.15">
      <c r="D42" s="97" t="s">
        <v>13</v>
      </c>
      <c r="E42" s="253" t="s">
        <v>68</v>
      </c>
      <c r="F42" s="223"/>
      <c r="G42" s="223"/>
      <c r="H42" s="223"/>
      <c r="I42" s="223"/>
      <c r="J42" s="223"/>
      <c r="K42" s="223"/>
      <c r="L42" s="223"/>
      <c r="M42" s="224"/>
      <c r="N42" s="231" t="s">
        <v>69</v>
      </c>
      <c r="O42" s="223"/>
      <c r="P42" s="224"/>
      <c r="Q42" s="231" t="s">
        <v>70</v>
      </c>
      <c r="R42" s="223"/>
      <c r="S42" s="223"/>
      <c r="T42" s="223"/>
      <c r="U42" s="224"/>
      <c r="V42" s="253" t="s">
        <v>71</v>
      </c>
      <c r="W42" s="223"/>
      <c r="X42" s="223"/>
      <c r="Y42" s="223"/>
      <c r="Z42" s="223"/>
      <c r="AA42" s="223"/>
      <c r="AB42" s="223"/>
      <c r="AC42" s="224"/>
    </row>
    <row r="43" spans="3:53" ht="12" customHeight="1" x14ac:dyDescent="0.15">
      <c r="D43" s="124">
        <v>1</v>
      </c>
      <c r="E43" s="244" t="s">
        <v>142</v>
      </c>
      <c r="F43" s="203"/>
      <c r="G43" s="203"/>
      <c r="H43" s="203"/>
      <c r="I43" s="203"/>
      <c r="J43" s="203"/>
      <c r="K43" s="203"/>
      <c r="L43" s="203"/>
      <c r="M43" s="204"/>
      <c r="N43" s="244" t="s">
        <v>142</v>
      </c>
      <c r="O43" s="203"/>
      <c r="P43" s="204"/>
      <c r="Q43" s="244" t="s">
        <v>142</v>
      </c>
      <c r="R43" s="203"/>
      <c r="S43" s="203"/>
      <c r="T43" s="203"/>
      <c r="U43" s="204"/>
      <c r="V43" s="244" t="s">
        <v>22</v>
      </c>
      <c r="W43" s="203"/>
      <c r="X43" s="203"/>
      <c r="Y43" s="203"/>
      <c r="Z43" s="203"/>
      <c r="AA43" s="203"/>
      <c r="AB43" s="203"/>
      <c r="AC43" s="204"/>
    </row>
    <row r="44" spans="3:53" ht="11.25" customHeight="1" x14ac:dyDescent="0.15"/>
    <row r="45" spans="3:53" x14ac:dyDescent="0.15">
      <c r="C45" t="s">
        <v>48</v>
      </c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</row>
    <row r="46" spans="3:53" s="63" customFormat="1" x14ac:dyDescent="0.15"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</row>
    <row r="47" spans="3:53" s="63" customFormat="1" x14ac:dyDescent="0.15">
      <c r="D47" s="141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</row>
    <row r="48" spans="3:53" s="63" customFormat="1" x14ac:dyDescent="0.15">
      <c r="D48" s="198" t="s">
        <v>13</v>
      </c>
      <c r="E48" s="198" t="s">
        <v>72</v>
      </c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3"/>
      <c r="AD48" s="198" t="s">
        <v>73</v>
      </c>
      <c r="AE48" s="167"/>
      <c r="AF48" s="167"/>
      <c r="AG48" s="168"/>
      <c r="AH48" s="92"/>
      <c r="AI48" s="92"/>
      <c r="AJ48" s="92"/>
      <c r="AK48" s="44" t="s">
        <v>74</v>
      </c>
      <c r="AL48" s="92"/>
      <c r="AM48" s="92"/>
      <c r="AN48" s="92"/>
    </row>
    <row r="49" spans="4:48" s="63" customFormat="1" ht="11.25" customHeight="1" x14ac:dyDescent="0.15">
      <c r="D49" s="218"/>
      <c r="E49" s="198" t="s">
        <v>75</v>
      </c>
      <c r="F49" s="167"/>
      <c r="G49" s="167"/>
      <c r="H49" s="168"/>
      <c r="I49" s="240" t="s">
        <v>76</v>
      </c>
      <c r="J49" s="167"/>
      <c r="K49" s="167"/>
      <c r="L49" s="168"/>
      <c r="M49" s="225" t="s">
        <v>77</v>
      </c>
      <c r="N49" s="167"/>
      <c r="O49" s="167"/>
      <c r="P49" s="167"/>
      <c r="Q49" s="167"/>
      <c r="R49" s="167"/>
      <c r="S49" s="167"/>
      <c r="T49" s="168"/>
      <c r="U49" s="198" t="s">
        <v>78</v>
      </c>
      <c r="V49" s="167"/>
      <c r="W49" s="167"/>
      <c r="X49" s="167"/>
      <c r="Y49" s="168"/>
      <c r="Z49" s="198" t="s">
        <v>79</v>
      </c>
      <c r="AA49" s="167"/>
      <c r="AB49" s="168"/>
      <c r="AC49" s="198" t="s">
        <v>80</v>
      </c>
      <c r="AD49" s="169"/>
      <c r="AE49" s="199"/>
      <c r="AF49" s="199"/>
      <c r="AG49" s="171"/>
      <c r="AH49" s="92"/>
      <c r="AI49" s="92"/>
      <c r="AJ49" s="92"/>
      <c r="AK49" s="92"/>
      <c r="AL49" s="44"/>
      <c r="AM49" s="92"/>
      <c r="AN49" s="92"/>
      <c r="AO49" s="92"/>
      <c r="AP49" s="92"/>
      <c r="AQ49" s="92"/>
      <c r="AR49" s="92"/>
      <c r="AS49" s="92"/>
      <c r="AT49" s="92"/>
    </row>
    <row r="50" spans="4:48" s="63" customFormat="1" x14ac:dyDescent="0.15">
      <c r="D50" s="210"/>
      <c r="E50" s="172"/>
      <c r="F50" s="173"/>
      <c r="G50" s="173"/>
      <c r="H50" s="174"/>
      <c r="I50" s="172"/>
      <c r="J50" s="173"/>
      <c r="K50" s="173"/>
      <c r="L50" s="174"/>
      <c r="M50" s="172"/>
      <c r="N50" s="173"/>
      <c r="O50" s="173"/>
      <c r="P50" s="173"/>
      <c r="Q50" s="173"/>
      <c r="R50" s="173"/>
      <c r="S50" s="173"/>
      <c r="T50" s="174"/>
      <c r="U50" s="172"/>
      <c r="V50" s="173"/>
      <c r="W50" s="173"/>
      <c r="X50" s="173"/>
      <c r="Y50" s="174"/>
      <c r="Z50" s="172"/>
      <c r="AA50" s="173"/>
      <c r="AB50" s="174"/>
      <c r="AC50" s="210"/>
      <c r="AD50" s="172"/>
      <c r="AE50" s="173"/>
      <c r="AF50" s="173"/>
      <c r="AG50" s="174"/>
      <c r="AH50" s="92"/>
      <c r="AI50" s="92"/>
      <c r="AJ50" s="92"/>
      <c r="AK50" s="92"/>
      <c r="AL50" s="212" t="s">
        <v>81</v>
      </c>
      <c r="AM50" s="162"/>
      <c r="AN50" s="162"/>
      <c r="AO50" s="162"/>
      <c r="AP50" s="163"/>
      <c r="AQ50" s="92"/>
      <c r="AR50" s="92"/>
      <c r="AS50" s="92"/>
      <c r="AT50" s="92"/>
    </row>
    <row r="51" spans="4:48" s="63" customFormat="1" x14ac:dyDescent="0.15">
      <c r="D51" s="239" t="s">
        <v>82</v>
      </c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3"/>
      <c r="AH51" s="92"/>
      <c r="AI51" s="92"/>
      <c r="AJ51" s="92"/>
      <c r="AK51" s="92"/>
      <c r="AL51" s="251" t="s">
        <v>22</v>
      </c>
      <c r="AM51" s="162"/>
      <c r="AN51" s="162"/>
      <c r="AO51" s="162"/>
      <c r="AP51" s="163"/>
      <c r="AQ51" s="92"/>
      <c r="AR51" s="92"/>
      <c r="AS51" s="92"/>
      <c r="AT51" s="92"/>
    </row>
    <row r="52" spans="4:48" s="64" customFormat="1" ht="73.5" customHeight="1" x14ac:dyDescent="0.15">
      <c r="D52" s="158">
        <v>1</v>
      </c>
      <c r="E52" s="164" t="s">
        <v>83</v>
      </c>
      <c r="F52" s="162"/>
      <c r="G52" s="162"/>
      <c r="H52" s="163"/>
      <c r="I52" s="213" t="s">
        <v>106</v>
      </c>
      <c r="J52" s="162"/>
      <c r="K52" s="162"/>
      <c r="L52" s="163"/>
      <c r="M52" s="205" t="s">
        <v>22</v>
      </c>
      <c r="N52" s="162"/>
      <c r="O52" s="162"/>
      <c r="P52" s="162"/>
      <c r="Q52" s="162"/>
      <c r="R52" s="162"/>
      <c r="S52" s="162"/>
      <c r="T52" s="163"/>
      <c r="U52" s="175" t="s">
        <v>202</v>
      </c>
      <c r="V52" s="162"/>
      <c r="W52" s="162"/>
      <c r="X52" s="162"/>
      <c r="Y52" s="163"/>
      <c r="Z52" s="175" t="s">
        <v>22</v>
      </c>
      <c r="AA52" s="162"/>
      <c r="AB52" s="163"/>
      <c r="AC52" s="142" t="s">
        <v>85</v>
      </c>
      <c r="AD52" s="175" t="s">
        <v>86</v>
      </c>
      <c r="AE52" s="162"/>
      <c r="AF52" s="162"/>
      <c r="AG52" s="163"/>
      <c r="AL52" s="251" t="s">
        <v>22</v>
      </c>
      <c r="AM52" s="162"/>
      <c r="AN52" s="162"/>
      <c r="AO52" s="162"/>
      <c r="AP52" s="163"/>
    </row>
    <row r="53" spans="4:48" s="64" customFormat="1" ht="73.5" customHeight="1" x14ac:dyDescent="0.15">
      <c r="D53" s="158">
        <v>2</v>
      </c>
      <c r="E53" s="164" t="s">
        <v>88</v>
      </c>
      <c r="F53" s="162"/>
      <c r="G53" s="162"/>
      <c r="H53" s="163"/>
      <c r="I53" s="213" t="s">
        <v>106</v>
      </c>
      <c r="J53" s="162"/>
      <c r="K53" s="162"/>
      <c r="L53" s="163"/>
      <c r="M53" s="205" t="s">
        <v>22</v>
      </c>
      <c r="N53" s="162"/>
      <c r="O53" s="162"/>
      <c r="P53" s="162"/>
      <c r="Q53" s="162"/>
      <c r="R53" s="162"/>
      <c r="S53" s="162"/>
      <c r="T53" s="163"/>
      <c r="U53" s="175" t="s">
        <v>202</v>
      </c>
      <c r="V53" s="162"/>
      <c r="W53" s="162"/>
      <c r="X53" s="162"/>
      <c r="Y53" s="163"/>
      <c r="Z53" s="175" t="s">
        <v>22</v>
      </c>
      <c r="AA53" s="162"/>
      <c r="AB53" s="163"/>
      <c r="AC53" s="142" t="s">
        <v>85</v>
      </c>
      <c r="AD53" s="175" t="s">
        <v>86</v>
      </c>
      <c r="AE53" s="162"/>
      <c r="AF53" s="162"/>
      <c r="AG53" s="163"/>
      <c r="AL53" s="251" t="s">
        <v>22</v>
      </c>
      <c r="AM53" s="162"/>
      <c r="AN53" s="162"/>
      <c r="AO53" s="162"/>
      <c r="AP53" s="163"/>
    </row>
    <row r="54" spans="4:48" s="63" customFormat="1" x14ac:dyDescent="0.15">
      <c r="D54" s="158">
        <v>3</v>
      </c>
      <c r="E54" s="164" t="s">
        <v>1</v>
      </c>
      <c r="F54" s="162"/>
      <c r="G54" s="162"/>
      <c r="H54" s="163"/>
      <c r="I54" s="213" t="s">
        <v>106</v>
      </c>
      <c r="J54" s="162"/>
      <c r="K54" s="162"/>
      <c r="L54" s="163"/>
      <c r="M54" s="205" t="s">
        <v>22</v>
      </c>
      <c r="N54" s="162"/>
      <c r="O54" s="162"/>
      <c r="P54" s="162"/>
      <c r="Q54" s="162"/>
      <c r="R54" s="162"/>
      <c r="S54" s="162"/>
      <c r="T54" s="163"/>
      <c r="U54" s="175" t="s">
        <v>22</v>
      </c>
      <c r="V54" s="162"/>
      <c r="W54" s="162"/>
      <c r="X54" s="162"/>
      <c r="Y54" s="163"/>
      <c r="Z54" s="175" t="s">
        <v>22</v>
      </c>
      <c r="AA54" s="162"/>
      <c r="AB54" s="163"/>
      <c r="AC54" s="142" t="s">
        <v>85</v>
      </c>
      <c r="AD54" s="175" t="s">
        <v>91</v>
      </c>
      <c r="AE54" s="162"/>
      <c r="AF54" s="162"/>
      <c r="AG54" s="163"/>
      <c r="AH54" s="92"/>
      <c r="AI54" s="92"/>
      <c r="AJ54" s="92"/>
      <c r="AK54" s="92"/>
      <c r="AL54" s="251" t="s">
        <v>22</v>
      </c>
      <c r="AM54" s="162"/>
      <c r="AN54" s="162"/>
      <c r="AO54" s="162"/>
      <c r="AP54" s="163"/>
      <c r="AQ54" s="92"/>
      <c r="AR54" s="92"/>
      <c r="AS54" s="92"/>
      <c r="AT54" s="92"/>
    </row>
    <row r="55" spans="4:48" s="63" customFormat="1" ht="29.25" customHeight="1" x14ac:dyDescent="0.15">
      <c r="D55" s="158">
        <v>4</v>
      </c>
      <c r="E55" s="164" t="s">
        <v>93</v>
      </c>
      <c r="F55" s="162"/>
      <c r="G55" s="162"/>
      <c r="H55" s="163"/>
      <c r="I55" s="213" t="s">
        <v>106</v>
      </c>
      <c r="J55" s="162"/>
      <c r="K55" s="162"/>
      <c r="L55" s="163"/>
      <c r="M55" s="205" t="s">
        <v>22</v>
      </c>
      <c r="N55" s="162"/>
      <c r="O55" s="162"/>
      <c r="P55" s="162"/>
      <c r="Q55" s="162"/>
      <c r="R55" s="162"/>
      <c r="S55" s="162"/>
      <c r="T55" s="163"/>
      <c r="U55" s="175" t="s">
        <v>203</v>
      </c>
      <c r="V55" s="162"/>
      <c r="W55" s="162"/>
      <c r="X55" s="162"/>
      <c r="Y55" s="163"/>
      <c r="Z55" s="175" t="s">
        <v>22</v>
      </c>
      <c r="AA55" s="162"/>
      <c r="AB55" s="163"/>
      <c r="AC55" s="142" t="s">
        <v>85</v>
      </c>
      <c r="AD55" s="175" t="s">
        <v>95</v>
      </c>
      <c r="AE55" s="162"/>
      <c r="AF55" s="162"/>
      <c r="AG55" s="163"/>
      <c r="AH55" s="92"/>
      <c r="AI55" s="92"/>
      <c r="AJ55" s="92"/>
      <c r="AK55" s="92"/>
      <c r="AL55" s="251" t="s">
        <v>22</v>
      </c>
      <c r="AM55" s="162"/>
      <c r="AN55" s="162"/>
      <c r="AO55" s="162"/>
      <c r="AP55" s="163"/>
      <c r="AQ55" s="92"/>
      <c r="AR55" s="92"/>
      <c r="AS55" s="92"/>
      <c r="AT55" s="92"/>
    </row>
    <row r="56" spans="4:48" s="63" customFormat="1" ht="29.25" customHeight="1" x14ac:dyDescent="0.15">
      <c r="D56" s="158">
        <v>5</v>
      </c>
      <c r="E56" s="164" t="s">
        <v>97</v>
      </c>
      <c r="F56" s="162"/>
      <c r="G56" s="162"/>
      <c r="H56" s="163"/>
      <c r="I56" s="213" t="s">
        <v>106</v>
      </c>
      <c r="J56" s="162"/>
      <c r="K56" s="162"/>
      <c r="L56" s="163"/>
      <c r="M56" s="205" t="s">
        <v>22</v>
      </c>
      <c r="N56" s="162"/>
      <c r="O56" s="162"/>
      <c r="P56" s="162"/>
      <c r="Q56" s="162"/>
      <c r="R56" s="162"/>
      <c r="S56" s="162"/>
      <c r="T56" s="163"/>
      <c r="U56" s="175" t="s">
        <v>204</v>
      </c>
      <c r="V56" s="162"/>
      <c r="W56" s="162"/>
      <c r="X56" s="162"/>
      <c r="Y56" s="163"/>
      <c r="Z56" s="175" t="s">
        <v>22</v>
      </c>
      <c r="AA56" s="162"/>
      <c r="AB56" s="163"/>
      <c r="AC56" s="142" t="s">
        <v>85</v>
      </c>
      <c r="AD56" s="175" t="s">
        <v>100</v>
      </c>
      <c r="AE56" s="162"/>
      <c r="AF56" s="162"/>
      <c r="AG56" s="163"/>
      <c r="AH56" s="92"/>
      <c r="AI56" s="92"/>
      <c r="AJ56" s="92"/>
      <c r="AK56" s="92"/>
      <c r="AL56" s="251" t="s">
        <v>22</v>
      </c>
      <c r="AM56" s="162"/>
      <c r="AN56" s="162"/>
      <c r="AO56" s="162"/>
      <c r="AP56" s="163"/>
      <c r="AQ56" s="92"/>
      <c r="AR56" s="92"/>
      <c r="AS56" s="92"/>
      <c r="AT56" s="92"/>
    </row>
    <row r="57" spans="4:48" ht="52.5" customHeight="1" x14ac:dyDescent="0.15">
      <c r="D57" s="158">
        <v>6</v>
      </c>
      <c r="E57" s="164" t="s">
        <v>102</v>
      </c>
      <c r="F57" s="162"/>
      <c r="G57" s="162"/>
      <c r="H57" s="163"/>
      <c r="I57" s="213" t="s">
        <v>106</v>
      </c>
      <c r="J57" s="162"/>
      <c r="K57" s="162"/>
      <c r="L57" s="163"/>
      <c r="M57" s="205" t="s">
        <v>22</v>
      </c>
      <c r="N57" s="162"/>
      <c r="O57" s="162"/>
      <c r="P57" s="162"/>
      <c r="Q57" s="162"/>
      <c r="R57" s="162"/>
      <c r="S57" s="162"/>
      <c r="T57" s="163"/>
      <c r="U57" s="175" t="s">
        <v>205</v>
      </c>
      <c r="V57" s="162"/>
      <c r="W57" s="162"/>
      <c r="X57" s="162"/>
      <c r="Y57" s="163"/>
      <c r="Z57" s="175" t="s">
        <v>22</v>
      </c>
      <c r="AA57" s="162"/>
      <c r="AB57" s="163"/>
      <c r="AC57" s="142" t="s">
        <v>22</v>
      </c>
      <c r="AD57" s="175" t="s">
        <v>103</v>
      </c>
      <c r="AE57" s="162"/>
      <c r="AF57" s="162"/>
      <c r="AG57" s="163"/>
      <c r="AL57" s="251" t="s">
        <v>22</v>
      </c>
      <c r="AM57" s="162"/>
      <c r="AN57" s="162"/>
      <c r="AO57" s="162"/>
      <c r="AP57" s="163"/>
    </row>
    <row r="58" spans="4:48" s="64" customFormat="1" ht="47.25" customHeight="1" x14ac:dyDescent="0.15">
      <c r="D58" s="158">
        <v>7</v>
      </c>
      <c r="E58" s="164" t="s">
        <v>105</v>
      </c>
      <c r="F58" s="162"/>
      <c r="G58" s="162"/>
      <c r="H58" s="163"/>
      <c r="I58" s="213" t="s">
        <v>106</v>
      </c>
      <c r="J58" s="162"/>
      <c r="K58" s="162"/>
      <c r="L58" s="163"/>
      <c r="M58" s="205" t="s">
        <v>22</v>
      </c>
      <c r="N58" s="162"/>
      <c r="O58" s="162"/>
      <c r="P58" s="162"/>
      <c r="Q58" s="162"/>
      <c r="R58" s="162"/>
      <c r="S58" s="162"/>
      <c r="T58" s="163"/>
      <c r="U58" s="175" t="s">
        <v>206</v>
      </c>
      <c r="V58" s="162"/>
      <c r="W58" s="162"/>
      <c r="X58" s="162"/>
      <c r="Y58" s="163"/>
      <c r="Z58" s="175" t="s">
        <v>22</v>
      </c>
      <c r="AA58" s="162"/>
      <c r="AB58" s="163"/>
      <c r="AC58" s="142" t="s">
        <v>85</v>
      </c>
      <c r="AD58" s="175" t="s">
        <v>207</v>
      </c>
      <c r="AE58" s="162"/>
      <c r="AF58" s="162"/>
      <c r="AG58" s="163"/>
      <c r="AL58" s="251" t="s">
        <v>22</v>
      </c>
      <c r="AM58" s="162"/>
      <c r="AN58" s="162"/>
      <c r="AO58" s="162"/>
      <c r="AP58" s="163"/>
    </row>
    <row r="59" spans="4:48" s="64" customFormat="1" x14ac:dyDescent="0.15">
      <c r="D59" s="158">
        <v>8</v>
      </c>
      <c r="E59" s="164" t="s">
        <v>110</v>
      </c>
      <c r="F59" s="162"/>
      <c r="G59" s="162"/>
      <c r="H59" s="163"/>
      <c r="I59" s="213" t="s">
        <v>106</v>
      </c>
      <c r="J59" s="162"/>
      <c r="K59" s="162"/>
      <c r="L59" s="163"/>
      <c r="M59" s="205" t="s">
        <v>22</v>
      </c>
      <c r="N59" s="162"/>
      <c r="O59" s="162"/>
      <c r="P59" s="162"/>
      <c r="Q59" s="162"/>
      <c r="R59" s="162"/>
      <c r="S59" s="162"/>
      <c r="T59" s="163"/>
      <c r="U59" s="175" t="s">
        <v>22</v>
      </c>
      <c r="V59" s="162"/>
      <c r="W59" s="162"/>
      <c r="X59" s="162"/>
      <c r="Y59" s="163"/>
      <c r="Z59" s="175" t="s">
        <v>22</v>
      </c>
      <c r="AA59" s="162"/>
      <c r="AB59" s="163"/>
      <c r="AC59" s="142" t="s">
        <v>85</v>
      </c>
      <c r="AD59" s="175" t="s">
        <v>111</v>
      </c>
      <c r="AE59" s="162"/>
      <c r="AF59" s="162"/>
      <c r="AG59" s="163"/>
      <c r="AL59" s="251" t="s">
        <v>22</v>
      </c>
      <c r="AM59" s="162"/>
      <c r="AN59" s="162"/>
      <c r="AO59" s="162"/>
      <c r="AP59" s="163"/>
      <c r="AV59" s="75"/>
    </row>
    <row r="60" spans="4:48" s="64" customFormat="1" x14ac:dyDescent="0.15">
      <c r="D60" s="158">
        <v>9</v>
      </c>
      <c r="E60" s="164" t="s">
        <v>113</v>
      </c>
      <c r="F60" s="162"/>
      <c r="G60" s="162"/>
      <c r="H60" s="163"/>
      <c r="I60" s="213" t="s">
        <v>106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111</v>
      </c>
      <c r="AE60" s="162"/>
      <c r="AF60" s="162"/>
      <c r="AG60" s="163"/>
      <c r="AL60" s="251" t="s">
        <v>22</v>
      </c>
      <c r="AM60" s="162"/>
      <c r="AN60" s="162"/>
      <c r="AO60" s="162"/>
      <c r="AP60" s="163"/>
      <c r="AR60" s="92"/>
      <c r="AS60" s="92"/>
    </row>
    <row r="61" spans="4:48" s="63" customFormat="1" ht="22.5" customHeight="1" x14ac:dyDescent="0.15">
      <c r="D61" s="158">
        <v>10</v>
      </c>
      <c r="E61" s="175" t="s">
        <v>115</v>
      </c>
      <c r="F61" s="162"/>
      <c r="G61" s="162"/>
      <c r="H61" s="163"/>
      <c r="I61" s="213" t="s">
        <v>106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117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118</v>
      </c>
      <c r="AE61" s="162"/>
      <c r="AF61" s="162"/>
      <c r="AG61" s="163"/>
      <c r="AH61" s="92"/>
      <c r="AI61" s="92"/>
      <c r="AJ61" s="92"/>
      <c r="AK61" s="92"/>
      <c r="AL61" s="251" t="s">
        <v>22</v>
      </c>
      <c r="AM61" s="162"/>
      <c r="AN61" s="162"/>
      <c r="AO61" s="162"/>
      <c r="AP61" s="163"/>
      <c r="AQ61" s="92"/>
      <c r="AR61" s="92"/>
    </row>
    <row r="62" spans="4:48" s="64" customFormat="1" ht="22.5" customHeight="1" x14ac:dyDescent="0.15">
      <c r="D62" s="158">
        <v>11</v>
      </c>
      <c r="E62" s="175" t="s">
        <v>120</v>
      </c>
      <c r="F62" s="162"/>
      <c r="G62" s="162"/>
      <c r="H62" s="163"/>
      <c r="I62" s="213" t="s">
        <v>106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117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118</v>
      </c>
      <c r="AE62" s="162"/>
      <c r="AF62" s="162"/>
      <c r="AG62" s="163"/>
      <c r="AL62" s="251" t="s">
        <v>22</v>
      </c>
      <c r="AM62" s="162"/>
      <c r="AN62" s="162"/>
      <c r="AO62" s="162"/>
      <c r="AP62" s="163"/>
    </row>
    <row r="63" spans="4:48" ht="28.5" customHeight="1" x14ac:dyDescent="0.15">
      <c r="D63" s="158">
        <v>12</v>
      </c>
      <c r="E63" s="164" t="s">
        <v>71</v>
      </c>
      <c r="F63" s="162"/>
      <c r="G63" s="162"/>
      <c r="H63" s="163"/>
      <c r="I63" s="213" t="s">
        <v>106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208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22</v>
      </c>
      <c r="AD63" s="175" t="s">
        <v>71</v>
      </c>
      <c r="AE63" s="162"/>
      <c r="AF63" s="162"/>
      <c r="AG63" s="163"/>
      <c r="AL63" s="251" t="s">
        <v>22</v>
      </c>
      <c r="AM63" s="162"/>
      <c r="AN63" s="162"/>
      <c r="AO63" s="162"/>
      <c r="AP63" s="163"/>
    </row>
    <row r="64" spans="4:48" s="64" customFormat="1" ht="73.5" customHeight="1" x14ac:dyDescent="0.15">
      <c r="D64" s="158">
        <v>13</v>
      </c>
      <c r="E64" s="164" t="s">
        <v>83</v>
      </c>
      <c r="F64" s="162"/>
      <c r="G64" s="162"/>
      <c r="H64" s="163"/>
      <c r="I64" s="213" t="s">
        <v>209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22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86</v>
      </c>
      <c r="AE64" s="162"/>
      <c r="AF64" s="162"/>
      <c r="AG64" s="163"/>
      <c r="AL64" s="164" t="s">
        <v>87</v>
      </c>
      <c r="AM64" s="162"/>
      <c r="AN64" s="162"/>
      <c r="AO64" s="162"/>
      <c r="AP64" s="163"/>
    </row>
    <row r="65" spans="3:52" s="64" customFormat="1" ht="73.5" customHeight="1" x14ac:dyDescent="0.15">
      <c r="D65" s="158">
        <v>14</v>
      </c>
      <c r="E65" s="164" t="s">
        <v>88</v>
      </c>
      <c r="F65" s="162"/>
      <c r="G65" s="162"/>
      <c r="H65" s="163"/>
      <c r="I65" s="213" t="s">
        <v>209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85</v>
      </c>
      <c r="AD65" s="175" t="s">
        <v>86</v>
      </c>
      <c r="AE65" s="162"/>
      <c r="AF65" s="162"/>
      <c r="AG65" s="163"/>
      <c r="AL65" s="164" t="s">
        <v>89</v>
      </c>
      <c r="AM65" s="162"/>
      <c r="AN65" s="162"/>
      <c r="AO65" s="162"/>
      <c r="AP65" s="163"/>
    </row>
    <row r="66" spans="3:52" s="63" customFormat="1" ht="11.25" customHeight="1" x14ac:dyDescent="0.15">
      <c r="D66" s="158">
        <v>15</v>
      </c>
      <c r="E66" s="164" t="s">
        <v>1</v>
      </c>
      <c r="F66" s="162"/>
      <c r="G66" s="162"/>
      <c r="H66" s="163"/>
      <c r="I66" s="213" t="s">
        <v>209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22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91</v>
      </c>
      <c r="AE66" s="162"/>
      <c r="AF66" s="162"/>
      <c r="AG66" s="163"/>
      <c r="AH66" s="92"/>
      <c r="AI66" s="92"/>
      <c r="AJ66" s="92"/>
      <c r="AK66" s="92"/>
      <c r="AL66" s="164" t="s">
        <v>92</v>
      </c>
      <c r="AM66" s="162"/>
      <c r="AN66" s="162"/>
      <c r="AO66" s="162"/>
      <c r="AP66" s="163"/>
      <c r="AQ66" s="92"/>
      <c r="AR66" s="92"/>
      <c r="AS66" s="92"/>
      <c r="AT66" s="92"/>
    </row>
    <row r="67" spans="3:52" s="63" customFormat="1" ht="29.25" customHeight="1" x14ac:dyDescent="0.15">
      <c r="D67" s="158">
        <v>16</v>
      </c>
      <c r="E67" s="164" t="s">
        <v>93</v>
      </c>
      <c r="F67" s="162"/>
      <c r="G67" s="162"/>
      <c r="H67" s="163"/>
      <c r="I67" s="213" t="s">
        <v>209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95</v>
      </c>
      <c r="AE67" s="162"/>
      <c r="AF67" s="162"/>
      <c r="AG67" s="163"/>
      <c r="AH67" s="92"/>
      <c r="AI67" s="92"/>
      <c r="AJ67" s="92"/>
      <c r="AK67" s="92"/>
      <c r="AL67" s="164" t="s">
        <v>96</v>
      </c>
      <c r="AM67" s="162"/>
      <c r="AN67" s="162"/>
      <c r="AO67" s="162"/>
      <c r="AP67" s="163"/>
      <c r="AQ67" s="92"/>
      <c r="AR67" s="92"/>
      <c r="AS67" s="92"/>
      <c r="AT67" s="92"/>
    </row>
    <row r="68" spans="3:52" s="63" customFormat="1" ht="29.25" customHeight="1" x14ac:dyDescent="0.15">
      <c r="D68" s="158">
        <v>17</v>
      </c>
      <c r="E68" s="164" t="s">
        <v>97</v>
      </c>
      <c r="F68" s="162"/>
      <c r="G68" s="162"/>
      <c r="H68" s="163"/>
      <c r="I68" s="213" t="s">
        <v>209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100</v>
      </c>
      <c r="AE68" s="162"/>
      <c r="AF68" s="162"/>
      <c r="AG68" s="163"/>
      <c r="AH68" s="92"/>
      <c r="AI68" s="92"/>
      <c r="AJ68" s="92"/>
      <c r="AK68" s="92"/>
      <c r="AL68" s="164" t="s">
        <v>101</v>
      </c>
      <c r="AM68" s="162"/>
      <c r="AN68" s="162"/>
      <c r="AO68" s="162"/>
      <c r="AP68" s="163"/>
      <c r="AQ68" s="92"/>
      <c r="AR68" s="92"/>
      <c r="AS68" s="92"/>
      <c r="AT68" s="92"/>
    </row>
    <row r="69" spans="3:52" ht="52.5" customHeight="1" x14ac:dyDescent="0.15">
      <c r="D69" s="158">
        <v>18</v>
      </c>
      <c r="E69" s="164" t="s">
        <v>102</v>
      </c>
      <c r="F69" s="162"/>
      <c r="G69" s="162"/>
      <c r="H69" s="163"/>
      <c r="I69" s="213" t="s">
        <v>209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22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22</v>
      </c>
      <c r="AD69" s="175" t="s">
        <v>103</v>
      </c>
      <c r="AE69" s="162"/>
      <c r="AF69" s="162"/>
      <c r="AG69" s="163"/>
      <c r="AL69" s="164" t="s">
        <v>104</v>
      </c>
      <c r="AM69" s="162"/>
      <c r="AN69" s="162"/>
      <c r="AO69" s="162"/>
      <c r="AP69" s="163"/>
    </row>
    <row r="70" spans="3:52" s="64" customFormat="1" ht="47.25" customHeight="1" x14ac:dyDescent="0.15">
      <c r="D70" s="158">
        <v>19</v>
      </c>
      <c r="E70" s="164" t="s">
        <v>105</v>
      </c>
      <c r="F70" s="162"/>
      <c r="G70" s="162"/>
      <c r="H70" s="163"/>
      <c r="I70" s="213" t="s">
        <v>209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22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108</v>
      </c>
      <c r="AE70" s="162"/>
      <c r="AF70" s="162"/>
      <c r="AG70" s="163"/>
      <c r="AL70" s="164" t="s">
        <v>109</v>
      </c>
      <c r="AM70" s="162"/>
      <c r="AN70" s="162"/>
      <c r="AO70" s="162"/>
      <c r="AP70" s="163"/>
    </row>
    <row r="71" spans="3:52" s="64" customFormat="1" ht="11.25" customHeight="1" x14ac:dyDescent="0.15">
      <c r="D71" s="158">
        <v>20</v>
      </c>
      <c r="E71" s="164" t="s">
        <v>110</v>
      </c>
      <c r="F71" s="162"/>
      <c r="G71" s="162"/>
      <c r="H71" s="163"/>
      <c r="I71" s="213" t="s">
        <v>209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85</v>
      </c>
      <c r="AD71" s="175" t="s">
        <v>111</v>
      </c>
      <c r="AE71" s="162"/>
      <c r="AF71" s="162"/>
      <c r="AG71" s="163"/>
      <c r="AL71" s="164" t="s">
        <v>112</v>
      </c>
      <c r="AM71" s="162"/>
      <c r="AN71" s="162"/>
      <c r="AO71" s="162"/>
      <c r="AP71" s="163"/>
      <c r="AV71" s="75"/>
    </row>
    <row r="72" spans="3:52" s="64" customFormat="1" ht="11.25" customHeight="1" x14ac:dyDescent="0.15">
      <c r="D72" s="158">
        <v>21</v>
      </c>
      <c r="E72" s="164" t="s">
        <v>113</v>
      </c>
      <c r="F72" s="162"/>
      <c r="G72" s="162"/>
      <c r="H72" s="163"/>
      <c r="I72" s="213" t="s">
        <v>209</v>
      </c>
      <c r="J72" s="162"/>
      <c r="K72" s="162"/>
      <c r="L72" s="163"/>
      <c r="M72" s="205" t="s">
        <v>22</v>
      </c>
      <c r="N72" s="162"/>
      <c r="O72" s="162"/>
      <c r="P72" s="162"/>
      <c r="Q72" s="162"/>
      <c r="R72" s="162"/>
      <c r="S72" s="162"/>
      <c r="T72" s="163"/>
      <c r="U72" s="175" t="s">
        <v>22</v>
      </c>
      <c r="V72" s="162"/>
      <c r="W72" s="162"/>
      <c r="X72" s="162"/>
      <c r="Y72" s="163"/>
      <c r="Z72" s="175" t="s">
        <v>22</v>
      </c>
      <c r="AA72" s="162"/>
      <c r="AB72" s="163"/>
      <c r="AC72" s="142" t="s">
        <v>85</v>
      </c>
      <c r="AD72" s="175" t="s">
        <v>111</v>
      </c>
      <c r="AE72" s="162"/>
      <c r="AF72" s="162"/>
      <c r="AG72" s="163"/>
      <c r="AL72" s="175" t="s">
        <v>114</v>
      </c>
      <c r="AM72" s="162"/>
      <c r="AN72" s="162"/>
      <c r="AO72" s="162"/>
      <c r="AP72" s="163"/>
      <c r="AR72" s="92"/>
      <c r="AS72" s="92"/>
    </row>
    <row r="73" spans="3:52" s="63" customFormat="1" ht="22.5" customHeight="1" x14ac:dyDescent="0.15">
      <c r="D73" s="158">
        <v>22</v>
      </c>
      <c r="E73" s="175" t="s">
        <v>115</v>
      </c>
      <c r="F73" s="162"/>
      <c r="G73" s="162"/>
      <c r="H73" s="163"/>
      <c r="I73" s="213" t="s">
        <v>209</v>
      </c>
      <c r="J73" s="162"/>
      <c r="K73" s="162"/>
      <c r="L73" s="163"/>
      <c r="M73" s="205" t="s">
        <v>22</v>
      </c>
      <c r="N73" s="162"/>
      <c r="O73" s="162"/>
      <c r="P73" s="162"/>
      <c r="Q73" s="162"/>
      <c r="R73" s="162"/>
      <c r="S73" s="162"/>
      <c r="T73" s="163"/>
      <c r="U73" s="175" t="s">
        <v>22</v>
      </c>
      <c r="V73" s="162"/>
      <c r="W73" s="162"/>
      <c r="X73" s="162"/>
      <c r="Y73" s="163"/>
      <c r="Z73" s="175" t="s">
        <v>22</v>
      </c>
      <c r="AA73" s="162"/>
      <c r="AB73" s="163"/>
      <c r="AC73" s="142" t="s">
        <v>85</v>
      </c>
      <c r="AD73" s="175" t="s">
        <v>118</v>
      </c>
      <c r="AE73" s="162"/>
      <c r="AF73" s="162"/>
      <c r="AG73" s="163"/>
      <c r="AH73" s="92"/>
      <c r="AI73" s="92"/>
      <c r="AJ73" s="92"/>
      <c r="AK73" s="92"/>
      <c r="AL73" s="164" t="s">
        <v>119</v>
      </c>
      <c r="AM73" s="162"/>
      <c r="AN73" s="162"/>
      <c r="AO73" s="162"/>
      <c r="AP73" s="163"/>
      <c r="AQ73" s="92"/>
      <c r="AR73" s="92"/>
    </row>
    <row r="74" spans="3:52" s="64" customFormat="1" ht="22.5" customHeight="1" x14ac:dyDescent="0.15">
      <c r="D74" s="158">
        <v>23</v>
      </c>
      <c r="E74" s="175" t="s">
        <v>120</v>
      </c>
      <c r="F74" s="162"/>
      <c r="G74" s="162"/>
      <c r="H74" s="163"/>
      <c r="I74" s="213" t="s">
        <v>209</v>
      </c>
      <c r="J74" s="162"/>
      <c r="K74" s="162"/>
      <c r="L74" s="163"/>
      <c r="M74" s="205" t="s">
        <v>22</v>
      </c>
      <c r="N74" s="162"/>
      <c r="O74" s="162"/>
      <c r="P74" s="162"/>
      <c r="Q74" s="162"/>
      <c r="R74" s="162"/>
      <c r="S74" s="162"/>
      <c r="T74" s="163"/>
      <c r="U74" s="175" t="s">
        <v>22</v>
      </c>
      <c r="V74" s="162"/>
      <c r="W74" s="162"/>
      <c r="X74" s="162"/>
      <c r="Y74" s="163"/>
      <c r="Z74" s="175" t="s">
        <v>22</v>
      </c>
      <c r="AA74" s="162"/>
      <c r="AB74" s="163"/>
      <c r="AC74" s="142" t="s">
        <v>85</v>
      </c>
      <c r="AD74" s="175" t="s">
        <v>118</v>
      </c>
      <c r="AE74" s="162"/>
      <c r="AF74" s="162"/>
      <c r="AG74" s="163"/>
      <c r="AL74" s="164" t="s">
        <v>121</v>
      </c>
      <c r="AM74" s="162"/>
      <c r="AN74" s="162"/>
      <c r="AO74" s="162"/>
      <c r="AP74" s="163"/>
    </row>
    <row r="75" spans="3:52" ht="28.5" customHeight="1" x14ac:dyDescent="0.15">
      <c r="D75" s="158">
        <v>24</v>
      </c>
      <c r="E75" s="164" t="s">
        <v>71</v>
      </c>
      <c r="F75" s="162"/>
      <c r="G75" s="162"/>
      <c r="H75" s="163"/>
      <c r="I75" s="213" t="s">
        <v>209</v>
      </c>
      <c r="J75" s="162"/>
      <c r="K75" s="162"/>
      <c r="L75" s="163"/>
      <c r="M75" s="205" t="s">
        <v>22</v>
      </c>
      <c r="N75" s="162"/>
      <c r="O75" s="162"/>
      <c r="P75" s="162"/>
      <c r="Q75" s="162"/>
      <c r="R75" s="162"/>
      <c r="S75" s="162"/>
      <c r="T75" s="163"/>
      <c r="U75" s="175" t="s">
        <v>22</v>
      </c>
      <c r="V75" s="162"/>
      <c r="W75" s="162"/>
      <c r="X75" s="162"/>
      <c r="Y75" s="163"/>
      <c r="Z75" s="175" t="s">
        <v>22</v>
      </c>
      <c r="AA75" s="162"/>
      <c r="AB75" s="163"/>
      <c r="AC75" s="142" t="s">
        <v>22</v>
      </c>
      <c r="AD75" s="175" t="s">
        <v>71</v>
      </c>
      <c r="AE75" s="162"/>
      <c r="AF75" s="162"/>
      <c r="AG75" s="163"/>
      <c r="AL75" s="238" t="s">
        <v>123</v>
      </c>
      <c r="AM75" s="162"/>
      <c r="AN75" s="162"/>
      <c r="AO75" s="162"/>
      <c r="AP75" s="163"/>
    </row>
    <row r="76" spans="3:52" s="63" customFormat="1" x14ac:dyDescent="0.15"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</row>
    <row r="77" spans="3:52" x14ac:dyDescent="0.15">
      <c r="D77" s="64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100"/>
      <c r="Y77" s="100"/>
      <c r="Z77" s="100"/>
      <c r="AA77" s="100"/>
      <c r="AB77" s="96"/>
      <c r="AC77" s="96"/>
      <c r="AD77" s="96"/>
      <c r="AE77" s="96"/>
      <c r="AF77" s="96"/>
      <c r="AG77" s="96"/>
      <c r="AH77" s="96"/>
      <c r="AI77" s="96"/>
      <c r="AJ77" s="96"/>
    </row>
    <row r="78" spans="3:52" x14ac:dyDescent="0.15">
      <c r="C78" s="16" t="s">
        <v>49</v>
      </c>
      <c r="D78" s="64"/>
      <c r="E78" s="96"/>
      <c r="F78" s="12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100"/>
      <c r="Y78" s="100"/>
      <c r="Z78" s="100"/>
      <c r="AA78" s="100"/>
      <c r="AB78" s="96"/>
      <c r="AC78" s="96"/>
      <c r="AD78" s="96"/>
      <c r="AE78" s="96"/>
      <c r="AF78" s="96"/>
      <c r="AG78" s="96"/>
      <c r="AH78" s="96"/>
      <c r="AI78" s="96"/>
      <c r="AJ78" s="96"/>
    </row>
    <row r="79" spans="3:52" ht="11.25" customHeight="1" x14ac:dyDescent="0.15">
      <c r="AI79" s="96"/>
      <c r="AJ79" s="96"/>
    </row>
    <row r="80" spans="3:52" x14ac:dyDescent="0.15">
      <c r="D80" s="235" t="s">
        <v>13</v>
      </c>
      <c r="E80" s="200" t="s">
        <v>124</v>
      </c>
      <c r="F80" s="167"/>
      <c r="G80" s="167"/>
      <c r="H80" s="167"/>
      <c r="I80" s="167"/>
      <c r="J80" s="168"/>
      <c r="K80" s="200" t="s">
        <v>125</v>
      </c>
      <c r="L80" s="167"/>
      <c r="M80" s="167"/>
      <c r="N80" s="168"/>
      <c r="O80" s="209" t="s">
        <v>126</v>
      </c>
      <c r="P80" s="108" t="s">
        <v>127</v>
      </c>
      <c r="Q80" s="109"/>
      <c r="R80" s="109"/>
      <c r="S80" s="109"/>
      <c r="T80" s="109"/>
      <c r="U80" s="109"/>
      <c r="V80" s="200" t="s">
        <v>71</v>
      </c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8"/>
    </row>
    <row r="81" spans="3:58" x14ac:dyDescent="0.15">
      <c r="D81" s="210"/>
      <c r="E81" s="172"/>
      <c r="F81" s="173"/>
      <c r="G81" s="173"/>
      <c r="H81" s="173"/>
      <c r="I81" s="173"/>
      <c r="J81" s="174"/>
      <c r="K81" s="172"/>
      <c r="L81" s="173"/>
      <c r="M81" s="173"/>
      <c r="N81" s="174"/>
      <c r="O81" s="210"/>
      <c r="P81" s="110" t="s">
        <v>128</v>
      </c>
      <c r="Q81" s="110" t="s">
        <v>129</v>
      </c>
      <c r="R81" s="110" t="s">
        <v>130</v>
      </c>
      <c r="S81" s="110" t="s">
        <v>131</v>
      </c>
      <c r="T81" s="201" t="s">
        <v>132</v>
      </c>
      <c r="U81" s="163"/>
      <c r="V81" s="172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4"/>
    </row>
    <row r="82" spans="3:58" ht="11.25" customHeight="1" x14ac:dyDescent="0.15">
      <c r="D82" s="111">
        <v>1</v>
      </c>
      <c r="E82" s="214" t="s">
        <v>210</v>
      </c>
      <c r="F82" s="162"/>
      <c r="G82" s="162"/>
      <c r="H82" s="162"/>
      <c r="I82" s="162"/>
      <c r="J82" s="163"/>
      <c r="K82" s="215" t="s">
        <v>134</v>
      </c>
      <c r="L82" s="162"/>
      <c r="M82" s="162"/>
      <c r="N82" s="163"/>
      <c r="O82" s="131" t="s">
        <v>211</v>
      </c>
      <c r="P82" s="112" t="s">
        <v>85</v>
      </c>
      <c r="Q82" s="112" t="s">
        <v>22</v>
      </c>
      <c r="R82" s="112" t="s">
        <v>22</v>
      </c>
      <c r="S82" s="112" t="s">
        <v>22</v>
      </c>
      <c r="T82" s="207" t="s">
        <v>22</v>
      </c>
      <c r="U82" s="163"/>
      <c r="V82" s="215" t="s">
        <v>22</v>
      </c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3"/>
    </row>
    <row r="83" spans="3:58" x14ac:dyDescent="0.15">
      <c r="D83" s="111">
        <v>2</v>
      </c>
      <c r="E83" s="214" t="s">
        <v>133</v>
      </c>
      <c r="F83" s="162"/>
      <c r="G83" s="162"/>
      <c r="H83" s="162"/>
      <c r="I83" s="162"/>
      <c r="J83" s="163"/>
      <c r="K83" s="215" t="s">
        <v>134</v>
      </c>
      <c r="L83" s="162"/>
      <c r="M83" s="162"/>
      <c r="N83" s="163"/>
      <c r="O83" s="105" t="s">
        <v>135</v>
      </c>
      <c r="P83" s="112" t="s">
        <v>22</v>
      </c>
      <c r="Q83" s="112" t="s">
        <v>85</v>
      </c>
      <c r="R83" s="112" t="s">
        <v>22</v>
      </c>
      <c r="S83" s="112" t="s">
        <v>22</v>
      </c>
      <c r="T83" s="207" t="s">
        <v>22</v>
      </c>
      <c r="U83" s="163"/>
      <c r="V83" s="215" t="s">
        <v>22</v>
      </c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3"/>
    </row>
    <row r="84" spans="3:58" x14ac:dyDescent="0.15">
      <c r="D84" s="101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</row>
    <row r="85" spans="3:58" x14ac:dyDescent="0.15">
      <c r="D85" s="64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100"/>
      <c r="Y85" s="100"/>
      <c r="Z85" s="100"/>
      <c r="AA85" s="100"/>
      <c r="AB85" s="96"/>
      <c r="AC85" s="96"/>
      <c r="AD85" s="96"/>
      <c r="AE85" s="96"/>
      <c r="AF85" s="96"/>
      <c r="AG85" s="96"/>
      <c r="AH85" s="96"/>
      <c r="AI85" s="96"/>
      <c r="AJ85" s="96"/>
    </row>
    <row r="86" spans="3:58" x14ac:dyDescent="0.15">
      <c r="C86" t="s">
        <v>50</v>
      </c>
    </row>
    <row r="88" spans="3:58" ht="11.25" customHeight="1" x14ac:dyDescent="0.15">
      <c r="C88" s="75"/>
      <c r="D88" s="113" t="s">
        <v>13</v>
      </c>
      <c r="E88" s="246" t="s">
        <v>136</v>
      </c>
      <c r="F88" s="162"/>
      <c r="G88" s="162"/>
      <c r="H88" s="162"/>
      <c r="I88" s="162"/>
      <c r="J88" s="247"/>
      <c r="K88" s="226" t="s">
        <v>137</v>
      </c>
      <c r="L88" s="162"/>
      <c r="M88" s="162"/>
      <c r="N88" s="162"/>
      <c r="O88" s="162"/>
      <c r="P88" s="162"/>
      <c r="Q88" s="163"/>
      <c r="R88" s="197" t="s">
        <v>138</v>
      </c>
      <c r="S88" s="162"/>
      <c r="T88" s="162"/>
      <c r="U88" s="162"/>
      <c r="V88" s="162"/>
      <c r="W88" s="162"/>
      <c r="X88" s="162"/>
      <c r="Y88" s="163"/>
      <c r="Z88" s="198" t="s">
        <v>139</v>
      </c>
      <c r="AA88" s="162"/>
      <c r="AB88" s="162"/>
      <c r="AC88" s="162"/>
      <c r="AD88" s="163"/>
      <c r="AE88" s="222" t="s">
        <v>140</v>
      </c>
      <c r="AF88" s="223"/>
      <c r="AG88" s="223"/>
      <c r="AH88" s="224"/>
    </row>
    <row r="89" spans="3:58" ht="23.25" customHeight="1" x14ac:dyDescent="0.15">
      <c r="D89" s="106">
        <v>1</v>
      </c>
      <c r="E89" s="175" t="s">
        <v>212</v>
      </c>
      <c r="F89" s="162"/>
      <c r="G89" s="162"/>
      <c r="H89" s="162"/>
      <c r="I89" s="162"/>
      <c r="J89" s="163"/>
      <c r="K89" s="175" t="s">
        <v>213</v>
      </c>
      <c r="L89" s="162"/>
      <c r="M89" s="162"/>
      <c r="N89" s="162"/>
      <c r="O89" s="162"/>
      <c r="P89" s="162"/>
      <c r="Q89" s="163"/>
      <c r="R89" s="175" t="s">
        <v>214</v>
      </c>
      <c r="S89" s="162"/>
      <c r="T89" s="162"/>
      <c r="U89" s="162"/>
      <c r="V89" s="162"/>
      <c r="W89" s="162"/>
      <c r="X89" s="162"/>
      <c r="Y89" s="163"/>
      <c r="Z89" s="175" t="s">
        <v>215</v>
      </c>
      <c r="AA89" s="162"/>
      <c r="AB89" s="162"/>
      <c r="AC89" s="162"/>
      <c r="AD89" s="163"/>
      <c r="AE89" s="254" t="s">
        <v>144</v>
      </c>
      <c r="AF89" s="203"/>
      <c r="AG89" s="203"/>
      <c r="AH89" s="204"/>
    </row>
    <row r="90" spans="3:58" ht="24" customHeight="1" x14ac:dyDescent="0.15">
      <c r="D90" s="106">
        <v>2</v>
      </c>
      <c r="E90" s="215" t="s">
        <v>216</v>
      </c>
      <c r="F90" s="162"/>
      <c r="G90" s="162"/>
      <c r="H90" s="162"/>
      <c r="I90" s="162"/>
      <c r="J90" s="163"/>
      <c r="K90" s="215" t="s">
        <v>217</v>
      </c>
      <c r="L90" s="162"/>
      <c r="M90" s="162"/>
      <c r="N90" s="162"/>
      <c r="O90" s="162"/>
      <c r="P90" s="162"/>
      <c r="Q90" s="163"/>
      <c r="R90" s="175" t="s">
        <v>218</v>
      </c>
      <c r="S90" s="162"/>
      <c r="T90" s="162"/>
      <c r="U90" s="162"/>
      <c r="V90" s="162"/>
      <c r="W90" s="162"/>
      <c r="X90" s="162"/>
      <c r="Y90" s="163"/>
      <c r="Z90" s="175" t="s">
        <v>63</v>
      </c>
      <c r="AA90" s="162"/>
      <c r="AB90" s="162"/>
      <c r="AC90" s="162"/>
      <c r="AD90" s="163"/>
      <c r="AE90" s="254" t="s">
        <v>144</v>
      </c>
      <c r="AF90" s="203"/>
      <c r="AG90" s="203"/>
      <c r="AH90" s="204"/>
    </row>
    <row r="91" spans="3:58" x14ac:dyDescent="0.15">
      <c r="D91" s="95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</row>
    <row r="92" spans="3:58" x14ac:dyDescent="0.15">
      <c r="D92" s="95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</row>
    <row r="93" spans="3:58" x14ac:dyDescent="0.15">
      <c r="C93" t="s">
        <v>51</v>
      </c>
    </row>
    <row r="94" spans="3:58" x14ac:dyDescent="0.15">
      <c r="E94" s="92"/>
      <c r="F94" s="93"/>
      <c r="G94" s="44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</row>
    <row r="95" spans="3:58" x14ac:dyDescent="0.15">
      <c r="D95" t="s">
        <v>219</v>
      </c>
    </row>
    <row r="96" spans="3:58" x14ac:dyDescent="0.15">
      <c r="E96" s="26" t="s">
        <v>158</v>
      </c>
      <c r="F96" s="26"/>
    </row>
    <row r="97" spans="5:34" x14ac:dyDescent="0.15">
      <c r="E97" s="26"/>
      <c r="F97" s="26"/>
    </row>
    <row r="98" spans="5:34" x14ac:dyDescent="0.15">
      <c r="E98" s="26"/>
      <c r="F98" s="26" t="s">
        <v>220</v>
      </c>
    </row>
    <row r="100" spans="5:34" x14ac:dyDescent="0.15">
      <c r="E100" s="26"/>
      <c r="F100" t="s">
        <v>221</v>
      </c>
    </row>
    <row r="101" spans="5:34" x14ac:dyDescent="0.15">
      <c r="E101" s="29"/>
      <c r="F101" s="29"/>
    </row>
    <row r="104" spans="5:34" x14ac:dyDescent="0.15">
      <c r="E104" t="s">
        <v>222</v>
      </c>
    </row>
    <row r="106" spans="5:34" x14ac:dyDescent="0.15">
      <c r="F106" t="s">
        <v>223</v>
      </c>
    </row>
    <row r="108" spans="5:34" x14ac:dyDescent="0.15">
      <c r="F108" t="s">
        <v>224</v>
      </c>
    </row>
    <row r="109" spans="5:34" ht="12" customHeight="1" x14ac:dyDescent="0.15"/>
    <row r="110" spans="5:34" ht="12" customHeight="1" x14ac:dyDescent="0.15">
      <c r="G110" s="198" t="s">
        <v>13</v>
      </c>
      <c r="H110" s="198" t="s">
        <v>225</v>
      </c>
      <c r="I110" s="167"/>
      <c r="J110" s="167"/>
      <c r="K110" s="167"/>
      <c r="L110" s="167"/>
      <c r="M110" s="168"/>
      <c r="N110" s="236" t="s">
        <v>226</v>
      </c>
      <c r="O110" s="162"/>
      <c r="P110" s="162"/>
      <c r="Q110" s="162"/>
      <c r="R110" s="162"/>
      <c r="S110" s="162"/>
      <c r="T110" s="162"/>
      <c r="U110" s="162"/>
      <c r="V110" s="162"/>
      <c r="W110" s="162"/>
      <c r="X110" s="163"/>
      <c r="Y110" s="198" t="s">
        <v>78</v>
      </c>
      <c r="Z110" s="167"/>
      <c r="AA110" s="167"/>
      <c r="AB110" s="167"/>
      <c r="AC110" s="167"/>
      <c r="AD110" s="168"/>
      <c r="AE110" s="198" t="s">
        <v>71</v>
      </c>
      <c r="AF110" s="167"/>
      <c r="AG110" s="167"/>
      <c r="AH110" s="168"/>
    </row>
    <row r="111" spans="5:34" ht="12" customHeight="1" x14ac:dyDescent="0.15">
      <c r="G111" s="210"/>
      <c r="H111" s="172"/>
      <c r="I111" s="173"/>
      <c r="J111" s="173"/>
      <c r="K111" s="173"/>
      <c r="L111" s="173"/>
      <c r="M111" s="174"/>
      <c r="N111" s="236" t="s">
        <v>77</v>
      </c>
      <c r="O111" s="162"/>
      <c r="P111" s="162"/>
      <c r="Q111" s="162"/>
      <c r="R111" s="163"/>
      <c r="S111" s="212" t="s">
        <v>227</v>
      </c>
      <c r="T111" s="162"/>
      <c r="U111" s="162"/>
      <c r="V111" s="162"/>
      <c r="W111" s="162"/>
      <c r="X111" s="163"/>
      <c r="Y111" s="172"/>
      <c r="Z111" s="173"/>
      <c r="AA111" s="173"/>
      <c r="AB111" s="173"/>
      <c r="AC111" s="173"/>
      <c r="AD111" s="174"/>
      <c r="AE111" s="172"/>
      <c r="AF111" s="173"/>
      <c r="AG111" s="173"/>
      <c r="AH111" s="174"/>
    </row>
    <row r="112" spans="5:34" ht="12" customHeight="1" x14ac:dyDescent="0.15">
      <c r="G112" s="106">
        <v>1</v>
      </c>
      <c r="H112" s="249" t="s">
        <v>228</v>
      </c>
      <c r="I112" s="162"/>
      <c r="J112" s="162"/>
      <c r="K112" s="162"/>
      <c r="L112" s="162"/>
      <c r="M112" s="163"/>
      <c r="N112" s="56" t="s">
        <v>229</v>
      </c>
      <c r="O112" s="133"/>
      <c r="P112" s="133"/>
      <c r="Q112" s="133"/>
      <c r="R112" s="134"/>
      <c r="S112" s="249" t="s">
        <v>228</v>
      </c>
      <c r="T112" s="162"/>
      <c r="U112" s="162"/>
      <c r="V112" s="162"/>
      <c r="W112" s="162"/>
      <c r="X112" s="163"/>
      <c r="Y112" s="215" t="s">
        <v>142</v>
      </c>
      <c r="Z112" s="162"/>
      <c r="AA112" s="162"/>
      <c r="AB112" s="162"/>
      <c r="AC112" s="162"/>
      <c r="AD112" s="163"/>
      <c r="AE112" s="215"/>
      <c r="AF112" s="162"/>
      <c r="AG112" s="162"/>
      <c r="AH112" s="163"/>
    </row>
    <row r="113" spans="5:34" ht="12" customHeight="1" x14ac:dyDescent="0.15">
      <c r="G113" s="106">
        <v>2</v>
      </c>
      <c r="H113" s="249" t="s">
        <v>91</v>
      </c>
      <c r="I113" s="162"/>
      <c r="J113" s="162"/>
      <c r="K113" s="162"/>
      <c r="L113" s="162"/>
      <c r="M113" s="163"/>
      <c r="N113" s="252" t="s">
        <v>230</v>
      </c>
      <c r="O113" s="167"/>
      <c r="P113" s="167"/>
      <c r="Q113" s="167"/>
      <c r="R113" s="168"/>
      <c r="S113" s="249" t="s">
        <v>1</v>
      </c>
      <c r="T113" s="162"/>
      <c r="U113" s="162"/>
      <c r="V113" s="162"/>
      <c r="W113" s="162"/>
      <c r="X113" s="163"/>
      <c r="Y113" s="215" t="s">
        <v>142</v>
      </c>
      <c r="Z113" s="162"/>
      <c r="AA113" s="162"/>
      <c r="AB113" s="162"/>
      <c r="AC113" s="162"/>
      <c r="AD113" s="163"/>
      <c r="AE113" s="215"/>
      <c r="AF113" s="162"/>
      <c r="AG113" s="162"/>
      <c r="AH113" s="163"/>
    </row>
    <row r="114" spans="5:34" ht="12" customHeight="1" x14ac:dyDescent="0.15">
      <c r="G114" s="106">
        <v>3</v>
      </c>
      <c r="H114" s="249" t="s">
        <v>95</v>
      </c>
      <c r="I114" s="162"/>
      <c r="J114" s="162"/>
      <c r="K114" s="162"/>
      <c r="L114" s="162"/>
      <c r="M114" s="163"/>
      <c r="N114" s="169"/>
      <c r="O114" s="220"/>
      <c r="P114" s="220"/>
      <c r="Q114" s="220"/>
      <c r="R114" s="171"/>
      <c r="S114" s="249" t="s">
        <v>93</v>
      </c>
      <c r="T114" s="162"/>
      <c r="U114" s="162"/>
      <c r="V114" s="162"/>
      <c r="W114" s="162"/>
      <c r="X114" s="163"/>
      <c r="Y114" s="215" t="s">
        <v>142</v>
      </c>
      <c r="Z114" s="162"/>
      <c r="AA114" s="162"/>
      <c r="AB114" s="162"/>
      <c r="AC114" s="162"/>
      <c r="AD114" s="163"/>
      <c r="AE114" s="215"/>
      <c r="AF114" s="162"/>
      <c r="AG114" s="162"/>
      <c r="AH114" s="163"/>
    </row>
    <row r="115" spans="5:34" ht="12.75" customHeight="1" x14ac:dyDescent="0.15">
      <c r="G115" s="106">
        <v>4</v>
      </c>
      <c r="H115" s="249" t="s">
        <v>100</v>
      </c>
      <c r="I115" s="162"/>
      <c r="J115" s="162"/>
      <c r="K115" s="162"/>
      <c r="L115" s="162"/>
      <c r="M115" s="163"/>
      <c r="N115" s="169"/>
      <c r="O115" s="220"/>
      <c r="P115" s="220"/>
      <c r="Q115" s="220"/>
      <c r="R115" s="171"/>
      <c r="S115" s="249" t="s">
        <v>97</v>
      </c>
      <c r="T115" s="162"/>
      <c r="U115" s="162"/>
      <c r="V115" s="162"/>
      <c r="W115" s="162"/>
      <c r="X115" s="163"/>
      <c r="Y115" s="215" t="s">
        <v>142</v>
      </c>
      <c r="Z115" s="162"/>
      <c r="AA115" s="162"/>
      <c r="AB115" s="162"/>
      <c r="AC115" s="162"/>
      <c r="AD115" s="163"/>
      <c r="AE115" s="215"/>
      <c r="AF115" s="162"/>
      <c r="AG115" s="162"/>
      <c r="AH115" s="163"/>
    </row>
    <row r="116" spans="5:34" ht="12" customHeight="1" x14ac:dyDescent="0.15">
      <c r="G116" s="106">
        <v>5</v>
      </c>
      <c r="H116" s="250" t="s">
        <v>231</v>
      </c>
      <c r="I116" s="162"/>
      <c r="J116" s="162"/>
      <c r="K116" s="162"/>
      <c r="L116" s="162"/>
      <c r="M116" s="163"/>
      <c r="N116" s="169"/>
      <c r="O116" s="220"/>
      <c r="P116" s="220"/>
      <c r="Q116" s="220"/>
      <c r="R116" s="171"/>
      <c r="S116" s="249" t="s">
        <v>115</v>
      </c>
      <c r="T116" s="162"/>
      <c r="U116" s="162"/>
      <c r="V116" s="162"/>
      <c r="W116" s="162"/>
      <c r="X116" s="163"/>
      <c r="Y116" s="215" t="s">
        <v>142</v>
      </c>
      <c r="Z116" s="162"/>
      <c r="AA116" s="162"/>
      <c r="AB116" s="162"/>
      <c r="AC116" s="162"/>
      <c r="AD116" s="163"/>
      <c r="AE116" s="215"/>
      <c r="AF116" s="162"/>
      <c r="AG116" s="162"/>
      <c r="AH116" s="163"/>
    </row>
    <row r="117" spans="5:34" ht="12" customHeight="1" x14ac:dyDescent="0.15">
      <c r="G117" s="106">
        <v>6</v>
      </c>
      <c r="H117" s="250" t="s">
        <v>232</v>
      </c>
      <c r="I117" s="162"/>
      <c r="J117" s="162"/>
      <c r="K117" s="162"/>
      <c r="L117" s="162"/>
      <c r="M117" s="163"/>
      <c r="N117" s="169"/>
      <c r="O117" s="220"/>
      <c r="P117" s="220"/>
      <c r="Q117" s="220"/>
      <c r="R117" s="171"/>
      <c r="S117" s="249" t="s">
        <v>233</v>
      </c>
      <c r="T117" s="162"/>
      <c r="U117" s="162"/>
      <c r="V117" s="162"/>
      <c r="W117" s="162"/>
      <c r="X117" s="163"/>
      <c r="Y117" s="215" t="s">
        <v>142</v>
      </c>
      <c r="Z117" s="162"/>
      <c r="AA117" s="162"/>
      <c r="AB117" s="162"/>
      <c r="AC117" s="162"/>
      <c r="AD117" s="163"/>
      <c r="AE117" s="215"/>
      <c r="AF117" s="162"/>
      <c r="AG117" s="162"/>
      <c r="AH117" s="163"/>
    </row>
    <row r="118" spans="5:34" ht="12" customHeight="1" x14ac:dyDescent="0.15">
      <c r="G118" s="106">
        <v>7</v>
      </c>
      <c r="H118" s="249" t="s">
        <v>234</v>
      </c>
      <c r="I118" s="162"/>
      <c r="J118" s="162"/>
      <c r="K118" s="162"/>
      <c r="L118" s="162"/>
      <c r="M118" s="163"/>
      <c r="N118" s="169"/>
      <c r="O118" s="220"/>
      <c r="P118" s="220"/>
      <c r="Q118" s="220"/>
      <c r="R118" s="171"/>
      <c r="S118" s="250" t="s">
        <v>88</v>
      </c>
      <c r="T118" s="162"/>
      <c r="U118" s="162"/>
      <c r="V118" s="162"/>
      <c r="W118" s="162"/>
      <c r="X118" s="163"/>
      <c r="Y118" s="215" t="s">
        <v>142</v>
      </c>
      <c r="Z118" s="162"/>
      <c r="AA118" s="162"/>
      <c r="AB118" s="162"/>
      <c r="AC118" s="162"/>
      <c r="AD118" s="163"/>
      <c r="AE118" s="215"/>
      <c r="AF118" s="162"/>
      <c r="AG118" s="162"/>
      <c r="AH118" s="163"/>
    </row>
    <row r="119" spans="5:34" ht="12" customHeight="1" x14ac:dyDescent="0.15">
      <c r="G119" s="106">
        <v>8</v>
      </c>
      <c r="H119" s="249" t="s">
        <v>108</v>
      </c>
      <c r="I119" s="162"/>
      <c r="J119" s="162"/>
      <c r="K119" s="162"/>
      <c r="L119" s="162"/>
      <c r="M119" s="163"/>
      <c r="N119" s="169"/>
      <c r="O119" s="220"/>
      <c r="P119" s="220"/>
      <c r="Q119" s="220"/>
      <c r="R119" s="171"/>
      <c r="S119" s="250" t="s">
        <v>105</v>
      </c>
      <c r="T119" s="162"/>
      <c r="U119" s="162"/>
      <c r="V119" s="162"/>
      <c r="W119" s="162"/>
      <c r="X119" s="163"/>
      <c r="Y119" s="215" t="s">
        <v>142</v>
      </c>
      <c r="Z119" s="162"/>
      <c r="AA119" s="162"/>
      <c r="AB119" s="162"/>
      <c r="AC119" s="162"/>
      <c r="AD119" s="163"/>
      <c r="AE119" s="215"/>
      <c r="AF119" s="162"/>
      <c r="AG119" s="162"/>
      <c r="AH119" s="163"/>
    </row>
    <row r="120" spans="5:34" ht="39.950000000000003" customHeight="1" x14ac:dyDescent="0.15">
      <c r="G120" s="106">
        <v>9</v>
      </c>
      <c r="H120" s="249" t="s">
        <v>235</v>
      </c>
      <c r="I120" s="162"/>
      <c r="J120" s="162"/>
      <c r="K120" s="162"/>
      <c r="L120" s="162"/>
      <c r="M120" s="163"/>
      <c r="N120" s="169"/>
      <c r="O120" s="220"/>
      <c r="P120" s="220"/>
      <c r="Q120" s="220"/>
      <c r="R120" s="171"/>
      <c r="S120" s="249" t="s">
        <v>110</v>
      </c>
      <c r="T120" s="162"/>
      <c r="U120" s="162"/>
      <c r="V120" s="162"/>
      <c r="W120" s="162"/>
      <c r="X120" s="163"/>
      <c r="Y120" s="215" t="s">
        <v>142</v>
      </c>
      <c r="Z120" s="162"/>
      <c r="AA120" s="162"/>
      <c r="AB120" s="162"/>
      <c r="AC120" s="162"/>
      <c r="AD120" s="163"/>
      <c r="AE120" s="215"/>
      <c r="AF120" s="162"/>
      <c r="AG120" s="162"/>
      <c r="AH120" s="163"/>
    </row>
    <row r="121" spans="5:34" ht="12" customHeight="1" x14ac:dyDescent="0.15">
      <c r="G121" s="106">
        <v>10</v>
      </c>
      <c r="H121" s="249" t="s">
        <v>236</v>
      </c>
      <c r="I121" s="162"/>
      <c r="J121" s="162"/>
      <c r="K121" s="162"/>
      <c r="L121" s="162"/>
      <c r="M121" s="163"/>
      <c r="N121" s="169"/>
      <c r="O121" s="220"/>
      <c r="P121" s="220"/>
      <c r="Q121" s="220"/>
      <c r="R121" s="171"/>
      <c r="S121" s="249" t="s">
        <v>113</v>
      </c>
      <c r="T121" s="162"/>
      <c r="U121" s="162"/>
      <c r="V121" s="162"/>
      <c r="W121" s="162"/>
      <c r="X121" s="163"/>
      <c r="Y121" s="215" t="s">
        <v>142</v>
      </c>
      <c r="Z121" s="162"/>
      <c r="AA121" s="162"/>
      <c r="AB121" s="162"/>
      <c r="AC121" s="162"/>
      <c r="AD121" s="163"/>
      <c r="AE121" s="215"/>
      <c r="AF121" s="162"/>
      <c r="AG121" s="162"/>
      <c r="AH121" s="163"/>
    </row>
    <row r="122" spans="5:34" ht="12" customHeight="1" x14ac:dyDescent="0.15">
      <c r="G122" s="106">
        <v>11</v>
      </c>
      <c r="H122" s="250" t="s">
        <v>71</v>
      </c>
      <c r="I122" s="162"/>
      <c r="J122" s="162"/>
      <c r="K122" s="162"/>
      <c r="L122" s="162"/>
      <c r="M122" s="163"/>
      <c r="N122" s="169"/>
      <c r="O122" s="220"/>
      <c r="P122" s="220"/>
      <c r="Q122" s="220"/>
      <c r="R122" s="171"/>
      <c r="S122" s="250" t="s">
        <v>71</v>
      </c>
      <c r="T122" s="162"/>
      <c r="U122" s="162"/>
      <c r="V122" s="162"/>
      <c r="W122" s="162"/>
      <c r="X122" s="163"/>
      <c r="Y122" s="215" t="s">
        <v>142</v>
      </c>
      <c r="Z122" s="162"/>
      <c r="AA122" s="162"/>
      <c r="AB122" s="162"/>
      <c r="AC122" s="162"/>
      <c r="AD122" s="163"/>
      <c r="AE122" s="215"/>
      <c r="AF122" s="162"/>
      <c r="AG122" s="162"/>
      <c r="AH122" s="163"/>
    </row>
    <row r="123" spans="5:34" ht="12" customHeight="1" x14ac:dyDescent="0.15">
      <c r="G123" s="106">
        <v>12</v>
      </c>
      <c r="H123" s="250" t="s">
        <v>237</v>
      </c>
      <c r="I123" s="162"/>
      <c r="J123" s="162"/>
      <c r="K123" s="162"/>
      <c r="L123" s="162"/>
      <c r="M123" s="163"/>
      <c r="N123" s="172"/>
      <c r="O123" s="173"/>
      <c r="P123" s="173"/>
      <c r="Q123" s="173"/>
      <c r="R123" s="174"/>
      <c r="S123" s="250" t="s">
        <v>237</v>
      </c>
      <c r="T123" s="162"/>
      <c r="U123" s="162"/>
      <c r="V123" s="162"/>
      <c r="W123" s="162"/>
      <c r="X123" s="163"/>
      <c r="Y123" s="215" t="s">
        <v>142</v>
      </c>
      <c r="Z123" s="162"/>
      <c r="AA123" s="162"/>
      <c r="AB123" s="162"/>
      <c r="AC123" s="162"/>
      <c r="AD123" s="163"/>
      <c r="AE123" s="215"/>
      <c r="AF123" s="162"/>
      <c r="AG123" s="162"/>
      <c r="AH123" s="163"/>
    </row>
    <row r="124" spans="5:34" ht="12" customHeight="1" x14ac:dyDescent="0.15">
      <c r="G124" s="106">
        <v>13</v>
      </c>
      <c r="H124" s="249" t="s">
        <v>238</v>
      </c>
      <c r="I124" s="162"/>
      <c r="J124" s="162"/>
      <c r="K124" s="162"/>
      <c r="L124" s="162"/>
      <c r="M124" s="163"/>
      <c r="N124" s="135" t="s">
        <v>22</v>
      </c>
      <c r="O124" s="127"/>
      <c r="P124" s="127"/>
      <c r="Q124" s="127"/>
      <c r="R124" s="128"/>
      <c r="S124" s="249" t="s">
        <v>22</v>
      </c>
      <c r="T124" s="162"/>
      <c r="U124" s="162"/>
      <c r="V124" s="162"/>
      <c r="W124" s="162"/>
      <c r="X124" s="163"/>
      <c r="Y124" s="175" t="s">
        <v>239</v>
      </c>
      <c r="Z124" s="162"/>
      <c r="AA124" s="162"/>
      <c r="AB124" s="162"/>
      <c r="AC124" s="162"/>
      <c r="AD124" s="163"/>
      <c r="AE124" s="215"/>
      <c r="AF124" s="162"/>
      <c r="AG124" s="162"/>
      <c r="AH124" s="163"/>
    </row>
    <row r="125" spans="5:34" ht="12" customHeight="1" x14ac:dyDescent="0.15"/>
    <row r="127" spans="5:34" x14ac:dyDescent="0.15">
      <c r="E127" s="16" t="s">
        <v>200</v>
      </c>
    </row>
    <row r="129" spans="4:6" x14ac:dyDescent="0.15">
      <c r="F129" t="s">
        <v>240</v>
      </c>
    </row>
    <row r="132" spans="4:6" x14ac:dyDescent="0.15">
      <c r="D132" t="s">
        <v>241</v>
      </c>
    </row>
    <row r="134" spans="4:6" x14ac:dyDescent="0.15">
      <c r="E134" s="16" t="s">
        <v>242</v>
      </c>
    </row>
    <row r="136" spans="4:6" x14ac:dyDescent="0.15">
      <c r="F136" t="s">
        <v>243</v>
      </c>
    </row>
  </sheetData>
  <mergeCells count="294"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C3:AF3"/>
    <mergeCell ref="U68:Y68"/>
    <mergeCell ref="Z65:AB65"/>
    <mergeCell ref="S113:X113"/>
    <mergeCell ref="Z74:AB74"/>
    <mergeCell ref="AE117:AH117"/>
    <mergeCell ref="E43:M43"/>
    <mergeCell ref="U52:Y52"/>
    <mergeCell ref="AE122:AH122"/>
    <mergeCell ref="E1:N1"/>
    <mergeCell ref="Z88:AD88"/>
    <mergeCell ref="S115:X115"/>
    <mergeCell ref="Y117:AD117"/>
    <mergeCell ref="AD74:AG74"/>
    <mergeCell ref="E42:M42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L72:AP72"/>
    <mergeCell ref="AL62:AP62"/>
    <mergeCell ref="AL71:AP71"/>
    <mergeCell ref="AL64:AP64"/>
    <mergeCell ref="AL51:AP51"/>
    <mergeCell ref="AL73:AP73"/>
    <mergeCell ref="AL54:AP54"/>
    <mergeCell ref="Z57:AB57"/>
    <mergeCell ref="Z90:AD90"/>
    <mergeCell ref="M63:T63"/>
    <mergeCell ref="I62:L62"/>
    <mergeCell ref="Z66:AB66"/>
    <mergeCell ref="AL63:AP63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Z61:AB61"/>
    <mergeCell ref="Z75:AB75"/>
    <mergeCell ref="AC1:AF1"/>
    <mergeCell ref="E2:N2"/>
    <mergeCell ref="E80:J81"/>
    <mergeCell ref="I49:L50"/>
    <mergeCell ref="V43:AC43"/>
    <mergeCell ref="AD61:AG61"/>
    <mergeCell ref="M59:T59"/>
    <mergeCell ref="V42:AC42"/>
    <mergeCell ref="D80:D81"/>
    <mergeCell ref="U65:Y65"/>
    <mergeCell ref="AD72:AG72"/>
    <mergeCell ref="U74:Y74"/>
    <mergeCell ref="I59:L59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U54:Y54"/>
    <mergeCell ref="Y112:AD112"/>
    <mergeCell ref="V83:AH83"/>
    <mergeCell ref="AL58:AP58"/>
    <mergeCell ref="Y114:AD114"/>
    <mergeCell ref="AL60:AP60"/>
    <mergeCell ref="S111:X111"/>
    <mergeCell ref="AL69:AP69"/>
    <mergeCell ref="Y113:AD113"/>
    <mergeCell ref="AE112:AH112"/>
    <mergeCell ref="K82:N82"/>
    <mergeCell ref="AL59:AP59"/>
    <mergeCell ref="E90:J90"/>
    <mergeCell ref="E66:H66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Y124:AD124"/>
    <mergeCell ref="AD73:AG73"/>
    <mergeCell ref="E67:H67"/>
    <mergeCell ref="R89:Y89"/>
    <mergeCell ref="S124:X124"/>
    <mergeCell ref="N113:R123"/>
    <mergeCell ref="H120:M120"/>
    <mergeCell ref="S119:X119"/>
    <mergeCell ref="AE119:AH119"/>
    <mergeCell ref="AE114:AH114"/>
    <mergeCell ref="M64:T64"/>
    <mergeCell ref="M73:T73"/>
    <mergeCell ref="I69:L69"/>
    <mergeCell ref="I74:L74"/>
    <mergeCell ref="Y118:AD118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D58:AG58"/>
    <mergeCell ref="M54:T54"/>
    <mergeCell ref="I61:L61"/>
    <mergeCell ref="AD63:AG63"/>
    <mergeCell ref="M49:T50"/>
    <mergeCell ref="AC49:AC50"/>
    <mergeCell ref="I60:L60"/>
    <mergeCell ref="AD62:AG62"/>
    <mergeCell ref="AD56:AG56"/>
    <mergeCell ref="M60:T60"/>
    <mergeCell ref="H121:M121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E53:H53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U73:Y73"/>
    <mergeCell ref="AE88:AH88"/>
    <mergeCell ref="H113:M113"/>
    <mergeCell ref="Z70:AB70"/>
    <mergeCell ref="M72:T72"/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A2:AB2"/>
    <mergeCell ref="E74:H74"/>
    <mergeCell ref="O1:R3"/>
    <mergeCell ref="AA1:AB1"/>
  </mergeCells>
  <phoneticPr fontId="10"/>
  <dataValidations disablePrompts="1" count="5">
    <dataValidation type="list" allowBlank="1" showInputMessage="1" showErrorMessage="1" sqref="N43:P43" xr:uid="{00000000-0002-0000-0500-000000000000}">
      <formula1>"-,○,×"</formula1>
    </dataValidation>
    <dataValidation type="list" allowBlank="1" showInputMessage="1" showErrorMessage="1" sqref="P82:U83 AC52:AC75" xr:uid="{00000000-0002-0000-0500-000001000000}">
      <formula1>"-,○"</formula1>
    </dataValidation>
    <dataValidation type="list" allowBlank="1" showInputMessage="1" showErrorMessage="1" sqref="I52:I75" xr:uid="{00000000-0002-0000-0500-000002000000}">
      <formula1>画面項目種類</formula1>
    </dataValidation>
    <dataValidation type="list" allowBlank="1" showInputMessage="1" showErrorMessage="1" sqref="K82:N83" xr:uid="{00000000-0002-0000-0500-000003000000}">
      <formula1>種別一覧</formula1>
    </dataValidation>
    <dataValidation type="list" allowBlank="1" showInputMessage="1" showErrorMessage="1" sqref="O82:O83" xr:uid="{00000000-0002-0000-05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3" manualBreakCount="3">
    <brk id="38" max="34" man="1"/>
    <brk id="76" max="34" man="1"/>
    <brk id="91" max="3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A1:BA7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41" width="4.83203125" style="16" customWidth="1"/>
    <col min="42" max="16384" width="4.83203125" style="16"/>
  </cols>
  <sheetData>
    <row r="1" spans="1:37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7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7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7" ht="12" customHeight="1" x14ac:dyDescent="0.15"/>
    <row r="5" spans="1:37" ht="12" customHeight="1" x14ac:dyDescent="0.15">
      <c r="B5" t="s">
        <v>52</v>
      </c>
    </row>
    <row r="6" spans="1:37" ht="12" customHeight="1" x14ac:dyDescent="0.15">
      <c r="C6" s="16" t="s">
        <v>53</v>
      </c>
    </row>
    <row r="7" spans="1:37" ht="12" customHeight="1" x14ac:dyDescent="0.15"/>
    <row r="8" spans="1:37" ht="12" customHeight="1" x14ac:dyDescent="0.15">
      <c r="AK8" s="140"/>
    </row>
    <row r="9" spans="1:37" ht="12" customHeight="1" x14ac:dyDescent="0.15"/>
    <row r="10" spans="1:37" ht="12" customHeight="1" x14ac:dyDescent="0.15"/>
    <row r="11" spans="1:37" ht="12" customHeight="1" x14ac:dyDescent="0.15"/>
    <row r="12" spans="1:37" ht="12" customHeight="1" x14ac:dyDescent="0.15"/>
    <row r="13" spans="1:37" ht="12" customHeight="1" x14ac:dyDescent="0.15"/>
    <row r="14" spans="1:37" ht="12" customHeight="1" x14ac:dyDescent="0.15"/>
    <row r="15" spans="1:37" ht="12" customHeight="1" x14ac:dyDescent="0.15"/>
    <row r="16" spans="1:37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</row>
    <row r="35" spans="3:53" x14ac:dyDescent="0.15">
      <c r="C35" s="26" t="s">
        <v>54</v>
      </c>
      <c r="D35" s="103"/>
      <c r="E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</row>
    <row r="36" spans="3:53" x14ac:dyDescent="0.15">
      <c r="C36" s="29"/>
      <c r="D36" s="103"/>
      <c r="E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</row>
    <row r="37" spans="3:53" x14ac:dyDescent="0.15">
      <c r="D37" s="97" t="s">
        <v>13</v>
      </c>
      <c r="E37" s="253" t="s">
        <v>68</v>
      </c>
      <c r="F37" s="223"/>
      <c r="G37" s="223"/>
      <c r="H37" s="223"/>
      <c r="I37" s="223"/>
      <c r="J37" s="223"/>
      <c r="K37" s="223"/>
      <c r="L37" s="223"/>
      <c r="M37" s="224"/>
      <c r="N37" s="231" t="s">
        <v>69</v>
      </c>
      <c r="O37" s="223"/>
      <c r="P37" s="224"/>
      <c r="Q37" s="231" t="s">
        <v>70</v>
      </c>
      <c r="R37" s="223"/>
      <c r="S37" s="223"/>
      <c r="T37" s="223"/>
      <c r="U37" s="224"/>
      <c r="V37" s="253" t="s">
        <v>71</v>
      </c>
      <c r="W37" s="223"/>
      <c r="X37" s="223"/>
      <c r="Y37" s="223"/>
      <c r="Z37" s="223"/>
      <c r="AA37" s="223"/>
      <c r="AB37" s="223"/>
      <c r="AC37" s="224"/>
      <c r="AD37" s="103"/>
      <c r="AE37" s="103"/>
      <c r="AF37" s="103"/>
      <c r="AG37" s="103"/>
      <c r="AH37" s="103"/>
    </row>
    <row r="38" spans="3:53" ht="11.25" customHeight="1" x14ac:dyDescent="0.15">
      <c r="D38" s="124">
        <v>1</v>
      </c>
      <c r="E38" s="244" t="s">
        <v>22</v>
      </c>
      <c r="F38" s="203"/>
      <c r="G38" s="203"/>
      <c r="H38" s="203"/>
      <c r="I38" s="203"/>
      <c r="J38" s="203"/>
      <c r="K38" s="203"/>
      <c r="L38" s="203"/>
      <c r="M38" s="204"/>
      <c r="N38" s="244" t="s">
        <v>22</v>
      </c>
      <c r="O38" s="203"/>
      <c r="P38" s="204"/>
      <c r="Q38" s="244" t="s">
        <v>22</v>
      </c>
      <c r="R38" s="203"/>
      <c r="S38" s="203"/>
      <c r="T38" s="203"/>
      <c r="U38" s="204"/>
      <c r="V38" s="244"/>
      <c r="W38" s="203"/>
      <c r="X38" s="203"/>
      <c r="Y38" s="203"/>
      <c r="Z38" s="203"/>
      <c r="AA38" s="203"/>
      <c r="AB38" s="203"/>
      <c r="AC38" s="204"/>
      <c r="AM38" s="29"/>
    </row>
    <row r="39" spans="3:53" ht="11.25" customHeight="1" x14ac:dyDescent="0.15"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M39" s="29"/>
    </row>
    <row r="40" spans="3:53" ht="11.25" customHeight="1" x14ac:dyDescent="0.15"/>
    <row r="41" spans="3:53" x14ac:dyDescent="0.15">
      <c r="C41" t="s">
        <v>55</v>
      </c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</row>
    <row r="42" spans="3:53" s="63" customFormat="1" x14ac:dyDescent="0.15"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</row>
    <row r="43" spans="3:53" s="64" customFormat="1" ht="11.25" customHeight="1" x14ac:dyDescent="0.15">
      <c r="D43" s="255" t="s">
        <v>13</v>
      </c>
      <c r="E43" s="197" t="s">
        <v>72</v>
      </c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3"/>
      <c r="AD43" s="198" t="s">
        <v>73</v>
      </c>
      <c r="AE43" s="167"/>
      <c r="AF43" s="167"/>
      <c r="AG43" s="168"/>
      <c r="AH43" s="29"/>
      <c r="AI43" s="29"/>
      <c r="AK43" s="92"/>
      <c r="AL43" s="92"/>
    </row>
    <row r="44" spans="3:53" s="64" customFormat="1" ht="11.25" customHeight="1" x14ac:dyDescent="0.15">
      <c r="D44" s="218"/>
      <c r="E44" s="198" t="s">
        <v>75</v>
      </c>
      <c r="F44" s="167"/>
      <c r="G44" s="167"/>
      <c r="H44" s="168"/>
      <c r="I44" s="225" t="s">
        <v>76</v>
      </c>
      <c r="J44" s="167"/>
      <c r="K44" s="167"/>
      <c r="L44" s="168"/>
      <c r="M44" s="225" t="s">
        <v>77</v>
      </c>
      <c r="N44" s="167"/>
      <c r="O44" s="167"/>
      <c r="P44" s="167"/>
      <c r="Q44" s="167"/>
      <c r="R44" s="167"/>
      <c r="S44" s="167"/>
      <c r="T44" s="168"/>
      <c r="U44" s="255" t="s">
        <v>78</v>
      </c>
      <c r="V44" s="167"/>
      <c r="W44" s="167"/>
      <c r="X44" s="167"/>
      <c r="Y44" s="168"/>
      <c r="Z44" s="255" t="s">
        <v>79</v>
      </c>
      <c r="AA44" s="167"/>
      <c r="AB44" s="168"/>
      <c r="AC44" s="198" t="s">
        <v>80</v>
      </c>
      <c r="AD44" s="169"/>
      <c r="AE44" s="258"/>
      <c r="AF44" s="258"/>
      <c r="AG44" s="171"/>
      <c r="AH44" s="29"/>
      <c r="AI44" s="29"/>
      <c r="AK44" s="92"/>
      <c r="AL44" s="92"/>
    </row>
    <row r="45" spans="3:53" s="64" customFormat="1" x14ac:dyDescent="0.15">
      <c r="D45" s="210"/>
      <c r="E45" s="172"/>
      <c r="F45" s="173"/>
      <c r="G45" s="173"/>
      <c r="H45" s="174"/>
      <c r="I45" s="172"/>
      <c r="J45" s="173"/>
      <c r="K45" s="173"/>
      <c r="L45" s="174"/>
      <c r="M45" s="172"/>
      <c r="N45" s="173"/>
      <c r="O45" s="173"/>
      <c r="P45" s="173"/>
      <c r="Q45" s="173"/>
      <c r="R45" s="173"/>
      <c r="S45" s="173"/>
      <c r="T45" s="174"/>
      <c r="U45" s="172"/>
      <c r="V45" s="173"/>
      <c r="W45" s="173"/>
      <c r="X45" s="173"/>
      <c r="Y45" s="174"/>
      <c r="Z45" s="172"/>
      <c r="AA45" s="173"/>
      <c r="AB45" s="174"/>
      <c r="AC45" s="210"/>
      <c r="AD45" s="172"/>
      <c r="AE45" s="173"/>
      <c r="AF45" s="173"/>
      <c r="AG45" s="174"/>
      <c r="AH45" s="29"/>
      <c r="AI45" s="29"/>
      <c r="AK45" s="92"/>
      <c r="AL45" s="92"/>
    </row>
    <row r="46" spans="3:53" ht="12" customHeight="1" x14ac:dyDescent="0.15">
      <c r="D46" s="106">
        <v>1</v>
      </c>
      <c r="E46" s="215" t="s">
        <v>244</v>
      </c>
      <c r="F46" s="162"/>
      <c r="G46" s="162"/>
      <c r="H46" s="163"/>
      <c r="I46" s="259" t="s">
        <v>106</v>
      </c>
      <c r="J46" s="162"/>
      <c r="K46" s="162"/>
      <c r="L46" s="163"/>
      <c r="M46" s="175" t="s">
        <v>22</v>
      </c>
      <c r="N46" s="162"/>
      <c r="O46" s="162"/>
      <c r="P46" s="162"/>
      <c r="Q46" s="162"/>
      <c r="R46" s="162"/>
      <c r="S46" s="162"/>
      <c r="T46" s="163"/>
      <c r="U46" s="215" t="s">
        <v>22</v>
      </c>
      <c r="V46" s="162"/>
      <c r="W46" s="162"/>
      <c r="X46" s="162"/>
      <c r="Y46" s="163"/>
      <c r="Z46" s="229" t="s">
        <v>22</v>
      </c>
      <c r="AA46" s="162"/>
      <c r="AB46" s="163"/>
      <c r="AC46" s="112" t="s">
        <v>22</v>
      </c>
      <c r="AD46" s="118" t="s">
        <v>22</v>
      </c>
      <c r="AE46" s="119"/>
      <c r="AF46" s="119"/>
      <c r="AG46" s="120"/>
      <c r="AH46" s="103"/>
    </row>
    <row r="47" spans="3:53" ht="11.25" customHeight="1" x14ac:dyDescent="0.15">
      <c r="D47" s="95"/>
      <c r="E47" s="75"/>
      <c r="F47" s="75"/>
      <c r="G47" s="75"/>
      <c r="H47" s="75"/>
      <c r="I47" s="107"/>
      <c r="J47" s="107"/>
      <c r="K47" s="107"/>
      <c r="L47" s="107"/>
      <c r="M47" s="96"/>
      <c r="N47" s="96"/>
      <c r="O47" s="96"/>
      <c r="P47" s="96"/>
      <c r="Q47" s="96"/>
      <c r="R47" s="75"/>
      <c r="S47" s="75"/>
      <c r="T47" s="75"/>
      <c r="U47" s="99"/>
      <c r="V47" s="75"/>
      <c r="W47" s="75"/>
      <c r="X47" s="75"/>
      <c r="Y47" s="75"/>
      <c r="Z47" s="104"/>
      <c r="AA47" s="104"/>
      <c r="AB47" s="104"/>
      <c r="AC47" s="104"/>
      <c r="AD47" s="104"/>
      <c r="AE47" s="104"/>
      <c r="AF47" s="104"/>
      <c r="AG47" s="104"/>
      <c r="AH47" s="103"/>
      <c r="AJ47" s="117"/>
      <c r="AK47" s="117"/>
      <c r="AL47" s="117"/>
      <c r="AM47" s="117"/>
    </row>
    <row r="48" spans="3:53" x14ac:dyDescent="0.15">
      <c r="D48" s="64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100"/>
      <c r="Y48" s="100"/>
      <c r="Z48" s="100"/>
      <c r="AA48" s="100"/>
      <c r="AB48" s="96"/>
      <c r="AC48" s="96"/>
      <c r="AD48" s="96"/>
      <c r="AE48" s="96"/>
      <c r="AF48" s="96"/>
      <c r="AG48" s="96"/>
      <c r="AH48" s="96"/>
      <c r="AI48" s="96"/>
      <c r="AJ48" s="96"/>
    </row>
    <row r="49" spans="3:36" x14ac:dyDescent="0.15">
      <c r="C49" s="16" t="s">
        <v>56</v>
      </c>
      <c r="D49" s="64"/>
      <c r="E49" s="96"/>
      <c r="F49" s="12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100"/>
      <c r="Y49" s="100"/>
      <c r="Z49" s="100"/>
      <c r="AA49" s="100"/>
      <c r="AB49" s="96"/>
      <c r="AC49" s="96"/>
      <c r="AD49" s="96"/>
      <c r="AE49" s="96"/>
      <c r="AF49" s="96"/>
      <c r="AG49" s="96"/>
      <c r="AH49" s="96"/>
      <c r="AI49" s="96"/>
      <c r="AJ49" s="96"/>
    </row>
    <row r="50" spans="3:36" ht="11.25" customHeight="1" x14ac:dyDescent="0.15">
      <c r="AI50" s="96"/>
      <c r="AJ50" s="96"/>
    </row>
    <row r="51" spans="3:36" x14ac:dyDescent="0.15">
      <c r="D51" s="235" t="s">
        <v>13</v>
      </c>
      <c r="E51" s="200" t="s">
        <v>124</v>
      </c>
      <c r="F51" s="167"/>
      <c r="G51" s="167"/>
      <c r="H51" s="167"/>
      <c r="I51" s="167"/>
      <c r="J51" s="168"/>
      <c r="K51" s="200" t="s">
        <v>125</v>
      </c>
      <c r="L51" s="167"/>
      <c r="M51" s="167"/>
      <c r="N51" s="168"/>
      <c r="O51" s="209" t="s">
        <v>126</v>
      </c>
      <c r="P51" s="108" t="s">
        <v>127</v>
      </c>
      <c r="Q51" s="109"/>
      <c r="R51" s="109"/>
      <c r="S51" s="109"/>
      <c r="T51" s="109"/>
      <c r="U51" s="109"/>
      <c r="V51" s="200" t="s">
        <v>71</v>
      </c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8"/>
    </row>
    <row r="52" spans="3:36" x14ac:dyDescent="0.15">
      <c r="D52" s="210"/>
      <c r="E52" s="172"/>
      <c r="F52" s="173"/>
      <c r="G52" s="173"/>
      <c r="H52" s="173"/>
      <c r="I52" s="173"/>
      <c r="J52" s="174"/>
      <c r="K52" s="172"/>
      <c r="L52" s="173"/>
      <c r="M52" s="173"/>
      <c r="N52" s="174"/>
      <c r="O52" s="210"/>
      <c r="P52" s="110" t="s">
        <v>128</v>
      </c>
      <c r="Q52" s="110" t="s">
        <v>129</v>
      </c>
      <c r="R52" s="110" t="s">
        <v>130</v>
      </c>
      <c r="S52" s="110" t="s">
        <v>131</v>
      </c>
      <c r="T52" s="201" t="s">
        <v>132</v>
      </c>
      <c r="U52" s="163"/>
      <c r="V52" s="172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4"/>
    </row>
    <row r="53" spans="3:36" x14ac:dyDescent="0.15">
      <c r="D53" s="111">
        <v>1</v>
      </c>
      <c r="E53" s="215" t="s">
        <v>22</v>
      </c>
      <c r="F53" s="162"/>
      <c r="G53" s="162"/>
      <c r="H53" s="162"/>
      <c r="I53" s="162"/>
      <c r="J53" s="163"/>
      <c r="K53" s="215" t="s">
        <v>22</v>
      </c>
      <c r="L53" s="162"/>
      <c r="M53" s="162"/>
      <c r="N53" s="163"/>
      <c r="O53" s="98" t="s">
        <v>22</v>
      </c>
      <c r="P53" s="112" t="s">
        <v>22</v>
      </c>
      <c r="Q53" s="112" t="s">
        <v>22</v>
      </c>
      <c r="R53" s="112" t="s">
        <v>22</v>
      </c>
      <c r="S53" s="112" t="s">
        <v>22</v>
      </c>
      <c r="T53" s="207" t="s">
        <v>22</v>
      </c>
      <c r="U53" s="163"/>
      <c r="V53" s="215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3"/>
    </row>
    <row r="54" spans="3:36" x14ac:dyDescent="0.15"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</row>
    <row r="55" spans="3:36" x14ac:dyDescent="0.15"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</row>
    <row r="56" spans="3:36" x14ac:dyDescent="0.15">
      <c r="C56" s="16" t="s">
        <v>57</v>
      </c>
    </row>
    <row r="58" spans="3:36" ht="15" customHeight="1" x14ac:dyDescent="0.15">
      <c r="D58" s="125" t="s">
        <v>13</v>
      </c>
      <c r="E58" s="198" t="s">
        <v>136</v>
      </c>
      <c r="F58" s="162"/>
      <c r="G58" s="162"/>
      <c r="H58" s="163"/>
      <c r="I58" s="198" t="s">
        <v>137</v>
      </c>
      <c r="J58" s="162"/>
      <c r="K58" s="162"/>
      <c r="L58" s="162"/>
      <c r="M58" s="162"/>
      <c r="N58" s="162"/>
      <c r="O58" s="163"/>
      <c r="P58" s="240" t="s">
        <v>138</v>
      </c>
      <c r="Q58" s="162"/>
      <c r="R58" s="162"/>
      <c r="S58" s="162"/>
      <c r="T58" s="162"/>
      <c r="U58" s="162"/>
      <c r="V58" s="162"/>
      <c r="W58" s="162"/>
      <c r="X58" s="162"/>
      <c r="Y58" s="163"/>
      <c r="Z58" s="255" t="s">
        <v>139</v>
      </c>
      <c r="AA58" s="162"/>
      <c r="AB58" s="162"/>
      <c r="AC58" s="162"/>
      <c r="AD58" s="163"/>
      <c r="AE58" s="260" t="s">
        <v>140</v>
      </c>
      <c r="AF58" s="223"/>
      <c r="AG58" s="223"/>
      <c r="AH58" s="224"/>
    </row>
    <row r="59" spans="3:36" ht="24.95" customHeight="1" x14ac:dyDescent="0.15">
      <c r="D59" s="116">
        <v>1</v>
      </c>
      <c r="E59" s="164" t="s">
        <v>245</v>
      </c>
      <c r="F59" s="162"/>
      <c r="G59" s="162"/>
      <c r="H59" s="163"/>
      <c r="I59" s="175" t="s">
        <v>246</v>
      </c>
      <c r="J59" s="162"/>
      <c r="K59" s="162"/>
      <c r="L59" s="162"/>
      <c r="M59" s="162"/>
      <c r="N59" s="162"/>
      <c r="O59" s="163"/>
      <c r="P59" s="175" t="s">
        <v>247</v>
      </c>
      <c r="Q59" s="162"/>
      <c r="R59" s="162"/>
      <c r="S59" s="162"/>
      <c r="T59" s="162"/>
      <c r="U59" s="162"/>
      <c r="V59" s="162"/>
      <c r="W59" s="162"/>
      <c r="X59" s="162"/>
      <c r="Y59" s="163"/>
      <c r="Z59" s="175" t="s">
        <v>63</v>
      </c>
      <c r="AA59" s="162"/>
      <c r="AB59" s="162"/>
      <c r="AC59" s="162"/>
      <c r="AD59" s="163"/>
      <c r="AE59" s="254" t="s">
        <v>144</v>
      </c>
      <c r="AF59" s="203"/>
      <c r="AG59" s="203"/>
      <c r="AH59" s="204"/>
    </row>
    <row r="60" spans="3:36" x14ac:dyDescent="0.15">
      <c r="AE60" s="256"/>
      <c r="AF60" s="257"/>
      <c r="AG60" s="257"/>
      <c r="AH60" s="257"/>
    </row>
    <row r="62" spans="3:36" x14ac:dyDescent="0.15">
      <c r="C62" t="s">
        <v>58</v>
      </c>
    </row>
    <row r="63" spans="3:36" x14ac:dyDescent="0.15">
      <c r="D63" t="s">
        <v>248</v>
      </c>
    </row>
    <row r="65" spans="1:5" x14ac:dyDescent="0.15">
      <c r="E65" t="s">
        <v>247</v>
      </c>
    </row>
    <row r="70" spans="1:5" x14ac:dyDescent="0.15">
      <c r="A70" s="94"/>
    </row>
    <row r="71" spans="1:5" x14ac:dyDescent="0.15">
      <c r="A71" s="94"/>
    </row>
    <row r="72" spans="1:5" x14ac:dyDescent="0.15">
      <c r="A72" s="94"/>
    </row>
    <row r="74" spans="1:5" ht="11.25" customHeight="1" x14ac:dyDescent="0.15"/>
    <row r="76" spans="1:5" ht="11.25" customHeight="1" x14ac:dyDescent="0.15"/>
  </sheetData>
  <mergeCells count="60">
    <mergeCell ref="E59:H59"/>
    <mergeCell ref="O1:R3"/>
    <mergeCell ref="Z59:AD59"/>
    <mergeCell ref="A2:D2"/>
    <mergeCell ref="V37:AC37"/>
    <mergeCell ref="AC1:AF1"/>
    <mergeCell ref="E2:N2"/>
    <mergeCell ref="E38:M38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D43:AG45"/>
    <mergeCell ref="I46:L46"/>
    <mergeCell ref="AG3:AI3"/>
    <mergeCell ref="E43:AC43"/>
    <mergeCell ref="E51:J52"/>
    <mergeCell ref="AA3:AB3"/>
    <mergeCell ref="P58:Y58"/>
    <mergeCell ref="N38:P38"/>
    <mergeCell ref="E58:H58"/>
    <mergeCell ref="E3:N3"/>
    <mergeCell ref="Q38:U38"/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</mergeCells>
  <phoneticPr fontId="10"/>
  <dataValidations disablePrompts="1" count="5">
    <dataValidation type="list" allowBlank="1" showInputMessage="1" showErrorMessage="1" sqref="I46:I47" xr:uid="{00000000-0002-0000-0600-000000000000}">
      <formula1>画面項目種類</formula1>
    </dataValidation>
    <dataValidation type="list" allowBlank="1" showInputMessage="1" showErrorMessage="1" sqref="N38:P38" xr:uid="{00000000-0002-0000-0600-000001000000}">
      <formula1>"-,有,無"</formula1>
    </dataValidation>
    <dataValidation type="list" allowBlank="1" showInputMessage="1" showErrorMessage="1" sqref="P53:T53 AC46" xr:uid="{00000000-0002-0000-0600-000002000000}">
      <formula1>"-,○,×"</formula1>
    </dataValidation>
    <dataValidation type="list" allowBlank="1" showInputMessage="1" showErrorMessage="1" sqref="K53:N53" xr:uid="{00000000-0002-0000-0600-000003000000}">
      <formula1>種別一覧</formula1>
    </dataValidation>
    <dataValidation type="list" allowBlank="1" showInputMessage="1" showErrorMessage="1" sqref="O53" xr:uid="{00000000-0002-0000-0600-000004000000}">
      <formula1>"-,I,O"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rowBreaks count="1" manualBreakCount="1">
    <brk id="33" max="34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pageSetUpPr fitToPage="1"/>
  </sheetPr>
  <dimension ref="A1:D14"/>
  <sheetViews>
    <sheetView showGridLines="0" view="pageBreakPreview" zoomScaleNormal="100" zoomScaleSheetLayoutView="100" workbookViewId="0"/>
  </sheetViews>
  <sheetFormatPr defaultColWidth="9.33203125" defaultRowHeight="11.25" x14ac:dyDescent="0.15"/>
  <cols>
    <col min="1" max="1" width="21" customWidth="1"/>
    <col min="2" max="2" width="30.5" bestFit="1" customWidth="1"/>
    <col min="3" max="3" width="16.83203125" bestFit="1" customWidth="1"/>
    <col min="4" max="4" width="25.1640625" customWidth="1"/>
  </cols>
  <sheetData>
    <row r="1" spans="1:4" x14ac:dyDescent="0.15">
      <c r="A1" s="53" t="s">
        <v>249</v>
      </c>
      <c r="B1" s="54" t="s">
        <v>250</v>
      </c>
      <c r="C1" s="55" t="s">
        <v>251</v>
      </c>
      <c r="D1" s="55" t="s">
        <v>140</v>
      </c>
    </row>
    <row r="2" spans="1:4" x14ac:dyDescent="0.15">
      <c r="A2" s="52" t="s">
        <v>22</v>
      </c>
      <c r="B2" s="56" t="s">
        <v>252</v>
      </c>
      <c r="C2" s="57" t="s">
        <v>22</v>
      </c>
      <c r="D2" s="52" t="s">
        <v>144</v>
      </c>
    </row>
    <row r="3" spans="1:4" x14ac:dyDescent="0.15">
      <c r="A3" s="52" t="s">
        <v>106</v>
      </c>
      <c r="B3" s="56" t="s">
        <v>253</v>
      </c>
      <c r="C3" s="52" t="s">
        <v>134</v>
      </c>
      <c r="D3" s="52" t="s">
        <v>148</v>
      </c>
    </row>
    <row r="4" spans="1:4" x14ac:dyDescent="0.15">
      <c r="A4" s="52" t="s">
        <v>90</v>
      </c>
      <c r="B4" s="52" t="s">
        <v>254</v>
      </c>
      <c r="C4" s="52" t="s">
        <v>255</v>
      </c>
      <c r="D4" s="52" t="s">
        <v>193</v>
      </c>
    </row>
    <row r="5" spans="1:4" x14ac:dyDescent="0.15">
      <c r="A5" s="52" t="s">
        <v>256</v>
      </c>
      <c r="B5" s="52" t="s">
        <v>257</v>
      </c>
      <c r="C5" s="52" t="s">
        <v>258</v>
      </c>
    </row>
    <row r="6" spans="1:4" x14ac:dyDescent="0.15">
      <c r="A6" s="52" t="s">
        <v>122</v>
      </c>
      <c r="C6" s="52" t="s">
        <v>259</v>
      </c>
    </row>
    <row r="7" spans="1:4" x14ac:dyDescent="0.15">
      <c r="A7" s="52" t="s">
        <v>98</v>
      </c>
      <c r="C7" s="52" t="s">
        <v>260</v>
      </c>
    </row>
    <row r="8" spans="1:4" x14ac:dyDescent="0.15">
      <c r="A8" s="52" t="s">
        <v>261</v>
      </c>
    </row>
    <row r="9" spans="1:4" x14ac:dyDescent="0.15">
      <c r="A9" s="52" t="s">
        <v>84</v>
      </c>
    </row>
    <row r="10" spans="1:4" x14ac:dyDescent="0.15">
      <c r="A10" s="52" t="s">
        <v>262</v>
      </c>
    </row>
    <row r="11" spans="1:4" x14ac:dyDescent="0.15">
      <c r="A11" s="52" t="s">
        <v>263</v>
      </c>
    </row>
    <row r="12" spans="1:4" x14ac:dyDescent="0.15">
      <c r="A12" s="52" t="s">
        <v>116</v>
      </c>
    </row>
    <row r="13" spans="1:4" x14ac:dyDescent="0.15">
      <c r="A13" s="52" t="s">
        <v>209</v>
      </c>
    </row>
    <row r="14" spans="1:4" x14ac:dyDescent="0.15">
      <c r="A14" s="52" t="s">
        <v>264</v>
      </c>
    </row>
  </sheetData>
  <phoneticPr fontId="10"/>
  <pageMargins left="0.74803149606299213" right="0.74803149606299213" top="0.98425196850393704" bottom="0.98425196850393704" header="0.51181102362204722" footer="0.51181102362204722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17</vt:i4>
      </vt:variant>
    </vt:vector>
  </HeadingPairs>
  <TitlesOfParts>
    <vt:vector size="27" baseType="lpstr">
      <vt:lpstr>エラーシート</vt:lpstr>
      <vt:lpstr>レビュー結果1回目</vt:lpstr>
      <vt:lpstr>表紙</vt:lpstr>
      <vt:lpstr>変更履歴</vt:lpstr>
      <vt:lpstr>目次</vt:lpstr>
      <vt:lpstr>1.  画面取引定義</vt:lpstr>
      <vt:lpstr>2. WA1020101(プロジェクト登録画面)</vt:lpstr>
      <vt:lpstr>3. WA1020102(プロジェクト登録確認画面)</vt:lpstr>
      <vt:lpstr>4. WA1020103(プロジェクト登録完了画面)</vt:lpstr>
      <vt:lpstr>データ</vt:lpstr>
      <vt:lpstr>'1.  画面取引定義'!_Toc46209822</vt:lpstr>
      <vt:lpstr>'1.  画面取引定義'!Print_Area</vt:lpstr>
      <vt:lpstr>'2. WA1020101(プロジェクト登録画面)'!Print_Area</vt:lpstr>
      <vt:lpstr>'3. WA1020102(プロジェクト登録確認画面)'!Print_Area</vt:lpstr>
      <vt:lpstr>'4. WA1020103(プロジェクト登録完了画面)'!Print_Area</vt:lpstr>
      <vt:lpstr>データ!Print_Area</vt:lpstr>
      <vt:lpstr>レビュー結果1回目!Print_Area</vt:lpstr>
      <vt:lpstr>表紙!Print_Area</vt:lpstr>
      <vt:lpstr>変更履歴!Print_Area</vt:lpstr>
      <vt:lpstr>目次!Print_Area</vt:lpstr>
      <vt:lpstr>'1.  画面取引定義'!Print_Titles</vt:lpstr>
      <vt:lpstr>'2. WA1020101(プロジェクト登録画面)'!Print_Titles</vt:lpstr>
      <vt:lpstr>'3. WA1020102(プロジェクト登録確認画面)'!Print_Titles</vt:lpstr>
      <vt:lpstr>'4. WA1020103(プロジェクト登録完了画面)'!Print_Titles</vt:lpstr>
      <vt:lpstr>引継項目格納先</vt:lpstr>
      <vt:lpstr>画面項目種類</vt:lpstr>
      <vt:lpstr>種別一覧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熊野　吾郎</cp:lastModifiedBy>
  <dcterms:created xsi:type="dcterms:W3CDTF">2022-09-22T01:54:30Z</dcterms:created>
  <dcterms:modified xsi:type="dcterms:W3CDTF">2026-03-14T13:03:59Z</dcterms:modified>
</cp:coreProperties>
</file>