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33\"/>
    </mc:Choice>
  </mc:AlternateContent>
  <xr:revisionPtr revIDLastSave="0" documentId="13_ncr:1_{92AF0AF8-585F-4C7F-AEF7-D2BBBF17AE89}" xr6:coauthVersionLast="47" xr6:coauthVersionMax="47" xr10:uidLastSave="{00000000-0000-0000-0000-000000000000}"/>
  <bookViews>
    <workbookView xWindow="4290" yWindow="4290" windowWidth="38700" windowHeight="15345" tabRatio="822" xr2:uid="{00000000-000D-0000-FFFF-FFFF00000000}"/>
  </bookViews>
  <sheets>
    <sheet name="エラーシート" sheetId="11" r:id="rId1"/>
    <sheet name="レビュー結果1回目" sheetId="10" r:id="rId2"/>
    <sheet name="表紙" sheetId="1" r:id="rId3"/>
    <sheet name="変更履歴" sheetId="2" r:id="rId4"/>
    <sheet name="目次" sheetId="3" r:id="rId5"/>
    <sheet name="1.  画面取引定義" sheetId="4" r:id="rId6"/>
    <sheet name="2. WA1020101(プロジェクト登録画面)" sheetId="5" r:id="rId7"/>
    <sheet name="3. WA1020102(プロジェクト登録確認画面)" sheetId="6" r:id="rId8"/>
    <sheet name="4. WA1020103(プロジェクト登録完了画面)" sheetId="7" r:id="rId9"/>
    <sheet name="データ" sheetId="8" state="hidden" r:id="rId10"/>
  </sheets>
  <definedNames>
    <definedName name="_Toc46209822" localSheetId="5">'1.  画面取引定義'!$B$5</definedName>
    <definedName name="_xlnm.Print_Area" localSheetId="5">'1.  画面取引定義'!$A$1:$AI$21</definedName>
    <definedName name="_xlnm.Print_Area" localSheetId="6">'2. WA1020101(プロジェクト登録画面)'!$A$1:$AI$180</definedName>
    <definedName name="_xlnm.Print_Area" localSheetId="7">'3. WA1020102(プロジェクト登録確認画面)'!$A$1:$AI$136</definedName>
    <definedName name="_xlnm.Print_Area" localSheetId="8">'4. WA1020103(プロジェクト登録完了画面)'!$A$1:$AI$68</definedName>
    <definedName name="_xlnm.Print_Area" localSheetId="9">データ!$A$1:$E$15</definedName>
    <definedName name="_xlnm.Print_Area" localSheetId="1">レビュー結果1回目!$A$1:$K$20</definedName>
    <definedName name="_xlnm.Print_Area" localSheetId="2">表紙!$A$1:$S$39</definedName>
    <definedName name="_xlnm.Print_Area" localSheetId="3">変更履歴!$A$1:$AI$34</definedName>
    <definedName name="_xlnm.Print_Area" localSheetId="4">目次!$A$1:$AI$33</definedName>
    <definedName name="_xlnm.Print_Titles" localSheetId="5">'1.  画面取引定義'!$1:$4</definedName>
    <definedName name="_xlnm.Print_Titles" localSheetId="6">'2. WA1020101(プロジェクト登録画面)'!$1:$4</definedName>
    <definedName name="_xlnm.Print_Titles" localSheetId="7">'3. WA1020102(プロジェクト登録確認画面)'!$1:$4</definedName>
    <definedName name="_xlnm.Print_Titles" localSheetId="8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0" l="1"/>
  <c r="P20" i="10"/>
  <c r="O20" i="10"/>
  <c r="N20" i="10"/>
  <c r="M20" i="10"/>
  <c r="L20" i="10"/>
  <c r="Q19" i="10"/>
  <c r="P19" i="10"/>
  <c r="O19" i="10"/>
  <c r="N19" i="10"/>
  <c r="M19" i="10"/>
  <c r="L19" i="10"/>
  <c r="Q18" i="10"/>
  <c r="P18" i="10"/>
  <c r="O18" i="10"/>
  <c r="N18" i="10"/>
  <c r="M18" i="10"/>
  <c r="L18" i="10"/>
  <c r="Q17" i="10"/>
  <c r="P17" i="10"/>
  <c r="F9" i="10" s="1"/>
  <c r="O17" i="10"/>
  <c r="E9" i="10" s="1"/>
  <c r="N17" i="10"/>
  <c r="M17" i="10"/>
  <c r="L17" i="10"/>
  <c r="Q16" i="10"/>
  <c r="P16" i="10"/>
  <c r="O16" i="10"/>
  <c r="N16" i="10"/>
  <c r="M16" i="10"/>
  <c r="L16" i="10"/>
  <c r="Q15" i="10"/>
  <c r="P15" i="10"/>
  <c r="O15" i="10"/>
  <c r="N15" i="10"/>
  <c r="M15" i="10"/>
  <c r="L15" i="10"/>
  <c r="C10" i="10"/>
  <c r="B10" i="10"/>
  <c r="D9" i="10"/>
  <c r="C9" i="10"/>
  <c r="B9" i="10"/>
  <c r="E10" i="10" l="1"/>
  <c r="E11" i="10" s="1"/>
  <c r="D10" i="10"/>
  <c r="F10" i="10"/>
  <c r="F11" i="10" s="1"/>
  <c r="C11" i="10"/>
  <c r="G9" i="10"/>
  <c r="B11" i="10"/>
  <c r="G10" i="10" l="1"/>
  <c r="D11" i="10"/>
  <c r="G11" i="10" s="1"/>
  <c r="AG2" i="2" l="1"/>
  <c r="AG1" i="2"/>
  <c r="AC1" i="2"/>
  <c r="AG3" i="7"/>
  <c r="E3" i="6"/>
  <c r="AG1" i="4"/>
  <c r="S1" i="3"/>
  <c r="AG1" i="6"/>
  <c r="S1" i="5"/>
  <c r="AG3" i="3"/>
  <c r="AC3" i="7"/>
  <c r="AG2" i="6"/>
  <c r="E2" i="5"/>
  <c r="AC1" i="4"/>
  <c r="E1" i="3"/>
  <c r="E3" i="7"/>
  <c r="AG1" i="5"/>
  <c r="S1" i="4"/>
  <c r="AC1" i="5"/>
  <c r="E2" i="7"/>
  <c r="AC1" i="6"/>
  <c r="E1" i="5"/>
  <c r="AC3" i="3"/>
  <c r="AG2" i="7"/>
  <c r="E2" i="6"/>
  <c r="E1" i="4"/>
  <c r="AC2" i="2"/>
  <c r="AC1" i="7"/>
  <c r="E1" i="6"/>
  <c r="AC3" i="4"/>
  <c r="AG2" i="3"/>
  <c r="S1" i="7"/>
  <c r="AG3" i="5"/>
  <c r="E3" i="4"/>
  <c r="AC2" i="3"/>
  <c r="E1" i="7"/>
  <c r="AC3" i="5"/>
  <c r="E2" i="3"/>
  <c r="AG3" i="6"/>
  <c r="E3" i="5"/>
  <c r="AC2" i="4"/>
  <c r="AG1" i="3"/>
  <c r="AC3" i="6"/>
  <c r="AG2" i="5"/>
  <c r="E2" i="4"/>
  <c r="AC1" i="3"/>
  <c r="AG1" i="7"/>
  <c r="AG3" i="4"/>
  <c r="E3" i="3"/>
  <c r="AG2" i="4"/>
  <c r="S1" i="6"/>
  <c r="I25" i="1"/>
  <c r="AC2" i="6"/>
  <c r="AC2" i="7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山田　太郎</author>
  </authors>
  <commentList>
    <comment ref="E35" authorId="0" shapeId="0" xr:uid="{00000000-0006-0000-0100-000001000000}">
      <text>
        <r>
          <rPr>
            <sz val="9"/>
            <rFont val="ＭＳ 明朝"/>
            <family val="1"/>
            <charset val="128"/>
          </rPr>
          <t>山田　太郎:g
gカテゴリの指摘コメント。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A71" authorId="0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<sst xmlns="http://schemas.openxmlformats.org/spreadsheetml/2006/main" count="851" uniqueCount="323">
  <si>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</si>
  <si>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</si>
  <si>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</si>
  <si>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</si>
  <si>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</si>
  <si>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</si>
  <si>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</si>
  <si>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</si>
  <si>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</si>
  <si>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</si>
  <si>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</si>
  <si>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</si>
  <si>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</si>
  <si>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</si>
  <si>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</si>
  <si>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</si>
  <si>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</si>
  <si>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</si>
  <si>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</si>
  <si>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</si>
  <si>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</si>
  <si>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</si>
  <si>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</si>
  <si>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</si>
  <si>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</si>
  <si>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</si>
  <si>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</si>
  <si>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</si>
  <si>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</si>
  <si>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</si>
  <si>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</si>
  <si>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</si>
  <si>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</si>
  <si>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</si>
  <si>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</si>
  <si>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</si>
  <si>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</si>
  <si>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</si>
  <si>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</si>
  <si>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</si>
  <si>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</si>
  <si>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</si>
  <si>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</si>
  <si>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</si>
  <si>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</si>
  <si>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</si>
  <si>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</si>
  <si>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</si>
  <si>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</si>
  <si>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</si>
  <si>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</si>
  <si>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</si>
  <si>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</si>
  <si>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</si>
  <si>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</si>
  <si>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</si>
  <si>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</si>
  <si>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</si>
  <si>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</si>
  <si>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</si>
  <si>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</si>
  <si>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</si>
  <si>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</si>
  <si>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</si>
  <si>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</si>
  <si>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</si>
  <si>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</si>
  <si>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</si>
  <si>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</si>
  <si>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</si>
  <si>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</si>
  <si>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</si>
  <si>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</si>
  <si>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</si>
  <si>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</si>
  <si>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</si>
  <si>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</si>
  <si>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</si>
  <si>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</si>
  <si>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</si>
  <si>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</si>
  <si>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</si>
  <si>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</si>
  <si>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</si>
  <si>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</si>
  <si>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</si>
  <si>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</si>
  <si>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</si>
  <si>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</si>
  <si>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</si>
  <si>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</si>
  <si>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</si>
  <si>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</si>
  <si>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</si>
  <si>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</si>
  <si>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</si>
  <si>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</si>
  <si>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</si>
  <si>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</si>
  <si>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</si>
  <si>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</si>
  <si>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</si>
  <si>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</si>
  <si>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</si>
  <si>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</si>
  <si>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</si>
  <si>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</si>
  <si>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</si>
  <si>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</si>
  <si>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</si>
  <si>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</si>
  <si>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</si>
  <si>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</si>
  <si>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</si>
  <si>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</si>
  <si>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</si>
  <si>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</si>
  <si>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</si>
  <si>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</si>
  <si>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</si>
  <si>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</si>
  <si>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</si>
  <si>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</si>
  <si>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</si>
  <si>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</si>
  <si>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</si>
  <si>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</si>
  <si>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</si>
  <si>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</si>
  <si>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</si>
  <si>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</si>
  <si>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</si>
  <si>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</si>
  <si>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</si>
  <si>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</si>
  <si>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</si>
  <si>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</si>
  <si>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</si>
  <si>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</si>
  <si>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</si>
  <si>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</si>
  <si>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</si>
  <si>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</si>
  <si>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</si>
  <si>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</si>
  <si>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</si>
  <si>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</si>
  <si>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</si>
  <si>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</si>
  <si>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</si>
  <si>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</si>
  <si>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</si>
  <si>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</si>
  <si>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</si>
  <si>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</si>
  <si>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</si>
  <si>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</si>
  <si>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</si>
  <si>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</si>
  <si>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</si>
  <si>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</si>
  <si>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</si>
  <si>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</si>
  <si>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</si>
  <si>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</si>
  <si>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</si>
  <si>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</si>
  <si>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</si>
  <si>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</si>
  <si>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</si>
  <si>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</si>
  <si>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</si>
  <si>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</si>
  <si>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</si>
  <si>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</si>
  <si>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</si>
  <si>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</si>
  <si>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</si>
  <si>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</si>
  <si>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</si>
  <si>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</si>
  <si>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</si>
  <si>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</si>
  <si>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</si>
  <si>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</si>
  <si>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</si>
  <si>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</si>
  <si>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</si>
  <si>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</si>
  <si>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</si>
  <si>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</si>
  <si>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</si>
  <si>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</si>
  <si>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</si>
  <si>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</si>
  <si>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</si>
  <si>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</si>
  <si>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</si>
  <si>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</si>
  <si>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</si>
  <si>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</si>
  <si>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</si>
  <si>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</si>
  <si>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</si>
  <si>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</si>
  <si>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</si>
  <si>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</si>
  <si>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</si>
  <si>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</si>
  <si>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</si>
  <si>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</si>
  <si>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</si>
  <si>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</si>
  <si>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</si>
  <si>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</si>
  <si>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</si>
  <si>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</si>
  <si>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</si>
  <si>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</si>
  <si>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</si>
  <si>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</si>
  <si>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</si>
  <si>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</si>
  <si>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</si>
  <si>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</si>
  <si>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</si>
  <si>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</si>
  <si>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</si>
  <si>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</si>
  <si>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</si>
  <si>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</si>
  <si>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</si>
  <si>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</si>
  <si>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</si>
  <si>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</si>
  <si>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</si>
  <si>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</si>
  <si>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</si>
  <si>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</si>
  <si>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</si>
  <si>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</si>
  <si>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</si>
  <si>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</si>
  <si>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</si>
  <si>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</si>
  <si>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</si>
  <si>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</si>
  <si>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</si>
  <si>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</si>
  <si>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</si>
  <si>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</si>
  <si>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</si>
  <si>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</si>
  <si>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</si>
  <si>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</si>
  <si>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</si>
  <si>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</si>
  <si>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</si>
  <si>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</si>
  <si>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</si>
  <si>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</si>
  <si>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</si>
  <si>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</si>
  <si>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</si>
  <si>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</si>
  <si>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</si>
  <si>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</si>
  <si>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</si>
  <si>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</si>
  <si>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</si>
  <si>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</si>
  <si>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</si>
  <si>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</si>
  <si>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</si>
  <si>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</si>
  <si>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</si>
  <si>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</si>
  <si>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</si>
  <si>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</si>
  <si>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</si>
  <si>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</si>
  <si>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</si>
  <si>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</si>
  <si>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</si>
  <si>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</si>
  <si>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</si>
  <si>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</si>
  <si>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</si>
  <si>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</si>
  <si>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</si>
  <si>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</si>
  <si>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</si>
  <si>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</si>
  <si>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</si>
  <si>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</si>
  <si>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</si>
  <si>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</si>
  <si>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</si>
  <si>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システム機能設計書_サンプル_S33</t>
  </si>
  <si>
    <t>山田　太郎</t>
  </si>
  <si>
    <t>未</t>
  </si>
  <si>
    <t>B5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</si>
  <si>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</si>
  <si>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</si>
  <si>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</si>
  <si>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</si>
  <si>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</si>
  <si>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</si>
  <si>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</si>
  <si>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</si>
  <si>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</si>
  <si>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</si>
  <si>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</si>
  <si>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</si>
  <si>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</si>
  <si>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</si>
  <si>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</si>
  <si>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＜エラー＞</t>
    <phoneticPr fontId="13"/>
  </si>
  <si>
    <t>エラー内容</t>
    <rPh sb="3" eb="5">
      <t>ナイヨウ</t>
    </rPh>
    <phoneticPr fontId="13"/>
  </si>
  <si>
    <t>未登録の指摘分類エイリアスが記入されています: g</t>
  </si>
  <si>
    <t>変更履歴'!$E$35</t>
  </si>
  <si>
    <t>未登録の指摘分類エイリアスが記入されています: f</t>
  </si>
  <si>
    <t>2. WA1020101(プロジェクト登録画面)'!$E$65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</si>
</sst>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  <xf numFmtId="0" fontId="17" fillId="0" borderId="0" xfId="5" quotePrefix="1">
      <alignment vertical="top"/>
      <protection locked="0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711A-AA82-4191-83E5-D6E4E9DEFBE2}">
  <sheetPr codeName="ErrorSheetTemplate">
    <tabColor theme="3" tint="0.59999389629810485"/>
  </sheetPr>
  <dimension ref="A1:B4"/>
  <sheetViews>
    <sheetView tabSelected="1" workbookViewId="0"/>
  </sheetViews>
  <sheetFormatPr defaultRowHeight="13.5" x14ac:dyDescent="0.15"/>
  <cols>
    <col min="1" max="1" width="105.1640625" style="287" customWidth="1"/>
    <col min="2" max="2" width="42.1640625" style="262" customWidth="1"/>
    <col min="3" max="16384" width="9.33203125" style="262"/>
  </cols>
  <sheetData>
    <row r="1" spans="1:2" x14ac:dyDescent="0.15">
      <c r="A1" s="286" t="s">
        <v>317</v>
      </c>
    </row>
    <row r="2" spans="1:2" x14ac:dyDescent="0.15">
      <c r="A2" s="287" t="s">
        <v>318</v>
      </c>
      <c r="B2" s="262" t="s">
        <v>294</v>
      </c>
    </row>
    <row r="3" spans="1:2" x14ac:dyDescent="0.15">
      <c r="A3" s="287" t="s">
        <v>319</v>
      </c>
      <c r="B3" s="299" t="s">
        <v>320</v>
      </c>
    </row>
    <row r="4" spans="1:2" x14ac:dyDescent="0.15">
      <c r="A4" s="287" t="s">
        <v>321</v>
      </c>
      <c r="B4" s="299" t="s">
        <v>322</v>
      </c>
    </row>
  </sheetData>
  <phoneticPr fontId="10"/>
  <hyperlinks>
    <hyperlink ref="B3" location="'変更履歴'!$E$35" display="'変更履歴'!$E$35" xr:uid="{2F6D269B-7F16-44F0-9DAD-F505822C166A}"/>
    <hyperlink ref="B4" location="'2. WA1020101(プロジェクト登録画面)'!$E$65" display="'2. WA1020101(プロジェクト登録画面)'!$E$65" xr:uid="{91E8E690-72C9-4D2F-A22A-164300D38DE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4527-208D-488C-9D9E-0F4B02900C27}">
  <sheetPr codeName="SheetTemplate">
    <tabColor indexed="44"/>
    <pageSetUpPr fitToPage="1"/>
  </sheetPr>
  <dimension ref="A1:Q20"/>
  <sheetViews>
    <sheetView showGridLines="0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defaultRowHeight="13.5" x14ac:dyDescent="0.15"/>
  <cols>
    <col min="1" max="1" width="9.33203125" style="262"/>
    <col min="2" max="11" width="17.6640625" style="262" customWidth="1"/>
    <col min="12" max="16" width="4.5" style="262" customWidth="1"/>
    <col min="17" max="17" width="98.1640625" style="262" customWidth="1"/>
    <col min="18" max="18" width="4.5" style="262" customWidth="1"/>
    <col min="19" max="19" width="98.1640625" style="262" customWidth="1"/>
    <col min="20" max="20" width="4.5" style="262" customWidth="1"/>
    <col min="21" max="21" width="98.1640625" style="262" customWidth="1"/>
    <col min="22" max="16384" width="9.33203125" style="262"/>
  </cols>
  <sheetData>
    <row r="1" spans="1:17" x14ac:dyDescent="0.15">
      <c r="A1" s="261" t="s">
        <v>265</v>
      </c>
      <c r="L1" s="263"/>
      <c r="Q1" s="264" t="s">
        <v>266</v>
      </c>
    </row>
    <row r="2" spans="1:17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17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17" x14ac:dyDescent="0.15">
      <c r="A4" s="271" t="s">
        <v>298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17" x14ac:dyDescent="0.15">
      <c r="A6" s="261" t="s">
        <v>276</v>
      </c>
    </row>
    <row r="7" spans="1:17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</row>
    <row r="8" spans="1:17" ht="27" x14ac:dyDescent="0.15">
      <c r="A8" s="269" t="s">
        <v>282</v>
      </c>
      <c r="B8" s="277" t="s">
        <v>283</v>
      </c>
      <c r="C8" s="277" t="s">
        <v>284</v>
      </c>
      <c r="D8" s="277" t="s">
        <v>285</v>
      </c>
      <c r="E8" s="278" t="s">
        <v>286</v>
      </c>
      <c r="F8" s="277" t="s">
        <v>287</v>
      </c>
      <c r="G8" s="279" t="s">
        <v>288</v>
      </c>
      <c r="H8" s="280"/>
      <c r="I8" s="280"/>
      <c r="J8" s="280"/>
      <c r="K8" s="280"/>
      <c r="L8" s="280"/>
      <c r="M8" s="280"/>
      <c r="N8" s="280"/>
      <c r="O8" s="280"/>
      <c r="P8" s="280"/>
    </row>
    <row r="9" spans="1:17" x14ac:dyDescent="0.15">
      <c r="A9" s="269" t="s">
        <v>289</v>
      </c>
      <c r="B9" s="281" t="str">
        <f>IF(SUMIF($K15:$K20,$A9,L15:L20)=0,"",SUMIF($K15:$K20,$A9,L15:L20))</f>
        <v/>
      </c>
      <c r="C9" s="281" t="str">
        <f>IF(SUMIF($K15:$K20,$A9,M15:M20)=0,"",SUMIF($K15:$K20,$A9,M15:M20))</f>
        <v/>
      </c>
      <c r="D9" s="281">
        <f>IF(SUMIF($K15:$K20,$A9,N15:N20)=0,"",SUMIF($K15:$K20,$A9,N15:N20))</f>
        <v>1</v>
      </c>
      <c r="E9" s="281" t="str">
        <f>IF(SUMIF($K15:$K20,$A9,O15:O20)=0,"",SUMIF($K15:$K20,$A9,O15:O20))</f>
        <v/>
      </c>
      <c r="F9" s="281" t="str">
        <f>IF(SUMIF($K15:$K20,$A9,P15:P20)=0,"",SUMIF($K15:$K20,$A9,P15:P20))</f>
        <v/>
      </c>
      <c r="G9" s="282">
        <f>SUM(B9:F9)</f>
        <v>1</v>
      </c>
      <c r="H9" s="261"/>
      <c r="I9" s="261"/>
      <c r="J9" s="261"/>
      <c r="K9" s="261"/>
      <c r="L9" s="261"/>
      <c r="M9" s="261"/>
      <c r="N9" s="261"/>
      <c r="O9" s="261"/>
      <c r="P9" s="261"/>
    </row>
    <row r="10" spans="1:17" x14ac:dyDescent="0.15">
      <c r="A10" s="269" t="s">
        <v>290</v>
      </c>
      <c r="B10" s="281">
        <f>IF(SUMIF($K15:$K20,$A10,L15:L20)=0,"",SUMIF($K15:$K20,$A10,L15:L20))</f>
        <v>1</v>
      </c>
      <c r="C10" s="281">
        <f>IF(SUMIF($K15:$K20,$A10,M15:M20)=0,"",SUMIF($K15:$K20,$A10,M15:M20))</f>
        <v>1</v>
      </c>
      <c r="D10" s="281" t="str">
        <f>IF(SUMIF($K15:$K20,$A10,N15:N20)=0,"",SUMIF($K15:$K20,$A10,N15:N20))</f>
        <v/>
      </c>
      <c r="E10" s="281">
        <f>IF(SUMIF($K15:$K20,$A10,O15:O20)=0,"",SUMIF($K15:$K20,$A10,O15:O20))</f>
        <v>1</v>
      </c>
      <c r="F10" s="281">
        <f>IF(SUMIF($K15:$K20,$A10,P15:P20)=0,"",SUMIF($K15:$K20,$A10,P15:P20))</f>
        <v>1</v>
      </c>
      <c r="G10" s="282">
        <f>SUM(B10:F10)</f>
        <v>4</v>
      </c>
      <c r="H10" s="261"/>
      <c r="I10" s="261"/>
      <c r="J10" s="261"/>
      <c r="K10" s="261"/>
      <c r="L10" s="261"/>
      <c r="M10" s="261"/>
      <c r="N10" s="261"/>
      <c r="O10" s="261"/>
      <c r="P10" s="261"/>
    </row>
    <row r="11" spans="1:17" x14ac:dyDescent="0.15">
      <c r="A11" s="283" t="s">
        <v>288</v>
      </c>
      <c r="B11" s="284">
        <f>SUM(B9:B10)</f>
        <v>1</v>
      </c>
      <c r="C11" s="284">
        <f t="shared" ref="C11:F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>SUM(B11:F11)</f>
        <v>5</v>
      </c>
    </row>
    <row r="12" spans="1:17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17" x14ac:dyDescent="0.15">
      <c r="A13" s="286" t="s">
        <v>291</v>
      </c>
      <c r="B13" s="287"/>
      <c r="C13" s="287"/>
      <c r="D13" s="287"/>
      <c r="F13" s="287"/>
      <c r="L13" s="263" t="s">
        <v>292</v>
      </c>
      <c r="M13" s="263"/>
      <c r="N13" s="263"/>
      <c r="O13" s="263"/>
      <c r="P13" s="263"/>
    </row>
    <row r="14" spans="1:17" x14ac:dyDescent="0.15">
      <c r="A14" s="288" t="s">
        <v>293</v>
      </c>
      <c r="B14" s="288" t="s">
        <v>294</v>
      </c>
      <c r="C14" s="288" t="s">
        <v>295</v>
      </c>
      <c r="D14" s="288" t="s">
        <v>296</v>
      </c>
      <c r="E14" s="289" t="s">
        <v>297</v>
      </c>
      <c r="F14" s="290"/>
      <c r="G14" s="291"/>
      <c r="H14" s="291"/>
      <c r="I14" s="291"/>
      <c r="J14" s="292"/>
      <c r="K14" s="293" t="s">
        <v>282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</row>
    <row r="15" spans="1:17" ht="40.5" x14ac:dyDescent="0.15">
      <c r="A15" s="272" t="s">
        <v>38</v>
      </c>
      <c r="B15" s="297" t="s">
        <v>301</v>
      </c>
      <c r="C15" s="272" t="s">
        <v>299</v>
      </c>
      <c r="D15" s="272" t="s">
        <v>302</v>
      </c>
      <c r="E15" s="298" t="s">
        <v>303</v>
      </c>
      <c r="F15" s="271"/>
      <c r="G15" s="271"/>
      <c r="H15" s="271"/>
      <c r="I15" s="271"/>
      <c r="J15" s="271"/>
      <c r="K15" s="272" t="s">
        <v>300</v>
      </c>
      <c r="L15" s="295">
        <f t="shared" ref="L15:P20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17" ht="40.5" x14ac:dyDescent="0.15">
      <c r="A16" s="272" t="s">
        <v>38</v>
      </c>
      <c r="B16" s="297" t="s">
        <v>304</v>
      </c>
      <c r="C16" s="272" t="s">
        <v>299</v>
      </c>
      <c r="D16" s="272" t="s">
        <v>305</v>
      </c>
      <c r="E16" s="298" t="s">
        <v>306</v>
      </c>
      <c r="F16" s="271"/>
      <c r="G16" s="271"/>
      <c r="H16" s="271"/>
      <c r="I16" s="271"/>
      <c r="J16" s="271"/>
      <c r="K16" s="272" t="s">
        <v>300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6" t="str">
        <f>IF(E16&lt;&gt;"",E16,"")</f>
        <v>対応内容の例。
---
対応内容はデリミタ（---）の後に記入する。</v>
      </c>
    </row>
    <row r="17" spans="1:17" ht="67.5" x14ac:dyDescent="0.15">
      <c r="A17" s="272" t="s">
        <v>38</v>
      </c>
      <c r="B17" s="297" t="s">
        <v>307</v>
      </c>
      <c r="C17" s="272" t="s">
        <v>299</v>
      </c>
      <c r="D17" s="272" t="s">
        <v>308</v>
      </c>
      <c r="E17" s="298" t="s">
        <v>309</v>
      </c>
      <c r="F17" s="271"/>
      <c r="G17" s="271"/>
      <c r="H17" s="271"/>
      <c r="I17" s="271"/>
      <c r="J17" s="271"/>
      <c r="K17" s="272" t="s">
        <v>310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17" x14ac:dyDescent="0.15">
      <c r="A18" s="272" t="s">
        <v>38</v>
      </c>
      <c r="B18" s="297" t="s">
        <v>311</v>
      </c>
      <c r="C18" s="272" t="s">
        <v>299</v>
      </c>
      <c r="D18" s="272" t="s">
        <v>312</v>
      </c>
      <c r="E18" s="271" t="s">
        <v>313</v>
      </c>
      <c r="F18" s="271"/>
      <c r="G18" s="271"/>
      <c r="H18" s="271"/>
      <c r="I18" s="271"/>
      <c r="J18" s="271"/>
      <c r="K18" s="272" t="s">
        <v>300</v>
      </c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1</v>
      </c>
      <c r="P18" s="295">
        <f t="shared" si="1"/>
        <v>0</v>
      </c>
      <c r="Q18" s="296" t="str">
        <f>IF(E18&lt;&gt;"",E18,"")</f>
        <v>機能・仕様誤りの指摘例（カテゴリd）。</v>
      </c>
    </row>
    <row r="19" spans="1:17" x14ac:dyDescent="0.15">
      <c r="A19" s="272" t="s">
        <v>38</v>
      </c>
      <c r="B19" s="297" t="s">
        <v>314</v>
      </c>
      <c r="C19" s="272" t="s">
        <v>299</v>
      </c>
      <c r="D19" s="272" t="s">
        <v>315</v>
      </c>
      <c r="E19" s="271" t="s">
        <v>316</v>
      </c>
      <c r="F19" s="271"/>
      <c r="G19" s="271"/>
      <c r="H19" s="271"/>
      <c r="I19" s="271"/>
      <c r="J19" s="271"/>
      <c r="K19" s="272" t="s">
        <v>300</v>
      </c>
      <c r="L19" s="295">
        <f t="shared" si="1"/>
        <v>0</v>
      </c>
      <c r="M19" s="295">
        <f t="shared" si="1"/>
        <v>0</v>
      </c>
      <c r="N19" s="295">
        <f t="shared" si="1"/>
        <v>0</v>
      </c>
      <c r="O19" s="295">
        <f t="shared" si="1"/>
        <v>0</v>
      </c>
      <c r="P19" s="295">
        <f t="shared" si="1"/>
        <v>1</v>
      </c>
      <c r="Q19" s="296" t="str">
        <f>IF(E19&lt;&gt;"",E19,"")</f>
        <v>設計・ドキュメント規約違反の指摘例（カテゴリe）。</v>
      </c>
    </row>
    <row r="20" spans="1:17" x14ac:dyDescent="0.15">
      <c r="A20" s="272"/>
      <c r="B20" s="272"/>
      <c r="C20" s="272"/>
      <c r="D20" s="272"/>
      <c r="E20" s="271"/>
      <c r="F20" s="271"/>
      <c r="G20" s="271"/>
      <c r="H20" s="271"/>
      <c r="I20" s="271"/>
      <c r="J20" s="271"/>
      <c r="K20" s="272"/>
      <c r="L20" s="295">
        <f t="shared" si="1"/>
        <v>0</v>
      </c>
      <c r="M20" s="295">
        <f t="shared" si="1"/>
        <v>0</v>
      </c>
      <c r="N20" s="295">
        <f t="shared" si="1"/>
        <v>0</v>
      </c>
      <c r="O20" s="295">
        <f t="shared" si="1"/>
        <v>0</v>
      </c>
      <c r="P20" s="295">
        <f t="shared" si="1"/>
        <v>0</v>
      </c>
      <c r="Q20" s="296" t="str">
        <f>IF(E20&lt;&gt;"",E20,"")</f>
        <v/>
      </c>
    </row>
  </sheetData>
  <mergeCells count="8">
    <mergeCell ref="A3:B3"/>
    <mergeCell ref="A4:B4"/>
    <mergeCell ref="E15:J15"/>
    <mergeCell ref="E16:J16"/>
    <mergeCell ref="E17:J17"/>
    <mergeCell ref="E18:J18"/>
    <mergeCell ref="E19:J19"/>
    <mergeCell ref="E20:J20"/>
  </mergeCells>
  <phoneticPr fontId="10"/>
  <conditionalFormatting sqref="A15:K20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20" xr:uid="{2219AEAE-9A7F-41A1-86A5-6646AC63075D}">
      <formula1>"未,済"</formula1>
    </dataValidation>
  </dataValidations>
  <hyperlinks>
    <hyperlink ref="B15" location="'2. WA1020101(プロジェクト登録画面)'!$B$5" display="'2. WA1020101(プロジェクト登録画面)'!$B$5" xr:uid="{0FD501DB-76F0-4039-96D1-C535474FC328}"/>
    <hyperlink ref="B16" location="'2. WA1020101(プロジェクト登録画面)'!$E$60" display="'2. WA1020101(プロジェクト登録画面)'!$E$60" xr:uid="{94D371F7-9CE6-4A0E-BE5E-EBDC247C56D2}"/>
    <hyperlink ref="B17" location="'2. WA1020101(プロジェクト登録画面)'!$E$62" display="'2. WA1020101(プロジェクト登録画面)'!$E$62" xr:uid="{EC81D520-FF6D-43E0-9D8F-E721E3CF3070}"/>
    <hyperlink ref="B18" location="'2. WA1020101(プロジェクト登録画面)'!$E$63" display="'2. WA1020101(プロジェクト登録画面)'!$E$63" xr:uid="{88D9A15B-6F6F-4D35-813E-207F84757011}"/>
    <hyperlink ref="B19" location="'2. WA1020101(プロジェクト登録画面)'!$E$64" display="'2. WA1020101(プロジェクト登録画面)'!$E$64" xr:uid="{15248D1E-16C6-4FA5-B52B-EE73528C4B61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5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  <row r="35" spans="1:35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エラーシート</vt:lpstr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2026-03-14T13:09:48Z</dcterms:modified>
</cp:coreProperties>
</file>