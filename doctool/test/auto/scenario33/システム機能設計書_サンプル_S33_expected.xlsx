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90" yWindow="390" windowWidth="38700" windowHeight="15345" tabRatio="822" firstSheet="0" activeTab="0" autoFilterDateGrouping="1"/>
  </bookViews>
  <sheets>
    <sheet name="エラーシート" sheetId="1" state="visible" r:id="rId1"/>
    <sheet name="レビュー結果1回目" sheetId="2" state="visible" r:id="rId2"/>
    <sheet name="表紙" sheetId="3" state="visible" r:id="rId3"/>
    <sheet name="変更履歴" sheetId="4" state="visible" r:id="rId4"/>
    <sheet name="目次" sheetId="5" state="visible" r:id="rId5"/>
    <sheet name="1.  画面取引定義" sheetId="6" state="visible" r:id="rId6"/>
    <sheet name="2. WA1020101(プロジェクト登録画面)" sheetId="7" state="visible" r:id="rId7"/>
    <sheet name="3. WA1020102(プロジェクト登録確認画面)" sheetId="8" state="visible" r:id="rId8"/>
    <sheet name="4. WA1020103(プロジェクト登録完了画面)" sheetId="9" state="visible" r:id="rId9"/>
    <sheet name="データ" sheetId="10" state="hidden" r:id="rId10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1">'レビュー結果1回目'!$A$1:$K$20</definedName>
    <definedName name="_xlnm.Print_Area" localSheetId="2">'表紙'!$A$1:$S$39</definedName>
    <definedName name="_xlnm.Print_Area" localSheetId="3">'変更履歴'!$A$1:$AI$34</definedName>
    <definedName name="_xlnm.Print_Area" localSheetId="4">'目次'!$A$1:$AI$33</definedName>
    <definedName name="_Toc46209822" localSheetId="5">'1.  画面取引定義'!$B$5</definedName>
    <definedName name="_xlnm.Print_Titles" localSheetId="5">'1.  画面取引定義'!$1:$4</definedName>
    <definedName name="_xlnm.Print_Area" localSheetId="5">'1.  画面取引定義'!$A$1:$AI$21</definedName>
    <definedName name="_xlnm.Print_Titles" localSheetId="6">'2. WA1020101(プロジェクト登録画面)'!$1:$4</definedName>
    <definedName name="_xlnm.Print_Area" localSheetId="6">'2. WA1020101(プロジェクト登録画面)'!$A$1:$AI$180</definedName>
    <definedName name="_xlnm.Print_Titles" localSheetId="7">'3. WA1020102(プロジェクト登録確認画面)'!$1:$4</definedName>
    <definedName name="_xlnm.Print_Area" localSheetId="7">'3. WA1020102(プロジェクト登録確認画面)'!$A$1:$AI$136</definedName>
    <definedName name="_xlnm.Print_Titles" localSheetId="8">'4. WA1020103(プロジェクト登録完了画面)'!$1:$4</definedName>
    <definedName name="_xlnm.Print_Area" localSheetId="8">'4. WA1020103(プロジェクト登録完了画面)'!$A$1:$AI$68</definedName>
    <definedName name="_xlnm.Print_Area" localSheetId="9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0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0" fontId="17" fillId="0" borderId="0" applyAlignment="1" applyProtection="1" pivotButton="0" quotePrefix="1" xfId="5">
      <alignment vertical="top"/>
      <protection locked="0" hidden="0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Relationship Type="http://schemas.microsoft.com/office/2006/relationships/vbaProject" Target="vbaProject.bin" Id="rId13" /></Relationships>
</file>

<file path=xl/comments/comment1.xml><?xml version="1.0" encoding="utf-8"?>
<comments xmlns="http://schemas.openxmlformats.org/spreadsheetml/2006/main">
  <authors>
    <author>山田　太郎</author>
  </authors>
  <commentList>
    <comment ref="E35" authorId="0" shapeId="0">
      <text>
        <t>山田　太郎:g
gカテゴリの指摘コメント。</t>
      </text>
    </comment>
  </commentList>
</comments>
</file>

<file path=xl/comments/comment2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E63" authorId="1" shapeId="0">
      <text>
        <t>山田　太郎:d
機能・仕様誤りの指摘例（カテゴリd）。</t>
      </text>
    </comment>
    <comment ref="E64" authorId="1" shapeId="0">
      <text>
        <t>山田　太郎:e
設計・ドキュメント規約違反の指摘例（カテゴリe）。</t>
      </text>
    </comment>
    <comment ref="E65" authorId="1" shapeId="0">
      <text>
        <t>山田　太郎:f
記述誤りの指摘例（カテゴリf）。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vmlDrawing2.vml" Id="anysvml" /></Relationships>
</file>

<file path=xl/worksheets/sheet1.xml><?xml version="1.0" encoding="utf-8"?>
<worksheet xmlns="http://schemas.openxmlformats.org/spreadsheetml/2006/main">
  <sheetPr codeName="ErrorSheetTemplate">
    <tabColor theme="3" tint="0.5999938962981048"/>
    <outlinePr summaryBelow="1" summaryRight="1"/>
    <pageSetUpPr/>
  </sheetPr>
  <dimension ref="A1:B4"/>
  <sheetViews>
    <sheetView tabSelected="1" workbookViewId="0">
      <selection activeCell="A1" sqref="A1"/>
    </sheetView>
  </sheetViews>
  <sheetFormatPr baseColWidth="8" defaultRowHeight="13.5"/>
  <cols>
    <col width="105.1640625" customWidth="1" style="287" min="1" max="1"/>
    <col width="42.1640625" customWidth="1" style="262" min="2" max="2"/>
    <col width="9.33203125" customWidth="1" style="262" min="3" max="16384"/>
  </cols>
  <sheetData>
    <row r="1">
      <c r="A1" s="286" t="inlineStr">
        <is>
          <t>＜エラー＞</t>
        </is>
      </c>
    </row>
    <row r="2">
      <c r="A2" s="287" t="inlineStr">
        <is>
          <t>エラー内容</t>
        </is>
      </c>
      <c r="B2" s="262" t="inlineStr">
        <is>
          <t>場所</t>
        </is>
      </c>
    </row>
    <row r="3">
      <c r="A3" s="287" t="inlineStr">
        <is>
          <t>未登録の指摘分類エイリアスが記入されています: g</t>
        </is>
      </c>
      <c r="B3" s="299" t="inlineStr">
        <is>
          <t>変更履歴'!$E$35</t>
        </is>
      </c>
    </row>
    <row r="4">
      <c r="A4" s="287" t="inlineStr">
        <is>
          <t>未登録の指摘分類エイリアスが記入されています: f</t>
        </is>
      </c>
      <c r="B4" s="299" t="inlineStr">
        <is>
          <t>2. WA1020101(プロジェクト登録画面)'!$E$65</t>
        </is>
      </c>
    </row>
  </sheetData>
  <hyperlinks>
    <hyperlink ref="B3" location="'変更履歴'!$E$35" display="'変更履歴'!$E$35"/>
    <hyperlink ref="B4" location="'2. WA1020101(プロジェクト登録画面)'!$E$65" display="'2. WA1020101(プロジェクト登録画面)'!$E$65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Q20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baseColWidth="8" defaultRowHeight="13.5"/>
  <cols>
    <col width="9.33203125" customWidth="1" style="262" min="1" max="1"/>
    <col width="17.6640625" customWidth="1" style="262" min="2" max="11"/>
    <col width="4.5" customWidth="1" style="262" min="12" max="16"/>
    <col width="98.1640625" customWidth="1" style="262" min="17" max="17"/>
    <col width="4.5" customWidth="1" style="262" min="18" max="18"/>
    <col width="98.1640625" customWidth="1" style="262" min="19" max="19"/>
    <col width="4.5" customWidth="1" style="262" min="20" max="20"/>
    <col width="98.1640625" customWidth="1" style="262" min="21" max="21"/>
    <col width="9.33203125" customWidth="1" style="262" min="22" max="16384"/>
  </cols>
  <sheetData>
    <row r="1">
      <c r="A1" s="261" t="inlineStr">
        <is>
          <t>＜レビュー結果＞</t>
        </is>
      </c>
      <c r="L1" s="263" t="n"/>
      <c r="Q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L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システム機能設計書_サンプル_S33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9" t="inlineStr">
        <is>
          <t>計</t>
        </is>
      </c>
      <c r="H8" s="280" t="n"/>
      <c r="I8" s="280" t="n"/>
      <c r="J8" s="280" t="n"/>
      <c r="K8" s="280" t="n"/>
      <c r="L8" s="280" t="n"/>
      <c r="M8" s="280" t="n"/>
      <c r="N8" s="280" t="n"/>
      <c r="O8" s="280" t="n"/>
      <c r="P8" s="280" t="n"/>
    </row>
    <row r="9">
      <c r="A9" s="269" t="inlineStr">
        <is>
          <t>済</t>
        </is>
      </c>
      <c r="B9" s="300">
        <f>IF(SUMIF($K15:$K20,$A9,L15:L20)=0,"",SUMIF($K15:$K20,$A9,L15:L20))</f>
        <v/>
      </c>
      <c r="C9" s="300">
        <f>IF(SUMIF($K15:$K20,$A9,M15:M20)=0,"",SUMIF($K15:$K20,$A9,M15:M20))</f>
        <v/>
      </c>
      <c r="D9" s="300">
        <f>IF(SUMIF($K15:$K20,$A9,N15:N20)=0,"",SUMIF($K15:$K20,$A9,N15:N20))</f>
        <v/>
      </c>
      <c r="E9" s="300">
        <f>IF(SUMIF($K15:$K20,$A9,O15:O20)=0,"",SUMIF($K15:$K20,$A9,O15:O20))</f>
        <v/>
      </c>
      <c r="F9" s="300">
        <f>IF(SUMIF($K15:$K20,$A9,P15:P20)=0,"",SUMIF($K15:$K20,$A9,P15:P20))</f>
        <v/>
      </c>
      <c r="G9" s="301">
        <f>SUM(B9:F9)</f>
        <v/>
      </c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</row>
    <row r="10">
      <c r="A10" s="269" t="inlineStr">
        <is>
          <t>未</t>
        </is>
      </c>
      <c r="B10" s="300">
        <f>IF(SUMIF($K15:$K20,$A10,L15:L20)=0,"",SUMIF($K15:$K20,$A10,L15:L20))</f>
        <v/>
      </c>
      <c r="C10" s="300">
        <f>IF(SUMIF($K15:$K20,$A10,M15:M20)=0,"",SUMIF($K15:$K20,$A10,M15:M20))</f>
        <v/>
      </c>
      <c r="D10" s="300">
        <f>IF(SUMIF($K15:$K20,$A10,N15:N20)=0,"",SUMIF($K15:$K20,$A10,N15:N20))</f>
        <v/>
      </c>
      <c r="E10" s="300">
        <f>IF(SUMIF($K15:$K20,$A10,O15:O20)=0,"",SUMIF($K15:$K20,$A10,O15:O20))</f>
        <v/>
      </c>
      <c r="F10" s="300">
        <f>IF(SUMIF($K15:$K20,$A10,P15:P20)=0,"",SUMIF($K15:$K20,$A10,P15:P20))</f>
        <v/>
      </c>
      <c r="G10" s="301">
        <f>SUM(B10:F10)</f>
        <v/>
      </c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</row>
    <row r="11">
      <c r="A11" s="283" t="inlineStr">
        <is>
          <t>計</t>
        </is>
      </c>
      <c r="B11" s="302">
        <f>SUM(B9:B10)</f>
        <v/>
      </c>
      <c r="C11" s="302">
        <f>SUM(C9:C10)</f>
        <v/>
      </c>
      <c r="D11" s="302">
        <f>SUM(D9:D10)</f>
        <v/>
      </c>
      <c r="E11" s="302">
        <f>SUM(E9:E10)</f>
        <v/>
      </c>
      <c r="F11" s="302">
        <f>SUM(F9:F10)</f>
        <v/>
      </c>
      <c r="G11" s="302">
        <f>SUM(B11:F11)</f>
        <v/>
      </c>
    </row>
    <row r="12">
      <c r="A12" s="261" t="n"/>
      <c r="B12" s="303" t="n"/>
      <c r="C12" s="303" t="n"/>
      <c r="D12" s="303" t="n"/>
      <c r="E12" s="303" t="n"/>
      <c r="F12" s="303" t="n"/>
      <c r="G12" s="303" t="n"/>
      <c r="H12" s="303" t="n"/>
      <c r="I12" s="303" t="n"/>
      <c r="J12" s="303" t="n"/>
      <c r="K12" s="303" t="n"/>
    </row>
    <row r="13">
      <c r="A13" s="286" t="inlineStr">
        <is>
          <t>指摘詳細</t>
        </is>
      </c>
      <c r="B13" s="287" t="n"/>
      <c r="C13" s="287" t="n"/>
      <c r="D13" s="287" t="n"/>
      <c r="F13" s="287" t="n"/>
      <c r="L13" s="263" t="inlineStr">
        <is>
          <t>集計用ワーク</t>
        </is>
      </c>
      <c r="M13" s="263" t="n"/>
      <c r="N13" s="263" t="n"/>
      <c r="O13" s="263" t="n"/>
      <c r="P13" s="263" t="n"/>
    </row>
    <row r="14">
      <c r="A14" s="288" t="inlineStr">
        <is>
          <t>シート</t>
        </is>
      </c>
      <c r="B14" s="288" t="inlineStr">
        <is>
          <t>場所</t>
        </is>
      </c>
      <c r="C14" s="288" t="inlineStr">
        <is>
          <t>指摘者</t>
        </is>
      </c>
      <c r="D14" s="288" t="inlineStr">
        <is>
          <t>指摘種別</t>
        </is>
      </c>
      <c r="E14" s="289" t="inlineStr">
        <is>
          <t>指摘内容</t>
        </is>
      </c>
      <c r="F14" s="290" t="n"/>
      <c r="G14" s="291" t="n"/>
      <c r="H14" s="291" t="n"/>
      <c r="I14" s="291" t="n"/>
      <c r="J14" s="292" t="n"/>
      <c r="K14" s="293" t="inlineStr">
        <is>
          <t>対応状況</t>
        </is>
      </c>
      <c r="L14" s="294" t="inlineStr">
        <is>
          <t>a</t>
        </is>
      </c>
      <c r="M14" s="294" t="inlineStr">
        <is>
          <t>b</t>
        </is>
      </c>
      <c r="N14" s="294" t="inlineStr">
        <is>
          <t>c</t>
        </is>
      </c>
      <c r="O14" s="294" t="inlineStr">
        <is>
          <t>d</t>
        </is>
      </c>
      <c r="P14" s="294" t="inlineStr">
        <is>
          <t>e</t>
        </is>
      </c>
    </row>
    <row r="15" ht="40.5" customHeight="1">
      <c r="A15" s="272" t="inlineStr">
        <is>
          <t>2. WA1020101(プロジェクト登録画面)</t>
        </is>
      </c>
      <c r="B15" s="297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298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L15" s="295">
        <f>IF($D15=L$14,1,0)</f>
        <v/>
      </c>
      <c r="M15" s="295">
        <f>IF($D15=M$14,1,0)</f>
        <v/>
      </c>
      <c r="N15" s="295">
        <f>IF($D15=N$14,1,0)</f>
        <v/>
      </c>
      <c r="O15" s="295">
        <f>IF($D15=O$14,1,0)</f>
        <v/>
      </c>
      <c r="P15" s="295">
        <f>IF($D15=P$14,1,0)</f>
        <v/>
      </c>
      <c r="Q15" s="296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297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298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L16" s="295">
        <f>IF($D16=L$14,1,0)</f>
        <v/>
      </c>
      <c r="M16" s="295">
        <f>IF($D16=M$14,1,0)</f>
        <v/>
      </c>
      <c r="N16" s="295">
        <f>IF($D16=N$14,1,0)</f>
        <v/>
      </c>
      <c r="O16" s="295">
        <f>IF($D16=O$14,1,0)</f>
        <v/>
      </c>
      <c r="P16" s="295">
        <f>IF($D16=P$14,1,0)</f>
        <v/>
      </c>
      <c r="Q16" s="296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297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298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L17" s="295">
        <f>IF($D17=L$14,1,0)</f>
        <v/>
      </c>
      <c r="M17" s="295">
        <f>IF($D17=M$14,1,0)</f>
        <v/>
      </c>
      <c r="N17" s="295">
        <f>IF($D17=N$14,1,0)</f>
        <v/>
      </c>
      <c r="O17" s="295">
        <f>IF($D17=O$14,1,0)</f>
        <v/>
      </c>
      <c r="P17" s="295">
        <f>IF($D17=P$14,1,0)</f>
        <v/>
      </c>
      <c r="Q17" s="296">
        <f>IF(E17&lt;&gt;"",E17,"")</f>
        <v/>
      </c>
    </row>
    <row r="18">
      <c r="A18" s="272" t="inlineStr">
        <is>
          <t>2. WA1020101(プロジェクト登録画面)</t>
        </is>
      </c>
      <c r="B18" s="297" t="inlineStr">
        <is>
          <t>E63</t>
        </is>
      </c>
      <c r="C18" s="272" t="inlineStr">
        <is>
          <t>山田　太郎</t>
        </is>
      </c>
      <c r="D18" s="272" t="inlineStr">
        <is>
          <t>d</t>
        </is>
      </c>
      <c r="E18" s="272" t="inlineStr">
        <is>
          <t>機能・仕様誤りの指摘例（カテゴリd）。</t>
        </is>
      </c>
      <c r="F18" s="162" t="n"/>
      <c r="G18" s="162" t="n"/>
      <c r="H18" s="162" t="n"/>
      <c r="I18" s="162" t="n"/>
      <c r="J18" s="163" t="n"/>
      <c r="K18" s="272" t="inlineStr">
        <is>
          <t>未</t>
        </is>
      </c>
      <c r="L18" s="295">
        <f>IF($D18=L$14,1,0)</f>
        <v/>
      </c>
      <c r="M18" s="295">
        <f>IF($D18=M$14,1,0)</f>
        <v/>
      </c>
      <c r="N18" s="295">
        <f>IF($D18=N$14,1,0)</f>
        <v/>
      </c>
      <c r="O18" s="295">
        <f>IF($D18=O$14,1,0)</f>
        <v/>
      </c>
      <c r="P18" s="295">
        <f>IF($D18=P$14,1,0)</f>
        <v/>
      </c>
      <c r="Q18" s="296">
        <f>IF(E18&lt;&gt;"",E18,"")</f>
        <v/>
      </c>
    </row>
    <row r="19">
      <c r="A19" s="272" t="inlineStr">
        <is>
          <t>2. WA1020101(プロジェクト登録画面)</t>
        </is>
      </c>
      <c r="B19" s="297" t="inlineStr">
        <is>
          <t>E64</t>
        </is>
      </c>
      <c r="C19" s="272" t="inlineStr">
        <is>
          <t>山田　太郎</t>
        </is>
      </c>
      <c r="D19" s="272" t="inlineStr">
        <is>
          <t>e</t>
        </is>
      </c>
      <c r="E19" s="272" t="inlineStr">
        <is>
          <t>設計・ドキュメント規約違反の指摘例（カテゴリe）。</t>
        </is>
      </c>
      <c r="F19" s="162" t="n"/>
      <c r="G19" s="162" t="n"/>
      <c r="H19" s="162" t="n"/>
      <c r="I19" s="162" t="n"/>
      <c r="J19" s="163" t="n"/>
      <c r="K19" s="272" t="inlineStr">
        <is>
          <t>未</t>
        </is>
      </c>
      <c r="L19" s="295">
        <f>IF($D19=L$14,1,0)</f>
        <v/>
      </c>
      <c r="M19" s="295">
        <f>IF($D19=M$14,1,0)</f>
        <v/>
      </c>
      <c r="N19" s="295">
        <f>IF($D19=N$14,1,0)</f>
        <v/>
      </c>
      <c r="O19" s="295">
        <f>IF($D19=O$14,1,0)</f>
        <v/>
      </c>
      <c r="P19" s="295">
        <f>IF($D19=P$14,1,0)</f>
        <v/>
      </c>
      <c r="Q19" s="296">
        <f>IF(E19&lt;&gt;"",E19,"")</f>
        <v/>
      </c>
    </row>
    <row r="20">
      <c r="A20" s="272" t="n"/>
      <c r="B20" s="272" t="n"/>
      <c r="C20" s="272" t="n"/>
      <c r="D20" s="272" t="n"/>
      <c r="E20" s="272" t="n"/>
      <c r="F20" s="162" t="n"/>
      <c r="G20" s="162" t="n"/>
      <c r="H20" s="162" t="n"/>
      <c r="I20" s="162" t="n"/>
      <c r="J20" s="163" t="n"/>
      <c r="K20" s="272" t="n"/>
      <c r="L20" s="295">
        <f>IF($D20=L$14,1,0)</f>
        <v/>
      </c>
      <c r="M20" s="295">
        <f>IF($D20=M$14,1,0)</f>
        <v/>
      </c>
      <c r="N20" s="295">
        <f>IF($D20=N$14,1,0)</f>
        <v/>
      </c>
      <c r="O20" s="295">
        <f>IF($D20=O$14,1,0)</f>
        <v/>
      </c>
      <c r="P20" s="295">
        <f>IF($D20=P$14,1,0)</f>
        <v/>
      </c>
      <c r="Q20" s="296">
        <f>IF(E20&lt;&gt;"",E20,"")</f>
        <v/>
      </c>
    </row>
  </sheetData>
  <mergeCells count="8">
    <mergeCell ref="A4:B4"/>
    <mergeCell ref="E19:J19"/>
    <mergeCell ref="E16:J16"/>
    <mergeCell ref="E17:J17"/>
    <mergeCell ref="E18:J18"/>
    <mergeCell ref="E20:J20"/>
    <mergeCell ref="A3:B3"/>
    <mergeCell ref="E15:J15"/>
  </mergeCells>
  <conditionalFormatting sqref="A15:K20">
    <cfRule type="expression" priority="1" dxfId="0" stopIfTrue="1">
      <formula>$K15="済"</formula>
    </cfRule>
  </conditionalFormatting>
  <dataValidations count="1">
    <dataValidation sqref="K15:K20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  <hyperlink ref="B18" location="'2. WA1020101(プロジェクト登録画面)'!$E$63" display="'2. WA1020101(プロジェクト登録画面)'!$E$63"/>
    <hyperlink ref="B19" location="'2. WA1020101(プロジェクト登録画面)'!$E$64" display="'2. WA1020101(プロジェクト登録画面)'!$E$64"/>
  </hyperlinks>
  <pageMargins left="0.75" right="0.75" top="1" bottom="1" header="0.512" footer="0.512"/>
  <pageSetup orientation="landscape" paperSize="9" scale="86" verticalDpi="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4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4.xml><?xml version="1.0" encoding="utf-8"?>
<worksheet xmlns="http://schemas.openxmlformats.org/spreadsheetml/2006/main">
  <sheetPr codeName="Sheet2">
    <outlinePr summaryBelow="1" summaryRight="1"/>
    <pageSetUpPr fitToPage="1"/>
  </sheetPr>
  <dimension ref="A1:AN35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5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5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5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  <row r="35">
      <c r="E35" t="n"/>
    </row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9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10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2026-03-13T13:59:45Z</dcterms:modified>
  <cp:lastModifiedBy>熊野　吾郎</cp:lastModifiedBy>
</cp:coreProperties>
</file>