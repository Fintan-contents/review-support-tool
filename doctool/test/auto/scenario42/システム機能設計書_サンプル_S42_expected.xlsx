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42\"/>
    </mc:Choice>
  </mc:AlternateContent>
  <xr:revisionPtr revIDLastSave="0" documentId="13_ncr:1_{E5158251-57F9-4332-B3D7-45532801E31E}" xr6:coauthVersionLast="47" xr6:coauthVersionMax="47" xr10:uidLastSave="{00000000-0000-0000-0000-000000000000}"/>
  <bookViews>
    <workbookView xWindow="15540" yWindow="2865" windowWidth="3465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レビュー結果1回目!$A$1:$K$15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9" l="1"/>
  <c r="N15" i="9"/>
  <c r="M15" i="9"/>
  <c r="L15" i="9"/>
  <c r="D10" i="9"/>
  <c r="C10" i="9"/>
  <c r="B10" i="9"/>
  <c r="E10" i="9" s="1"/>
  <c r="D9" i="9"/>
  <c r="D11" i="9" s="1"/>
  <c r="C9" i="9"/>
  <c r="C11" i="9" s="1"/>
  <c r="B9" i="9"/>
  <c r="B11" i="9" s="1"/>
  <c r="E11" i="9" s="1"/>
  <c r="E9" i="9" l="1"/>
  <c r="AG2" i="2" l="1"/>
  <c r="AG1" i="2"/>
  <c r="AC1" i="2"/>
  <c r="S1" i="4"/>
  <c r="AC3" i="3"/>
  <c r="S1" i="6"/>
  <c r="AG3" i="4"/>
  <c r="I25" i="1"/>
  <c r="AG2" i="7"/>
  <c r="E1" i="5"/>
  <c r="AG1" i="7"/>
  <c r="E3" i="3"/>
  <c r="E2" i="7"/>
  <c r="AC1" i="6"/>
  <c r="AC1" i="7"/>
  <c r="E1" i="6"/>
  <c r="AC3" i="4"/>
  <c r="AG2" i="3"/>
  <c r="AG3" i="5"/>
  <c r="E3" i="4"/>
  <c r="AG2" i="5"/>
  <c r="AC1" i="3"/>
  <c r="AG2" i="6"/>
  <c r="E2" i="5"/>
  <c r="AC1" i="4"/>
  <c r="E1" i="3"/>
  <c r="S1" i="7"/>
  <c r="E1" i="7"/>
  <c r="AC3" i="5"/>
  <c r="AG2" i="4"/>
  <c r="E2" i="3"/>
  <c r="E3" i="5"/>
  <c r="AG1" i="3"/>
  <c r="AC3" i="6"/>
  <c r="E3" i="6"/>
  <c r="AG1" i="4"/>
  <c r="AC3" i="7"/>
  <c r="AG1" i="5"/>
  <c r="E2" i="6"/>
  <c r="AG1" i="6"/>
  <c r="S1" i="5"/>
  <c r="AG3" i="3"/>
  <c r="AG3" i="6"/>
  <c r="E2" i="4"/>
  <c r="AG3" i="7"/>
  <c r="S1" i="3"/>
  <c r="E3" i="7"/>
  <c r="AC1" i="5"/>
  <c r="E1" i="4"/>
  <c r="AC2" i="2"/>
  <c r="AC2" i="7"/>
  <c r="AC2" i="4"/>
  <c r="AC2" i="6"/>
  <c r="AC2" i="5"/>
  <c r="AC2" i="3"/>
</calcChain>
</file>

<file path=xl/sharedStrings.xml><?xml version="1.0" encoding="utf-8"?>
<sst xmlns="http://schemas.openxmlformats.org/spreadsheetml/2006/main" count="809" uniqueCount="296">
  <si>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</si>
  <si>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</si>
  <si>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</si>
  <si>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</si>
  <si>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</si>
  <si>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</si>
  <si>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</si>
  <si>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</si>
  <si>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</si>
  <si>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</si>
  <si>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</si>
  <si>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</si>
  <si>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</si>
  <si>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</si>
  <si>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</si>
  <si>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</si>
  <si>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</si>
  <si>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</si>
  <si>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</si>
  <si>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</si>
  <si>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</si>
  <si>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</si>
  <si>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</si>
  <si>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</si>
  <si>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</si>
  <si>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</si>
  <si>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</si>
  <si>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</si>
  <si>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</si>
  <si>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</si>
  <si>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</si>
  <si>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</si>
  <si>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</si>
  <si>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</si>
  <si>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</si>
  <si>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</si>
  <si>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</si>
  <si>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</si>
  <si>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</si>
  <si>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</si>
  <si>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</si>
  <si>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</si>
  <si>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</si>
  <si>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</si>
  <si>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</si>
  <si>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</si>
  <si>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</si>
  <si>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</si>
  <si>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</si>
  <si>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</si>
  <si>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</si>
  <si>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</si>
  <si>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</si>
  <si>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</si>
  <si>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</si>
  <si>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</si>
  <si>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</si>
  <si>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</si>
  <si>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</si>
  <si>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</si>
  <si>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</si>
  <si>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</si>
  <si>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</si>
  <si>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</si>
  <si>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</si>
  <si>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</si>
  <si>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</si>
  <si>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</si>
  <si>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</si>
  <si>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</si>
  <si>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</si>
  <si>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</si>
  <si>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</si>
  <si>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</si>
  <si>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</si>
  <si>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</si>
  <si>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</si>
  <si>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</si>
  <si>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</si>
  <si>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</si>
  <si>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</si>
  <si>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</si>
  <si>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</si>
  <si>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</si>
  <si>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</si>
  <si>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</si>
  <si>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</si>
  <si>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</si>
  <si>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</si>
  <si>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</si>
  <si>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</si>
  <si>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</si>
  <si>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</si>
  <si>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</si>
  <si>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</si>
  <si>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</si>
  <si>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</si>
  <si>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</si>
  <si>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</si>
  <si>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</si>
  <si>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</si>
  <si>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</si>
  <si>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</si>
  <si>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</si>
  <si>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</si>
  <si>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</si>
  <si>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</si>
  <si>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</si>
  <si>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</si>
  <si>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</si>
  <si>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</si>
  <si>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</si>
  <si>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</si>
  <si>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</si>
  <si>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</si>
  <si>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</si>
  <si>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</si>
  <si>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</si>
  <si>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</si>
  <si>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</si>
  <si>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</si>
  <si>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</si>
  <si>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</si>
  <si>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</si>
  <si>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</si>
  <si>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</si>
  <si>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</si>
  <si>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</si>
  <si>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</si>
  <si>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</si>
  <si>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</si>
  <si>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</si>
  <si>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</si>
  <si>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</si>
  <si>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</si>
  <si>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</si>
  <si>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</si>
  <si>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</si>
  <si>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</si>
  <si>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</si>
  <si>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</si>
  <si>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</si>
  <si>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</si>
  <si>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</si>
  <si>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</si>
  <si>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</si>
  <si>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</si>
  <si>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</si>
  <si>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</si>
  <si>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</si>
  <si>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</si>
  <si>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</si>
  <si>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</si>
  <si>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</si>
  <si>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</si>
  <si>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</si>
  <si>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</si>
  <si>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</si>
  <si>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</si>
  <si>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</si>
  <si>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</si>
  <si>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</si>
  <si>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</si>
  <si>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</si>
  <si>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</si>
  <si>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</si>
  <si>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</si>
  <si>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</si>
  <si>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</si>
  <si>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</si>
  <si>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</si>
  <si>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</si>
  <si>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</si>
  <si>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</si>
  <si>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</si>
  <si>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</si>
  <si>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</si>
  <si>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</si>
  <si>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</si>
  <si>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</si>
  <si>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</si>
  <si>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</si>
  <si>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</si>
  <si>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</si>
  <si>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</si>
  <si>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</si>
  <si>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</si>
  <si>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</si>
  <si>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</si>
  <si>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</si>
  <si>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</si>
  <si>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</si>
  <si>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</si>
  <si>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</si>
  <si>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</si>
  <si>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</si>
  <si>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</si>
  <si>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</si>
  <si>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</si>
  <si>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</si>
  <si>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</si>
  <si>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</si>
  <si>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</si>
  <si>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</si>
  <si>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</si>
  <si>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</si>
  <si>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</si>
  <si>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</si>
  <si>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</si>
  <si>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</si>
  <si>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</si>
  <si>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</si>
  <si>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</si>
  <si>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</si>
  <si>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</si>
  <si>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</si>
  <si>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</si>
  <si>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</si>
  <si>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</si>
  <si>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</si>
  <si>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</si>
  <si>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</si>
  <si>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</si>
  <si>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</si>
  <si>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</si>
  <si>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</si>
  <si>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</si>
  <si>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</si>
  <si>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</si>
  <si>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</si>
  <si>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</si>
  <si>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</si>
  <si>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</si>
  <si>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</si>
  <si>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</si>
  <si>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</si>
  <si>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</si>
  <si>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</si>
  <si>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</si>
  <si>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</si>
  <si>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</si>
  <si>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</si>
  <si>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</si>
  <si>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</si>
  <si>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</si>
  <si>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</si>
  <si>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</si>
  <si>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</si>
  <si>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</si>
  <si>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</si>
  <si>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</si>
  <si>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</si>
  <si>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</si>
  <si>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</si>
  <si>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</si>
  <si>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</si>
  <si>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</si>
  <si>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</si>
  <si>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</si>
  <si>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</si>
  <si>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</si>
  <si>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</si>
  <si>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</si>
  <si>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</si>
  <si>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</si>
  <si>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</si>
  <si>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</si>
  <si>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</si>
  <si>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</si>
  <si>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</si>
  <si>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</si>
  <si>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</si>
  <si>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</si>
  <si>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</si>
  <si>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</si>
  <si>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</si>
  <si>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</si>
  <si>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</si>
  <si>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</si>
  <si>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</si>
  <si>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対応状況</t>
    <rPh sb="0" eb="2">
      <t>タイオウ</t>
    </rPh>
    <rPh sb="2" eb="4">
      <t>ジョウキョウ</t>
    </rPh>
    <phoneticPr fontId="13"/>
  </si>
  <si>
    <t>分類001_a</t>
    <phoneticPr fontId="13"/>
  </si>
  <si>
    <t>分類002_b</t>
    <phoneticPr fontId="13"/>
  </si>
  <si>
    <t>分類003_c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</si>
  <si>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</si>
  <si>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</si>
  <si>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</si>
  <si>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</si>
  <si>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</si>
  <si>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</si>
  <si>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</si>
  <si>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</si>
  <si>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</si>
  <si>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</si>
  <si>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D00001</t>
  </si>
  <si>
    <t>システム機能設計書_サンプル_S42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</si>
</sst>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CA6C-F21B-4414-B4C4-BB9A83F63BC3}">
  <sheetPr codeName="SheetTemplate">
    <tabColor indexed="44"/>
    <pageSetUpPr fitToPage="1"/>
  </sheetPr>
  <dimension ref="A1:O15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defaultRowHeight="13.5" x14ac:dyDescent="0.15"/>
  <cols>
    <col min="1" max="1" width="9.33203125" style="262"/>
    <col min="2" max="11" width="17.6640625" style="262" customWidth="1"/>
    <col min="12" max="14" width="4.5" style="262" customWidth="1"/>
    <col min="15" max="15" width="98.1640625" style="262" customWidth="1"/>
    <col min="16" max="20" width="4.5" style="262" customWidth="1"/>
    <col min="21" max="21" width="98.1640625" style="262" customWidth="1"/>
    <col min="22" max="16384" width="9.33203125" style="262"/>
  </cols>
  <sheetData>
    <row r="1" spans="1:15" x14ac:dyDescent="0.15">
      <c r="A1" s="261" t="s">
        <v>265</v>
      </c>
      <c r="L1" s="263"/>
      <c r="O1" s="264" t="s">
        <v>266</v>
      </c>
    </row>
    <row r="2" spans="1:15" x14ac:dyDescent="0.15">
      <c r="A2" s="262" t="s">
        <v>267</v>
      </c>
      <c r="B2" s="262" t="s">
        <v>294</v>
      </c>
      <c r="E2" s="265" t="s">
        <v>268</v>
      </c>
      <c r="F2" s="266"/>
      <c r="G2" s="266"/>
      <c r="H2" s="266"/>
      <c r="I2" s="267"/>
      <c r="L2" s="263"/>
    </row>
    <row r="3" spans="1:15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15" x14ac:dyDescent="0.15">
      <c r="A4" s="271" t="s">
        <v>295</v>
      </c>
      <c r="B4" s="271"/>
      <c r="C4" s="272">
        <v>1</v>
      </c>
      <c r="E4" s="273"/>
      <c r="F4" s="274"/>
      <c r="G4" s="275" t="s">
        <v>275</v>
      </c>
      <c r="H4" s="274"/>
      <c r="I4" s="272"/>
    </row>
    <row r="6" spans="1:15" x14ac:dyDescent="0.15">
      <c r="A6" s="261" t="s">
        <v>276</v>
      </c>
    </row>
    <row r="7" spans="1:15" x14ac:dyDescent="0.15">
      <c r="B7" s="276" t="s">
        <v>277</v>
      </c>
      <c r="C7" s="276" t="s">
        <v>278</v>
      </c>
      <c r="D7" s="270" t="s">
        <v>279</v>
      </c>
    </row>
    <row r="8" spans="1:15" x14ac:dyDescent="0.15">
      <c r="A8" s="269" t="s">
        <v>280</v>
      </c>
      <c r="B8" s="277" t="s">
        <v>281</v>
      </c>
      <c r="C8" s="277" t="s">
        <v>282</v>
      </c>
      <c r="D8" s="277" t="s">
        <v>283</v>
      </c>
      <c r="E8" s="278" t="s">
        <v>284</v>
      </c>
      <c r="F8" s="279"/>
      <c r="G8" s="279"/>
      <c r="H8" s="279"/>
      <c r="I8" s="279"/>
      <c r="J8" s="279"/>
      <c r="K8" s="279"/>
      <c r="L8" s="279"/>
      <c r="M8" s="279"/>
      <c r="N8" s="279"/>
    </row>
    <row r="9" spans="1:15" x14ac:dyDescent="0.15">
      <c r="A9" s="269" t="s">
        <v>285</v>
      </c>
      <c r="B9" s="280" t="str">
        <f>IF(SUMIF($K15:$K15,$A9,L15:L15)=0,"",SUMIF($K15:$K15,$A9,L15:L15))</f>
        <v/>
      </c>
      <c r="C9" s="280" t="str">
        <f>IF(SUMIF($K15:$K15,$A9,M15:M15)=0,"",SUMIF($K15:$K15,$A9,M15:M15))</f>
        <v/>
      </c>
      <c r="D9" s="280" t="str">
        <f>IF(SUMIF($K15:$K15,$A9,N15:N15)=0,"",SUMIF($K15:$K15,$A9,N15:N15))</f>
        <v/>
      </c>
      <c r="E9" s="281">
        <f>SUM(B9:D9)</f>
        <v>0</v>
      </c>
      <c r="F9" s="261"/>
      <c r="G9" s="261"/>
      <c r="H9" s="261"/>
      <c r="I9" s="261"/>
      <c r="J9" s="261"/>
      <c r="K9" s="261"/>
      <c r="L9" s="261"/>
      <c r="M9" s="261"/>
      <c r="N9" s="261"/>
    </row>
    <row r="10" spans="1:15" x14ac:dyDescent="0.15">
      <c r="A10" s="269" t="s">
        <v>286</v>
      </c>
      <c r="B10" s="280" t="str">
        <f>IF(SUMIF($K15:$K15,$A10,L15:L15)=0,"",SUMIF($K15:$K15,$A10,L15:L15))</f>
        <v/>
      </c>
      <c r="C10" s="280" t="str">
        <f>IF(SUMIF($K15:$K15,$A10,M15:M15)=0,"",SUMIF($K15:$K15,$A10,M15:M15))</f>
        <v/>
      </c>
      <c r="D10" s="280" t="str">
        <f>IF(SUMIF($K15:$K15,$A10,N15:N15)=0,"",SUMIF($K15:$K15,$A10,N15:N15))</f>
        <v/>
      </c>
      <c r="E10" s="281">
        <f>SUM(B10:D10)</f>
        <v>0</v>
      </c>
      <c r="F10" s="261"/>
      <c r="G10" s="261"/>
      <c r="H10" s="261"/>
      <c r="I10" s="261"/>
      <c r="J10" s="261"/>
      <c r="K10" s="261"/>
      <c r="L10" s="261"/>
      <c r="M10" s="261"/>
      <c r="N10" s="261"/>
    </row>
    <row r="11" spans="1:15" x14ac:dyDescent="0.15">
      <c r="A11" s="282" t="s">
        <v>284</v>
      </c>
      <c r="B11" s="283">
        <f>SUM(B9:B10)</f>
        <v>0</v>
      </c>
      <c r="C11" s="283">
        <f t="shared" ref="C11:D11" si="0">SUM(C9:C10)</f>
        <v>0</v>
      </c>
      <c r="D11" s="283">
        <f t="shared" si="0"/>
        <v>0</v>
      </c>
      <c r="E11" s="283">
        <f>SUM(B11:D11)</f>
        <v>0</v>
      </c>
    </row>
    <row r="12" spans="1:15" x14ac:dyDescent="0.15">
      <c r="A12" s="261"/>
      <c r="B12" s="284"/>
      <c r="C12" s="284"/>
      <c r="D12" s="284"/>
      <c r="E12" s="284"/>
      <c r="F12" s="284"/>
      <c r="G12" s="284"/>
      <c r="H12" s="284"/>
      <c r="I12" s="284"/>
      <c r="J12" s="284"/>
      <c r="K12" s="284"/>
    </row>
    <row r="13" spans="1:15" x14ac:dyDescent="0.15">
      <c r="A13" s="285" t="s">
        <v>287</v>
      </c>
      <c r="B13" s="286"/>
      <c r="C13" s="286"/>
      <c r="D13" s="286"/>
      <c r="F13" s="286"/>
      <c r="L13" s="263" t="s">
        <v>288</v>
      </c>
      <c r="M13" s="263"/>
      <c r="N13" s="263"/>
    </row>
    <row r="14" spans="1:15" x14ac:dyDescent="0.15">
      <c r="A14" s="287" t="s">
        <v>289</v>
      </c>
      <c r="B14" s="287" t="s">
        <v>290</v>
      </c>
      <c r="C14" s="287" t="s">
        <v>291</v>
      </c>
      <c r="D14" s="287" t="s">
        <v>292</v>
      </c>
      <c r="E14" s="288" t="s">
        <v>293</v>
      </c>
      <c r="F14" s="289"/>
      <c r="G14" s="290"/>
      <c r="H14" s="290"/>
      <c r="I14" s="290"/>
      <c r="J14" s="291"/>
      <c r="K14" s="292" t="s">
        <v>280</v>
      </c>
      <c r="L14" s="293" t="s">
        <v>277</v>
      </c>
      <c r="M14" s="293" t="s">
        <v>278</v>
      </c>
      <c r="N14" s="293" t="s">
        <v>279</v>
      </c>
    </row>
    <row r="15" spans="1:15" x14ac:dyDescent="0.15">
      <c r="A15" s="272"/>
      <c r="B15" s="272"/>
      <c r="C15" s="272"/>
      <c r="D15" s="272"/>
      <c r="E15" s="271"/>
      <c r="F15" s="271"/>
      <c r="G15" s="271"/>
      <c r="H15" s="271"/>
      <c r="I15" s="271"/>
      <c r="J15" s="271"/>
      <c r="K15" s="272"/>
      <c r="L15" s="294">
        <f t="shared" ref="L15:N15" si="1">IF($D15=L$14,1,0)</f>
        <v>0</v>
      </c>
      <c r="M15" s="294">
        <f t="shared" si="1"/>
        <v>0</v>
      </c>
      <c r="N15" s="294">
        <f t="shared" si="1"/>
        <v>0</v>
      </c>
      <c r="O15" s="295" t="str">
        <f>IF(E15&lt;&gt;"",E15,"")</f>
        <v/>
      </c>
    </row>
  </sheetData>
  <mergeCells count="3">
    <mergeCell ref="A3:B3"/>
    <mergeCell ref="A4:B4"/>
    <mergeCell ref="E15:J15"/>
  </mergeCells>
  <phoneticPr fontId="10"/>
  <conditionalFormatting sqref="A15:K15">
    <cfRule type="expression" dxfId="0" priority="1" stopIfTrue="1">
      <formula>$K15="済"</formula>
    </cfRule>
  </conditionalFormatting>
  <dataValidations count="1">
    <dataValidation type="list" allowBlank="1" showInputMessage="1" showErrorMessage="1" sqref="K15" xr:uid="{91C4CFB3-D63C-495B-84A4-674F2EFF6B19}">
      <formula1>"未,済"</formula1>
    </dataValidation>
  </dataValidation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8" spans="1:35" ht="11.25" x14ac:dyDescent="0.15"/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/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3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3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3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3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3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3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3:48" x14ac:dyDescent="0.15"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3:48" ht="11.25" customHeight="1" x14ac:dyDescent="0.15"/>
    <row r="73" spans="3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3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3:48" ht="11.25" customHeight="1" x14ac:dyDescent="0.15">
      <c r="AI75" s="96"/>
      <c r="AJ75" s="96"/>
    </row>
    <row r="76" spans="3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3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3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3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3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2026-03-16T13:00:30Z</dcterms:modified>
</cp:coreProperties>
</file>