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340" yWindow="2340" windowWidth="38700" windowHeight="15345" tabRatio="822" firstSheet="0" activeTab="0" autoFilterDateGrouping="1"/>
  </bookViews>
  <sheets>
    <sheet name="レビュー結果1回目" sheetId="1" state="visible" r:id="rId1"/>
    <sheet name="表紙" sheetId="2" state="visible" r:id="rId2"/>
    <sheet name="変更履歴" sheetId="3" state="visible" r:id="rId3"/>
    <sheet name="目次" sheetId="4" state="visible" r:id="rId4"/>
    <sheet name="1.  画面取引定義" sheetId="5" state="visible" r:id="rId5"/>
    <sheet name="2. WA1020101(プロジェクト登録画面)" sheetId="6" state="visible" r:id="rId6"/>
    <sheet name="3. WA1020102(プロジェクト登録確認画面)" sheetId="7" state="visible" r:id="rId7"/>
    <sheet name="4. WA1020103(プロジェクト登録完了画面)" sheetId="8" state="visible" r:id="rId8"/>
    <sheet name="データ" sheetId="9" state="hidden" r:id="rId9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'レビュー結果1回目'!$A$1:$K$18</definedName>
    <definedName name="_xlnm.Print_Area" localSheetId="1">'表紙'!$A$1:$S$39</definedName>
    <definedName name="_xlnm.Print_Area" localSheetId="2">'変更履歴'!$A$1:$AI$34</definedName>
    <definedName name="_xlnm.Print_Area" localSheetId="3">'目次'!$A$1:$AI$33</definedName>
    <definedName name="_Toc46209822" localSheetId="4">'1.  画面取引定義'!$B$5</definedName>
    <definedName name="_xlnm.Print_Titles" localSheetId="4">'1.  画面取引定義'!$1:$4</definedName>
    <definedName name="_xlnm.Print_Area" localSheetId="4">'1.  画面取引定義'!$A$1:$AI$21</definedName>
    <definedName name="_xlnm.Print_Titles" localSheetId="5">'2. WA1020101(プロジェクト登録画面)'!$1:$4</definedName>
    <definedName name="_xlnm.Print_Area" localSheetId="5">'2. WA1020101(プロジェクト登録画面)'!$A$1:$AI$180</definedName>
    <definedName name="_xlnm.Print_Titles" localSheetId="6">'3. WA1020102(プロジェクト登録確認画面)'!$1:$4</definedName>
    <definedName name="_xlnm.Print_Area" localSheetId="6">'3. WA1020102(プロジェクト登録確認画面)'!$A$1:$AI$136</definedName>
    <definedName name="_xlnm.Print_Titles" localSheetId="7">'4. WA1020103(プロジェクト登録完了画面)'!$1:$4</definedName>
    <definedName name="_xlnm.Print_Area" localSheetId="7">'4. WA1020103(プロジェクト登録完了画面)'!$A$1:$AI$68</definedName>
    <definedName name="_xlnm.Print_Area" localSheetId="8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第&quot;0.00&quot;版&quot;"/>
    <numFmt numFmtId="165" formatCode="yyyy/mm/dd"/>
    <numFmt numFmtId="166" formatCode="#"/>
  </numFmts>
  <fonts count="27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color indexed="9"/>
      <sz val="11"/>
    </font>
    <font>
      <name val="ＭＳ Ｐゴシック"/>
      <charset val="128"/>
      <family val="3"/>
      <color indexed="10"/>
      <sz val="11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</borders>
  <cellStyleXfs count="12"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 applyAlignment="1" applyProtection="1">
      <alignment vertical="top"/>
      <protection locked="0" hidden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 applyAlignment="1">
      <alignment vertical="center"/>
    </xf>
  </cellStyleXfs>
  <cellXfs count="30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7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6" fillId="0" borderId="0" pivotButton="0" quotePrefix="0" xfId="0"/>
    <xf numFmtId="0" fontId="7" fillId="0" borderId="0" pivotButton="0" quotePrefix="0" xfId="1"/>
    <xf numFmtId="164" fontId="7" fillId="0" borderId="0" applyAlignment="1" pivotButton="0" quotePrefix="1" xfId="1">
      <alignment horizontal="center"/>
    </xf>
    <xf numFmtId="0" fontId="12" fillId="0" borderId="0" pivotButton="0" quotePrefix="0" xfId="0"/>
    <xf numFmtId="0" fontId="1" fillId="0" borderId="0" pivotButton="0" quotePrefix="0" xfId="0"/>
    <xf numFmtId="0" fontId="12" fillId="0" borderId="0" applyAlignment="1" pivotButton="0" quotePrefix="0" xfId="1">
      <alignment vertical="top"/>
    </xf>
    <xf numFmtId="0" fontId="2" fillId="0" borderId="0" pivotButton="0" quotePrefix="0" xfId="3"/>
    <xf numFmtId="0" fontId="11" fillId="0" borderId="0" applyAlignment="1" pivotButton="0" quotePrefix="0" xfId="3">
      <alignment horizontal="center"/>
    </xf>
    <xf numFmtId="0" fontId="8" fillId="0" borderId="0" applyAlignment="1" pivotButton="0" quotePrefix="0" xfId="4">
      <alignment horizontal="center"/>
    </xf>
    <xf numFmtId="0" fontId="8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5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8" fillId="0" borderId="0" pivotButton="0" quotePrefix="0" xfId="0"/>
    <xf numFmtId="0" fontId="19" fillId="0" borderId="0" applyAlignment="1" pivotButton="0" quotePrefix="1" xfId="0">
      <alignment horizontal="righ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1" fillId="0" borderId="0" pivotButton="0" quotePrefix="0" xfId="0"/>
    <xf numFmtId="0" fontId="21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31" fontId="7" fillId="0" borderId="0" applyAlignment="1" pivotButton="0" quotePrefix="1" xfId="3">
      <alignment horizontal="center" vertical="center"/>
    </xf>
    <xf numFmtId="0" fontId="2" fillId="0" borderId="0" pivotButton="0" quotePrefix="0" xfId="0"/>
    <xf numFmtId="14" fontId="0" fillId="0" borderId="10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0" borderId="1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 vertical="top"/>
    </xf>
    <xf numFmtId="0" fontId="0" fillId="0" borderId="10" applyAlignment="1" pivotButton="0" quotePrefix="0" xfId="1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1" pivotButton="0" quotePrefix="0" xfId="0"/>
    <xf numFmtId="0" fontId="1" fillId="0" borderId="0" applyAlignment="1" pivotButton="0" quotePrefix="0" xfId="1">
      <alignment vertical="top"/>
    </xf>
    <xf numFmtId="0" fontId="0" fillId="0" borderId="2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4" pivotButton="0" quotePrefix="0" xfId="0"/>
    <xf numFmtId="0" fontId="1" fillId="2" borderId="10" applyAlignment="1" pivotButton="0" quotePrefix="0" xfId="1">
      <alignment horizontal="left" vertical="top"/>
    </xf>
    <xf numFmtId="0" fontId="15" fillId="2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0" pivotButton="0" quotePrefix="0" xfId="0"/>
    <xf numFmtId="165" fontId="1" fillId="0" borderId="10" applyAlignment="1" pivotButton="0" quotePrefix="0" xfId="3">
      <alignment horizontal="right"/>
    </xf>
    <xf numFmtId="0" fontId="1" fillId="0" borderId="10" applyAlignment="1" pivotButton="0" quotePrefix="0" xfId="1">
      <alignment horizontal="left" vertical="top"/>
    </xf>
    <xf numFmtId="0" fontId="1" fillId="0" borderId="32" applyAlignment="1" pivotButton="0" quotePrefix="0" xfId="0">
      <alignment horizontal="center" vertical="top"/>
    </xf>
    <xf numFmtId="14" fontId="1" fillId="0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14" fontId="1" fillId="0" borderId="32" applyAlignment="1" pivotButton="0" quotePrefix="1" xfId="0">
      <alignment horizontal="center" vertical="top"/>
    </xf>
    <xf numFmtId="14" fontId="0" fillId="0" borderId="10" applyAlignment="1" pivotButton="0" quotePrefix="0" xfId="1">
      <alignment horizontal="left" vertical="top"/>
    </xf>
    <xf numFmtId="0" fontId="0" fillId="0" borderId="32" applyAlignment="1" pivotButton="0" quotePrefix="0" xfId="0">
      <alignment horizontal="left" vertical="top"/>
    </xf>
    <xf numFmtId="0" fontId="1" fillId="0" borderId="32" applyAlignment="1" pivotButton="0" quotePrefix="0" xfId="0">
      <alignment horizontal="left" vertical="top"/>
    </xf>
    <xf numFmtId="0" fontId="1" fillId="2" borderId="10" applyAlignment="1" pivotButton="0" quotePrefix="0" xfId="1">
      <alignment horizontal="left"/>
    </xf>
    <xf numFmtId="165" fontId="1" fillId="0" borderId="10" applyAlignment="1" pivotButton="0" quotePrefix="0" xfId="0">
      <alignment horizontal="right" vertical="top"/>
    </xf>
    <xf numFmtId="0" fontId="1" fillId="0" borderId="10" applyAlignment="1" pivotButton="0" quotePrefix="0" xfId="1">
      <alignment horizontal="left" vertical="top" wrapText="1"/>
    </xf>
    <xf numFmtId="0" fontId="1" fillId="0" borderId="10" applyAlignment="1" pivotButton="0" quotePrefix="0" xfId="2">
      <alignment horizontal="left" vertical="top"/>
    </xf>
    <xf numFmtId="0" fontId="1" fillId="2" borderId="10" applyAlignment="1" pivotButton="0" quotePrefix="0" xfId="0">
      <alignment vertical="top"/>
    </xf>
    <xf numFmtId="0" fontId="1" fillId="2" borderId="10" applyAlignment="1" pivotButton="0" quotePrefix="0" xfId="0">
      <alignment horizontal="left" vertical="top"/>
    </xf>
    <xf numFmtId="0" fontId="1" fillId="0" borderId="0" applyAlignment="1" pivotButton="0" quotePrefix="0" xfId="0">
      <alignment horizontal="left"/>
    </xf>
    <xf numFmtId="0" fontId="1" fillId="4" borderId="10" applyAlignment="1" pivotButton="0" quotePrefix="0" xfId="0">
      <alignment horizontal="left" vertical="top"/>
    </xf>
    <xf numFmtId="0" fontId="1" fillId="4" borderId="10" applyAlignment="1" pivotButton="0" quotePrefix="0" xfId="0">
      <alignment horizontal="center" vertical="top"/>
    </xf>
    <xf numFmtId="0" fontId="1" fillId="0" borderId="33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0" applyAlignment="1" pivotButton="0" quotePrefix="0" xfId="0">
      <alignment vertical="top" wrapText="1"/>
    </xf>
    <xf numFmtId="0" fontId="15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0" fillId="2" borderId="10" applyAlignment="1" pivotButton="0" quotePrefix="0" xfId="0">
      <alignment vertical="top" wrapText="1"/>
    </xf>
    <xf numFmtId="0" fontId="1" fillId="4" borderId="10" applyAlignment="1" pivotButton="0" quotePrefix="0" xfId="0">
      <alignment vertical="top" wrapText="1"/>
    </xf>
    <xf numFmtId="0" fontId="0" fillId="0" borderId="11" pivotButton="0" quotePrefix="0" xfId="0"/>
    <xf numFmtId="0" fontId="1" fillId="0" borderId="10" applyAlignment="1" pivotButton="0" quotePrefix="0" xfId="0">
      <alignment vertical="top"/>
    </xf>
    <xf numFmtId="0" fontId="1" fillId="5" borderId="10" applyAlignment="1" pivotButton="0" quotePrefix="0" xfId="0">
      <alignment horizontal="left" vertical="top"/>
    </xf>
    <xf numFmtId="49" fontId="0" fillId="0" borderId="10" applyAlignment="1" pivotButton="0" quotePrefix="0" xfId="0">
      <alignment vertical="center" wrapText="1"/>
    </xf>
    <xf numFmtId="0" fontId="0" fillId="0" borderId="10" pivotButton="0" quotePrefix="0" xfId="0"/>
    <xf numFmtId="0" fontId="1" fillId="0" borderId="10" applyAlignment="1" pivotButton="0" quotePrefix="0" xfId="0">
      <alignment horizontal="left" vertical="top" wrapText="1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0" fontId="0" fillId="0" borderId="28" pivotButton="0" quotePrefix="0" xfId="0"/>
    <xf numFmtId="0" fontId="0" fillId="0" borderId="26" applyAlignment="1" pivotButton="0" quotePrefix="0" xfId="0">
      <alignment horizontal="left" vertical="top"/>
    </xf>
    <xf numFmtId="0" fontId="1" fillId="0" borderId="0" pivotButton="0" quotePrefix="0" xfId="0"/>
    <xf numFmtId="0" fontId="0" fillId="3" borderId="10" applyAlignment="1" pivotButton="0" quotePrefix="0" xfId="0">
      <alignment vertical="top" wrapText="1"/>
    </xf>
    <xf numFmtId="0" fontId="0" fillId="2" borderId="12" applyAlignment="1" pivotButton="0" quotePrefix="0" xfId="0">
      <alignment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2" borderId="10" applyAlignment="1" pivotButton="0" quotePrefix="0" xfId="0">
      <alignment horizontal="left" vertical="top" wrapText="1"/>
    </xf>
    <xf numFmtId="0" fontId="1" fillId="2" borderId="35" applyAlignment="1" pivotButton="0" quotePrefix="0" xfId="0">
      <alignment vertical="top"/>
    </xf>
    <xf numFmtId="0" fontId="0" fillId="0" borderId="13" applyAlignment="1" pivotButton="0" quotePrefix="0" xfId="0">
      <alignment vertical="top" wrapText="1"/>
    </xf>
    <xf numFmtId="0" fontId="0" fillId="2" borderId="10" applyAlignment="1" pivotButton="0" quotePrefix="0" xfId="0">
      <alignment vertical="top"/>
    </xf>
    <xf numFmtId="0" fontId="1" fillId="0" borderId="10" applyAlignment="1" pivotButton="0" quotePrefix="0" xfId="0">
      <alignment vertical="top" wrapText="1"/>
    </xf>
    <xf numFmtId="49" fontId="1" fillId="2" borderId="10" applyAlignment="1" pivotButton="0" quotePrefix="0" xfId="0">
      <alignment horizontal="left" vertical="top"/>
    </xf>
    <xf numFmtId="0" fontId="1" fillId="2" borderId="14" applyAlignment="1" pivotButton="0" quotePrefix="0" xfId="0">
      <alignment vertical="center"/>
    </xf>
    <xf numFmtId="0" fontId="1" fillId="5" borderId="10" applyAlignment="1" pivotButton="0" quotePrefix="0" xfId="0">
      <alignment vertical="top"/>
    </xf>
    <xf numFmtId="0" fontId="0" fillId="5" borderId="10" applyAlignment="1" pivotButton="0" quotePrefix="0" xfId="0">
      <alignment horizontal="left" vertical="top"/>
    </xf>
    <xf numFmtId="0" fontId="0" fillId="7" borderId="10" applyAlignment="1" pivotButton="0" quotePrefix="0" xfId="0">
      <alignment horizontal="left" vertical="top" wrapText="1"/>
    </xf>
    <xf numFmtId="0" fontId="1" fillId="4" borderId="10" applyAlignment="1" pivotButton="0" quotePrefix="0" xfId="0">
      <alignment vertical="top"/>
    </xf>
    <xf numFmtId="0" fontId="1" fillId="5" borderId="10" pivotButton="0" quotePrefix="0" xfId="0"/>
    <xf numFmtId="0" fontId="1" fillId="7" borderId="33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 wrapText="1"/>
    </xf>
    <xf numFmtId="0" fontId="0" fillId="5" borderId="10" pivotButton="0" quotePrefix="0" xfId="0"/>
    <xf numFmtId="49" fontId="0" fillId="2" borderId="10" applyAlignment="1" pivotButton="0" quotePrefix="0" xfId="0">
      <alignment horizontal="left" vertical="top"/>
    </xf>
    <xf numFmtId="49" fontId="0" fillId="0" borderId="10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1" fillId="2" borderId="34" applyAlignment="1" pivotButton="0" quotePrefix="0" xfId="0">
      <alignment vertical="top"/>
    </xf>
    <xf numFmtId="0" fontId="0" fillId="0" borderId="27" pivotButton="0" quotePrefix="0" xfId="0"/>
    <xf numFmtId="0" fontId="0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center"/>
    </xf>
    <xf numFmtId="0" fontId="0" fillId="5" borderId="10" applyAlignment="1" pivotButton="0" quotePrefix="0" xfId="0">
      <alignment horizontal="center" vertical="top"/>
    </xf>
    <xf numFmtId="0" fontId="0" fillId="3" borderId="1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0" borderId="33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/>
    </xf>
    <xf numFmtId="0" fontId="1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0" applyAlignment="1" pivotButton="0" quotePrefix="0" xfId="0">
      <alignment vertical="center"/>
    </xf>
    <xf numFmtId="49" fontId="1" fillId="0" borderId="10" applyAlignment="1" pivotButton="0" quotePrefix="0" xfId="0">
      <alignment horizontal="left" vertical="top" wrapText="1"/>
    </xf>
    <xf numFmtId="0" fontId="0" fillId="2" borderId="12" applyAlignment="1" pivotButton="0" quotePrefix="0" xfId="0">
      <alignment horizontal="left" vertical="top" wrapText="1"/>
    </xf>
    <xf numFmtId="0" fontId="22" fillId="0" borderId="0" applyAlignment="1" pivotButton="0" quotePrefix="0" xfId="11">
      <alignment vertical="center"/>
    </xf>
    <xf numFmtId="0" fontId="14" fillId="0" borderId="0" applyAlignment="1" pivotButton="0" quotePrefix="0" xfId="11">
      <alignment vertical="center"/>
    </xf>
    <xf numFmtId="0" fontId="23" fillId="0" borderId="0" applyAlignment="1" pivotButton="0" quotePrefix="0" xfId="11">
      <alignment vertical="center"/>
    </xf>
    <xf numFmtId="0" fontId="24" fillId="0" borderId="0" applyAlignment="1" pivotButton="0" quotePrefix="0" xfId="11">
      <alignment vertical="center"/>
    </xf>
    <xf numFmtId="0" fontId="14" fillId="8" borderId="1" applyAlignment="1" pivotButton="0" quotePrefix="0" xfId="11">
      <alignment vertical="center"/>
    </xf>
    <xf numFmtId="0" fontId="14" fillId="8" borderId="2" applyAlignment="1" pivotButton="0" quotePrefix="0" xfId="11">
      <alignment vertical="center"/>
    </xf>
    <xf numFmtId="0" fontId="14" fillId="8" borderId="3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vertical="center"/>
    </xf>
    <xf numFmtId="0" fontId="14" fillId="8" borderId="10" applyAlignment="1" pivotButton="0" quotePrefix="0" xfId="11">
      <alignment horizontal="center" vertical="center"/>
    </xf>
    <xf numFmtId="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vertical="center"/>
    </xf>
    <xf numFmtId="14" fontId="14" fillId="0" borderId="10" applyAlignment="1" pivotButton="0" quotePrefix="0" xfId="11">
      <alignment vertical="center"/>
    </xf>
    <xf numFmtId="20" fontId="14" fillId="0" borderId="10" applyAlignment="1" pivotButton="0" quotePrefix="0" xfId="11">
      <alignment vertical="center"/>
    </xf>
    <xf numFmtId="0" fontId="14" fillId="0" borderId="10" applyAlignment="1" pivotButton="0" quotePrefix="0" xfId="11">
      <alignment horizontal="center" vertical="center"/>
    </xf>
    <xf numFmtId="0" fontId="14" fillId="8" borderId="10" applyAlignment="1" pivotButton="0" quotePrefix="0" xfId="11">
      <alignment horizontal="center" vertical="center" wrapText="1"/>
    </xf>
    <xf numFmtId="0" fontId="25" fillId="8" borderId="10" applyAlignment="1" pivotButton="0" quotePrefix="0" xfId="11">
      <alignment vertical="center" wrapText="1"/>
    </xf>
    <xf numFmtId="0" fontId="25" fillId="8" borderId="10" applyAlignment="1" pivotButton="0" quotePrefix="0" xfId="11">
      <alignment vertical="center"/>
    </xf>
    <xf numFmtId="0" fontId="26" fillId="8" borderId="10" applyAlignment="1" pivotButton="0" quotePrefix="0" xfId="11">
      <alignment vertical="center" wrapText="1"/>
    </xf>
    <xf numFmtId="0" fontId="26" fillId="8" borderId="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0" fontId="22" fillId="8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0" fontId="22" fillId="0" borderId="0" applyAlignment="1" pivotButton="0" quotePrefix="0" xfId="11">
      <alignment vertical="center" wrapText="1"/>
    </xf>
    <xf numFmtId="0" fontId="14" fillId="0" borderId="0" applyAlignment="1" pivotButton="0" quotePrefix="0" xfId="11">
      <alignment vertical="center" wrapText="1"/>
    </xf>
    <xf numFmtId="0" fontId="14" fillId="10" borderId="10" applyAlignment="1" pivotButton="0" quotePrefix="0" xfId="11">
      <alignment vertical="center" wrapText="1"/>
    </xf>
    <xf numFmtId="0" fontId="14" fillId="10" borderId="1" applyAlignment="1" pivotButton="0" quotePrefix="0" xfId="11">
      <alignment vertical="center" wrapText="1"/>
    </xf>
    <xf numFmtId="0" fontId="14" fillId="10" borderId="2" applyAlignment="1" pivotButton="0" quotePrefix="0" xfId="11">
      <alignment vertical="center" wrapText="1"/>
    </xf>
    <xf numFmtId="0" fontId="14" fillId="10" borderId="2" applyAlignment="1" pivotButton="0" quotePrefix="0" xfId="11">
      <alignment vertical="center"/>
    </xf>
    <xf numFmtId="0" fontId="14" fillId="10" borderId="3" applyAlignment="1" pivotButton="0" quotePrefix="0" xfId="11">
      <alignment vertical="center"/>
    </xf>
    <xf numFmtId="0" fontId="14" fillId="10" borderId="10" applyAlignment="1" pivotButton="0" quotePrefix="0" xfId="11">
      <alignment vertical="center"/>
    </xf>
    <xf numFmtId="0" fontId="23" fillId="11" borderId="0" applyAlignment="1" pivotButton="0" quotePrefix="0" xfId="11">
      <alignment horizontal="right" vertical="center"/>
    </xf>
    <xf numFmtId="0" fontId="23" fillId="0" borderId="0" applyAlignment="1" pivotButton="0" quotePrefix="0" xfId="11">
      <alignment horizontal="right" vertical="center"/>
    </xf>
    <xf numFmtId="0" fontId="23" fillId="0" borderId="0" applyAlignment="1" pivotButton="0" quotePrefix="0" xfId="11">
      <alignment vertical="center" wrapText="1"/>
    </xf>
    <xf numFmtId="0" fontId="17" fillId="0" borderId="0" applyAlignment="1" applyProtection="1" pivotButton="0" quotePrefix="0" xfId="5">
      <alignment vertical="top"/>
      <protection locked="0" hidden="0"/>
    </xf>
    <xf numFmtId="0" fontId="14" fillId="0" borderId="10" applyAlignment="1" pivotButton="0" quotePrefix="0" xfId="11">
      <alignment vertical="center" wrapText="1"/>
    </xf>
    <xf numFmtId="166" fontId="14" fillId="0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/>
    </xf>
    <xf numFmtId="166" fontId="22" fillId="9" borderId="10" applyAlignment="1" pivotButton="0" quotePrefix="0" xfId="11">
      <alignment vertical="center" wrapText="1"/>
    </xf>
    <xf numFmtId="166" fontId="22" fillId="0" borderId="0" applyAlignment="1" pivotButton="0" quotePrefix="0" xfId="11">
      <alignment vertical="center" wrapText="1"/>
    </xf>
    <xf numFmtId="164" fontId="7" fillId="0" borderId="0" applyAlignment="1" pivotButton="0" quotePrefix="1" xfId="1">
      <alignment horizontal="center"/>
    </xf>
    <xf numFmtId="165" fontId="1" fillId="0" borderId="10" applyAlignment="1" pivotButton="0" quotePrefix="0" xfId="3">
      <alignment horizontal="right"/>
    </xf>
    <xf numFmtId="165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3">
    <dxf>
      <fill>
        <patternFill>
          <bgColor indexed="22"/>
        </patternFill>
      </fill>
    </dxf>
    <dxf>
      <font>
        <b val="1"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Type="http://schemas.microsoft.com/office/2006/relationships/vbaProject" Target="vbaProject.bin" Id="rId12" /></Relationships>
</file>

<file path=xl/comments/comment1.xml><?xml version="1.0" encoding="utf-8"?>
<comments xmlns="http://schemas.openxmlformats.org/spreadsheetml/2006/main">
  <authors>
    <author>作成者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Template">
    <tabColor indexed="44"/>
    <outlinePr summaryBelow="1" summaryRight="1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 activeCell="A1" sqref="A1"/>
    </sheetView>
  </sheetViews>
  <sheetFormatPr baseColWidth="8" defaultRowHeight="13.5"/>
  <cols>
    <col width="9.33203125" customWidth="1" style="262" min="1" max="1"/>
    <col width="17.6640625" customWidth="1" style="262" min="2" max="11"/>
    <col width="4.5" customWidth="1" style="262" min="12" max="20"/>
    <col width="98.1640625" customWidth="1" style="262" min="21" max="21"/>
    <col width="9.33203125" customWidth="1" style="262" min="22" max="16384"/>
  </cols>
  <sheetData>
    <row r="1">
      <c r="A1" s="261" t="inlineStr">
        <is>
          <t>＜レビュー結果＞</t>
        </is>
      </c>
      <c r="L1" s="263" t="n"/>
      <c r="U1" s="264" t="inlineStr">
        <is>
          <t>この列は削除しないでください。（行の高さ調整用です。）</t>
        </is>
      </c>
    </row>
    <row r="2">
      <c r="A2" s="262" t="inlineStr">
        <is>
          <t>文書ID:</t>
        </is>
      </c>
      <c r="B2" s="262" t="inlineStr">
        <is>
          <t>D00001</t>
        </is>
      </c>
      <c r="E2" s="265" t="inlineStr">
        <is>
          <t>レビュー日時</t>
        </is>
      </c>
      <c r="F2" s="266" t="n"/>
      <c r="G2" s="266" t="n"/>
      <c r="H2" s="266" t="n"/>
      <c r="I2" s="267" t="n"/>
      <c r="L2" s="263" t="n"/>
    </row>
    <row r="3">
      <c r="A3" s="269" t="inlineStr">
        <is>
          <t>対象ファイル</t>
        </is>
      </c>
      <c r="B3" s="163" t="n"/>
      <c r="C3" s="269" t="inlineStr">
        <is>
          <t>回</t>
        </is>
      </c>
      <c r="E3" s="269" t="inlineStr">
        <is>
          <t>実施日</t>
        </is>
      </c>
      <c r="F3" s="269" t="inlineStr">
        <is>
          <t>開始</t>
        </is>
      </c>
      <c r="G3" s="270" t="n"/>
      <c r="H3" s="269" t="inlineStr">
        <is>
          <t>終了</t>
        </is>
      </c>
      <c r="I3" s="269" t="inlineStr">
        <is>
          <t>レビュー時間</t>
        </is>
      </c>
    </row>
    <row r="4">
      <c r="A4" s="272" t="inlineStr">
        <is>
          <t>システム機能設計書_サンプル_S12</t>
        </is>
      </c>
      <c r="B4" s="163" t="n"/>
      <c r="C4" s="272" t="n">
        <v>1</v>
      </c>
      <c r="E4" s="273" t="n">
        <v>45139</v>
      </c>
      <c r="F4" s="274" t="n">
        <v>0.375</v>
      </c>
      <c r="G4" s="275" t="inlineStr">
        <is>
          <t>～</t>
        </is>
      </c>
      <c r="H4" s="274" t="n">
        <v>0.5833333333333334</v>
      </c>
      <c r="I4" s="272" t="n">
        <v>200</v>
      </c>
    </row>
    <row r="5"/>
    <row r="6">
      <c r="A6" s="261" t="inlineStr">
        <is>
          <t>指摘件数</t>
        </is>
      </c>
    </row>
    <row r="7">
      <c r="B7" s="276" t="inlineStr">
        <is>
          <t>a</t>
        </is>
      </c>
      <c r="C7" s="276" t="inlineStr">
        <is>
          <t>b</t>
        </is>
      </c>
      <c r="D7" s="270" t="inlineStr">
        <is>
          <t>c</t>
        </is>
      </c>
      <c r="E7" s="270" t="inlineStr">
        <is>
          <t>d</t>
        </is>
      </c>
      <c r="F7" s="270" t="inlineStr">
        <is>
          <t>e</t>
        </is>
      </c>
      <c r="G7" s="270" t="inlineStr">
        <is>
          <t>f</t>
        </is>
      </c>
      <c r="H7" s="270" t="inlineStr">
        <is>
          <t>g</t>
        </is>
      </c>
      <c r="I7" s="270" t="inlineStr">
        <is>
          <t>h</t>
        </is>
      </c>
      <c r="J7" s="270" t="inlineStr">
        <is>
          <t>i</t>
        </is>
      </c>
    </row>
    <row r="8" ht="27" customHeight="1">
      <c r="A8" s="269" t="inlineStr">
        <is>
          <t>対応状況</t>
        </is>
      </c>
      <c r="B8" s="277" t="inlineStr">
        <is>
          <t>01_要件漏れ</t>
        </is>
      </c>
      <c r="C8" s="277" t="inlineStr">
        <is>
          <t>02_要件誤り</t>
        </is>
      </c>
      <c r="D8" s="277" t="inlineStr">
        <is>
          <t>11_機能・仕様漏れ</t>
        </is>
      </c>
      <c r="E8" s="278" t="inlineStr">
        <is>
          <t>12_機能・仕様誤り</t>
        </is>
      </c>
      <c r="F8" s="277" t="inlineStr">
        <is>
          <t>21_設計・ドキュメント規約違反</t>
        </is>
      </c>
      <c r="G8" s="277" t="inlineStr">
        <is>
          <t>22_記述誤り</t>
        </is>
      </c>
      <c r="H8" s="277" t="inlineStr">
        <is>
          <t>91_疑問点、確認</t>
        </is>
      </c>
      <c r="I8" s="277" t="inlineStr">
        <is>
          <t>92_改善要望</t>
        </is>
      </c>
      <c r="J8" s="278" t="inlineStr">
        <is>
          <t>93_仕様変更</t>
        </is>
      </c>
      <c r="K8" s="279" t="inlineStr">
        <is>
          <t>計</t>
        </is>
      </c>
      <c r="L8" s="280" t="n"/>
      <c r="M8" s="280" t="n"/>
      <c r="N8" s="280" t="n"/>
      <c r="O8" s="280" t="n"/>
      <c r="P8" s="280" t="n"/>
      <c r="Q8" s="280" t="n"/>
      <c r="R8" s="280" t="n"/>
      <c r="S8" s="280" t="n"/>
      <c r="T8" s="280" t="n"/>
    </row>
    <row r="9">
      <c r="A9" s="269" t="inlineStr">
        <is>
          <t>済</t>
        </is>
      </c>
      <c r="B9" s="299">
        <f>IF(SUMIF($K15:$K18,$A9,L15:L18)=0,"",SUMIF($K15:$K18,$A9,L15:L18))</f>
        <v/>
      </c>
      <c r="C9" s="299">
        <f>IF(SUMIF($K15:$K18,$A9,M15:M18)=0,"",SUMIF($K15:$K18,$A9,M15:M18))</f>
        <v/>
      </c>
      <c r="D9" s="299">
        <f>IF(SUMIF($K15:$K18,$A9,N15:N18)=0,"",SUMIF($K15:$K18,$A9,N15:N18))</f>
        <v/>
      </c>
      <c r="E9" s="299">
        <f>IF(SUMIF($K15:$K18,$A9,O15:O18)=0,"",SUMIF($K15:$K18,$A9,O15:O18))</f>
        <v/>
      </c>
      <c r="F9" s="299">
        <f>IF(SUMIF($K15:$K18,$A9,P15:P18)=0,"",SUMIF($K15:$K18,$A9,P15:P18))</f>
        <v/>
      </c>
      <c r="G9" s="299">
        <f>IF(SUMIF($K15:$K18,$A9,Q15:Q18)=0,"",SUMIF($K15:$K18,$A9,Q15:Q18))</f>
        <v/>
      </c>
      <c r="H9" s="299">
        <f>IF(SUMIF($K15:$K18,$A9,R15:R18)=0,"",SUMIF($K15:$K18,$A9,R15:R18))</f>
        <v/>
      </c>
      <c r="I9" s="299">
        <f>IF(SUMIF($K15:$K18,$A9,S15:S18)=0,"",SUMIF($K15:$K18,$A9,S15:S18))</f>
        <v/>
      </c>
      <c r="J9" s="299">
        <f>IF(SUMIF($K15:$K18,$A9,T15:T18)=0,"",SUMIF($K15:$K18,$A9,T15:T18))</f>
        <v/>
      </c>
      <c r="K9" s="300">
        <f>SUM(B9:J9)</f>
        <v/>
      </c>
      <c r="L9" s="261" t="n"/>
      <c r="M9" s="261" t="n"/>
      <c r="N9" s="261" t="n"/>
      <c r="O9" s="261" t="n"/>
      <c r="P9" s="261" t="n"/>
      <c r="Q9" s="261" t="n"/>
      <c r="R9" s="261" t="n"/>
      <c r="S9" s="261" t="n"/>
      <c r="T9" s="261" t="n"/>
    </row>
    <row r="10">
      <c r="A10" s="269" t="inlineStr">
        <is>
          <t>未</t>
        </is>
      </c>
      <c r="B10" s="299">
        <f>IF(SUMIF($K15:$K18,$A10,L15:L18)=0,"",SUMIF($K15:$K18,$A10,L15:L18))</f>
        <v/>
      </c>
      <c r="C10" s="299">
        <f>IF(SUMIF($K15:$K18,$A10,M15:M18)=0,"",SUMIF($K15:$K18,$A10,M15:M18))</f>
        <v/>
      </c>
      <c r="D10" s="299">
        <f>IF(SUMIF($K15:$K18,$A10,N15:N18)=0,"",SUMIF($K15:$K18,$A10,N15:N18))</f>
        <v/>
      </c>
      <c r="E10" s="299">
        <f>IF(SUMIF($K15:$K18,$A10,O15:O18)=0,"",SUMIF($K15:$K18,$A10,O15:O18))</f>
        <v/>
      </c>
      <c r="F10" s="299">
        <f>IF(SUMIF($K15:$K18,$A10,P15:P18)=0,"",SUMIF($K15:$K18,$A10,P15:P18))</f>
        <v/>
      </c>
      <c r="G10" s="299">
        <f>IF(SUMIF($K15:$K18,$A10,Q15:Q18)=0,"",SUMIF($K15:$K18,$A10,Q15:Q18))</f>
        <v/>
      </c>
      <c r="H10" s="299">
        <f>IF(SUMIF($K15:$K18,$A10,R15:R18)=0,"",SUMIF($K15:$K18,$A10,R15:R18))</f>
        <v/>
      </c>
      <c r="I10" s="299">
        <f>IF(SUMIF($K15:$K18,$A10,S15:S18)=0,"",SUMIF($K15:$K18,$A10,S15:S18))</f>
        <v/>
      </c>
      <c r="J10" s="299">
        <f>IF(SUMIF($K15:$K18,$A10,T15:T18)=0,"",SUMIF($K15:$K18,$A10,T15:T18))</f>
        <v/>
      </c>
      <c r="K10" s="300">
        <f>SUM(B10:J10)</f>
        <v/>
      </c>
      <c r="L10" s="261" t="n"/>
      <c r="M10" s="261" t="n"/>
      <c r="N10" s="261" t="n"/>
      <c r="O10" s="261" t="n"/>
      <c r="P10" s="261" t="n"/>
      <c r="Q10" s="261" t="n"/>
      <c r="R10" s="261" t="n"/>
      <c r="S10" s="261" t="n"/>
      <c r="T10" s="261" t="n"/>
    </row>
    <row r="11">
      <c r="A11" s="283" t="inlineStr">
        <is>
          <t>計</t>
        </is>
      </c>
      <c r="B11" s="301">
        <f>SUM(B9:B10)</f>
        <v/>
      </c>
      <c r="C11" s="301">
        <f>SUM(C9:C10)</f>
        <v/>
      </c>
      <c r="D11" s="301">
        <f>SUM(D9:D10)</f>
        <v/>
      </c>
      <c r="E11" s="301">
        <f>SUM(E9:E10)</f>
        <v/>
      </c>
      <c r="F11" s="301">
        <f>SUM(F9:F10)</f>
        <v/>
      </c>
      <c r="G11" s="301">
        <f>SUM(G9:G10)</f>
        <v/>
      </c>
      <c r="H11" s="301">
        <f>SUM(H9:H10)</f>
        <v/>
      </c>
      <c r="I11" s="301">
        <f>SUM(I9:I10)</f>
        <v/>
      </c>
      <c r="J11" s="301">
        <f>SUM(J9:J10)</f>
        <v/>
      </c>
      <c r="K11" s="301">
        <f>SUM(K9:K10)</f>
        <v/>
      </c>
    </row>
    <row r="12">
      <c r="A12" s="261" t="n"/>
      <c r="B12" s="302" t="n"/>
      <c r="C12" s="302" t="n"/>
      <c r="D12" s="302" t="n"/>
      <c r="E12" s="302" t="n"/>
      <c r="F12" s="302" t="n"/>
      <c r="G12" s="302" t="n"/>
      <c r="H12" s="302" t="n"/>
      <c r="I12" s="302" t="n"/>
      <c r="J12" s="302" t="n"/>
      <c r="K12" s="302" t="n"/>
    </row>
    <row r="13">
      <c r="A13" s="286" t="inlineStr">
        <is>
          <t>指摘詳細</t>
        </is>
      </c>
      <c r="B13" s="287" t="n"/>
      <c r="C13" s="287" t="n"/>
      <c r="D13" s="287" t="n"/>
      <c r="F13" s="287" t="n"/>
      <c r="L13" s="263" t="inlineStr">
        <is>
          <t>集計用ワーク</t>
        </is>
      </c>
      <c r="M13" s="263" t="n"/>
      <c r="N13" s="263" t="n"/>
      <c r="O13" s="263" t="n"/>
      <c r="P13" s="263" t="n"/>
      <c r="Q13" s="263" t="n"/>
      <c r="R13" s="263" t="n"/>
      <c r="S13" s="263" t="n"/>
      <c r="T13" s="263" t="n"/>
    </row>
    <row r="14">
      <c r="A14" s="288" t="inlineStr">
        <is>
          <t>シート</t>
        </is>
      </c>
      <c r="B14" s="288" t="inlineStr">
        <is>
          <t>場所</t>
        </is>
      </c>
      <c r="C14" s="288" t="inlineStr">
        <is>
          <t>指摘者</t>
        </is>
      </c>
      <c r="D14" s="288" t="inlineStr">
        <is>
          <t>指摘種別</t>
        </is>
      </c>
      <c r="E14" s="289" t="inlineStr">
        <is>
          <t>指摘内容</t>
        </is>
      </c>
      <c r="F14" s="290" t="n"/>
      <c r="G14" s="291" t="n"/>
      <c r="H14" s="291" t="n"/>
      <c r="I14" s="291" t="n"/>
      <c r="J14" s="292" t="n"/>
      <c r="K14" s="293" t="inlineStr">
        <is>
          <t>対応状況</t>
        </is>
      </c>
      <c r="L14" s="294" t="inlineStr">
        <is>
          <t>a</t>
        </is>
      </c>
      <c r="M14" s="294" t="inlineStr">
        <is>
          <t>b</t>
        </is>
      </c>
      <c r="N14" s="294" t="inlineStr">
        <is>
          <t>c</t>
        </is>
      </c>
      <c r="O14" s="294" t="inlineStr">
        <is>
          <t>d</t>
        </is>
      </c>
      <c r="P14" s="294" t="inlineStr">
        <is>
          <t>e</t>
        </is>
      </c>
      <c r="Q14" s="294" t="inlineStr">
        <is>
          <t>f</t>
        </is>
      </c>
      <c r="R14" s="294" t="inlineStr">
        <is>
          <t>g</t>
        </is>
      </c>
      <c r="S14" s="294" t="inlineStr">
        <is>
          <t>h</t>
        </is>
      </c>
      <c r="T14" s="294" t="inlineStr">
        <is>
          <t>i</t>
        </is>
      </c>
    </row>
    <row r="15" ht="40.5" customHeight="1">
      <c r="A15" s="272" t="inlineStr">
        <is>
          <t>2. WA1020101(プロジェクト登録画面)</t>
        </is>
      </c>
      <c r="B15" s="297" t="inlineStr">
        <is>
          <t>B5</t>
        </is>
      </c>
      <c r="C15" s="272" t="inlineStr">
        <is>
          <t>山田　太郎</t>
        </is>
      </c>
      <c r="D15" s="272" t="inlineStr">
        <is>
          <t>a</t>
        </is>
      </c>
      <c r="E15" s="298" t="inlineStr">
        <is>
          <t>レビュー指摘コメントの例。
自動で挿入される名前とコロンの直後に指摘分類をa～iで書く。
※レビュー日時を書く場合はコロンの直後に*を書く。</t>
        </is>
      </c>
      <c r="F15" s="162" t="n"/>
      <c r="G15" s="162" t="n"/>
      <c r="H15" s="162" t="n"/>
      <c r="I15" s="162" t="n"/>
      <c r="J15" s="163" t="n"/>
      <c r="K15" s="272" t="inlineStr">
        <is>
          <t>未</t>
        </is>
      </c>
      <c r="L15" s="295">
        <f>IF($D15=L$14,1,0)</f>
        <v/>
      </c>
      <c r="M15" s="295">
        <f>IF($D15=M$14,1,0)</f>
        <v/>
      </c>
      <c r="N15" s="295">
        <f>IF($D15=N$14,1,0)</f>
        <v/>
      </c>
      <c r="O15" s="295">
        <f>IF($D15=O$14,1,0)</f>
        <v/>
      </c>
      <c r="P15" s="295">
        <f>IF($D15=P$14,1,0)</f>
        <v/>
      </c>
      <c r="Q15" s="295">
        <f>IF($D15=Q$14,1,0)</f>
        <v/>
      </c>
      <c r="R15" s="295">
        <f>IF($D15=R$14,1,0)</f>
        <v/>
      </c>
      <c r="S15" s="295">
        <f>IF($D15=S$14,1,0)</f>
        <v/>
      </c>
      <c r="T15" s="295">
        <f>IF($D15=T$14,1,0)</f>
        <v/>
      </c>
      <c r="U15" s="296">
        <f>IF(E15&lt;&gt;"",E15,"")</f>
        <v/>
      </c>
    </row>
    <row r="16" ht="40.5" customHeight="1">
      <c r="A16" s="272" t="inlineStr">
        <is>
          <t>2. WA1020101(プロジェクト登録画面)</t>
        </is>
      </c>
      <c r="B16" s="297" t="inlineStr">
        <is>
          <t>E60</t>
        </is>
      </c>
      <c r="C16" s="272" t="inlineStr">
        <is>
          <t>山田　太郎</t>
        </is>
      </c>
      <c r="D16" s="272" t="inlineStr">
        <is>
          <t>b</t>
        </is>
      </c>
      <c r="E16" s="298" t="inlineStr">
        <is>
          <t>対応内容の例。
---
対応内容はデリミタ（---）の後に記入する。</t>
        </is>
      </c>
      <c r="F16" s="162" t="n"/>
      <c r="G16" s="162" t="n"/>
      <c r="H16" s="162" t="n"/>
      <c r="I16" s="162" t="n"/>
      <c r="J16" s="163" t="n"/>
      <c r="K16" s="272" t="inlineStr">
        <is>
          <t>未</t>
        </is>
      </c>
      <c r="L16" s="295">
        <f>IF($D16=L$14,1,0)</f>
        <v/>
      </c>
      <c r="M16" s="295">
        <f>IF($D16=M$14,1,0)</f>
        <v/>
      </c>
      <c r="N16" s="295">
        <f>IF($D16=N$14,1,0)</f>
        <v/>
      </c>
      <c r="O16" s="295">
        <f>IF($D16=O$14,1,0)</f>
        <v/>
      </c>
      <c r="P16" s="295">
        <f>IF($D16=P$14,1,0)</f>
        <v/>
      </c>
      <c r="Q16" s="295">
        <f>IF($D16=Q$14,1,0)</f>
        <v/>
      </c>
      <c r="R16" s="295">
        <f>IF($D16=R$14,1,0)</f>
        <v/>
      </c>
      <c r="S16" s="295">
        <f>IF($D16=S$14,1,0)</f>
        <v/>
      </c>
      <c r="T16" s="295">
        <f>IF($D16=T$14,1,0)</f>
        <v/>
      </c>
      <c r="U16" s="296">
        <f>IF(E16&lt;&gt;"",E16,"")</f>
        <v/>
      </c>
    </row>
    <row r="17" ht="67.5" customHeight="1">
      <c r="A17" s="272" t="inlineStr">
        <is>
          <t>2. WA1020101(プロジェクト登録画面)</t>
        </is>
      </c>
      <c r="B17" s="297" t="inlineStr">
        <is>
          <t>E62</t>
        </is>
      </c>
      <c r="C17" s="272" t="inlineStr">
        <is>
          <t>山田　太郎</t>
        </is>
      </c>
      <c r="D17" s="272" t="inlineStr">
        <is>
          <t>c</t>
        </is>
      </c>
      <c r="E17" s="298" t="inlineStr">
        <is>
          <t>対応内容を確認し、指摘をクローズする例。
---
最後の行に「済」と書くと指摘をクローズできる。
「済」の前にスペースを空けて確認日と確認者を書くこともできる。
08/02山田 済</t>
        </is>
      </c>
      <c r="F17" s="162" t="n"/>
      <c r="G17" s="162" t="n"/>
      <c r="H17" s="162" t="n"/>
      <c r="I17" s="162" t="n"/>
      <c r="J17" s="163" t="n"/>
      <c r="K17" s="272" t="inlineStr">
        <is>
          <t>済</t>
        </is>
      </c>
      <c r="L17" s="295">
        <f>IF($D17=L$14,1,0)</f>
        <v/>
      </c>
      <c r="M17" s="295">
        <f>IF($D17=M$14,1,0)</f>
        <v/>
      </c>
      <c r="N17" s="295">
        <f>IF($D17=N$14,1,0)</f>
        <v/>
      </c>
      <c r="O17" s="295">
        <f>IF($D17=O$14,1,0)</f>
        <v/>
      </c>
      <c r="P17" s="295">
        <f>IF($D17=P$14,1,0)</f>
        <v/>
      </c>
      <c r="Q17" s="295">
        <f>IF($D17=Q$14,1,0)</f>
        <v/>
      </c>
      <c r="R17" s="295">
        <f>IF($D17=R$14,1,0)</f>
        <v/>
      </c>
      <c r="S17" s="295">
        <f>IF($D17=S$14,1,0)</f>
        <v/>
      </c>
      <c r="T17" s="295">
        <f>IF($D17=T$14,1,0)</f>
        <v/>
      </c>
      <c r="U17" s="296">
        <f>IF(E17&lt;&gt;"",E17,"")</f>
        <v/>
      </c>
    </row>
    <row r="18">
      <c r="A18" s="272" t="n"/>
      <c r="B18" s="272" t="n"/>
      <c r="C18" s="272" t="n"/>
      <c r="D18" s="272" t="n"/>
      <c r="E18" s="272" t="n"/>
      <c r="F18" s="162" t="n"/>
      <c r="G18" s="162" t="n"/>
      <c r="H18" s="162" t="n"/>
      <c r="I18" s="162" t="n"/>
      <c r="J18" s="163" t="n"/>
      <c r="K18" s="272" t="n"/>
      <c r="L18" s="295">
        <f>IF($D18=L$14,1,0)</f>
        <v/>
      </c>
      <c r="M18" s="295">
        <f>IF($D18=M$14,1,0)</f>
        <v/>
      </c>
      <c r="N18" s="295">
        <f>IF($D18=N$14,1,0)</f>
        <v/>
      </c>
      <c r="O18" s="295">
        <f>IF($D18=O$14,1,0)</f>
        <v/>
      </c>
      <c r="P18" s="295">
        <f>IF($D18=P$14,1,0)</f>
        <v/>
      </c>
      <c r="Q18" s="295">
        <f>IF($D18=Q$14,1,0)</f>
        <v/>
      </c>
      <c r="R18" s="295">
        <f>IF($D18=R$14,1,0)</f>
        <v/>
      </c>
      <c r="S18" s="295">
        <f>IF($D18=S$14,1,0)</f>
        <v/>
      </c>
      <c r="T18" s="295">
        <f>IF($D18=T$14,1,0)</f>
        <v/>
      </c>
      <c r="U18" s="296">
        <f>IF(E18&lt;&gt;"",E18,"")</f>
        <v/>
      </c>
    </row>
  </sheetData>
  <mergeCells count="6">
    <mergeCell ref="A4:B4"/>
    <mergeCell ref="E16:J16"/>
    <mergeCell ref="E17:J17"/>
    <mergeCell ref="E18:J18"/>
    <mergeCell ref="A3:B3"/>
    <mergeCell ref="E15:J15"/>
  </mergeCells>
  <conditionalFormatting sqref="A15:T18">
    <cfRule type="expression" priority="1" dxfId="0" stopIfTrue="1">
      <formula>$K15="済"</formula>
    </cfRule>
  </conditionalFormatting>
  <dataValidations count="1">
    <dataValidation sqref="K15:K18" showDropDown="0" showInputMessage="1" showErrorMessage="1" allowBlank="1" type="list">
      <formula1>"未,済"</formula1>
    </dataValidation>
  </dataValidations>
  <hyperlinks>
    <hyperlink ref="B15" location="'2. WA1020101(プロジェクト登録画面)'!$B$5" display="'2. WA1020101(プロジェクト登録画面)'!$B$5"/>
    <hyperlink ref="B16" location="'2. WA1020101(プロジェクト登録画面)'!$E$60" display="'2. WA1020101(プロジェクト登録画面)'!$E$60"/>
    <hyperlink ref="B17" location="'2. WA1020101(プロジェクト登録画面)'!$E$62" display="'2. WA1020101(プロジェクト登録画面)'!$E$62"/>
  </hyperlinks>
  <pageMargins left="0.75" right="0.75" top="1" bottom="1" header="0.512" footer="0.512"/>
  <pageSetup orientation="landscape" paperSize="9" scale="86" verticalDpi="20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60" min="1" max="1"/>
    <col width="8.83203125" customWidth="1" style="160" min="2" max="16384"/>
  </cols>
  <sheetData>
    <row r="1" ht="13.5" customHeight="1">
      <c r="B1" s="2" t="n"/>
      <c r="C1" s="3" t="n"/>
    </row>
    <row r="2" ht="19.5" customHeight="1">
      <c r="A2" s="4" t="n"/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>
      <c r="F22" s="5" t="n"/>
      <c r="H22" s="5" t="n"/>
    </row>
    <row r="23" ht="17.25" customHeight="1">
      <c r="F23" s="5" t="n"/>
      <c r="G23" s="5" t="n"/>
      <c r="H23" s="5" t="n"/>
      <c r="I23" s="18" t="n"/>
      <c r="J23" s="303" t="inlineStr">
        <is>
          <t>第１．２版</t>
        </is>
      </c>
      <c r="K23" s="18" t="n"/>
      <c r="L23" s="18" t="n"/>
    </row>
    <row r="24" ht="13.5" customHeight="1">
      <c r="F24" s="5" t="n"/>
      <c r="G24" s="5" t="n"/>
      <c r="H24" s="5" t="n"/>
      <c r="I24" s="18" t="n"/>
      <c r="J24" s="18" t="n"/>
      <c r="K24" s="18" t="n"/>
      <c r="L24" s="18" t="n"/>
    </row>
    <row r="25" ht="18" customHeight="1">
      <c r="F25" s="5" t="n"/>
      <c r="G25" s="5" t="n"/>
      <c r="H25" s="5" t="n"/>
      <c r="I25" s="159">
        <f>IF(INDIRECT("変更履歴!D8")="","",MAX(INDIRECT("変更履歴!D8"):INDIRECT("変更履歴!F33")))</f>
        <v/>
      </c>
      <c r="L25" s="18" t="n"/>
    </row>
    <row r="26" ht="13.5" customHeight="1">
      <c r="F26" s="5" t="n"/>
      <c r="G26" s="5" t="n"/>
      <c r="H26" s="5" t="n"/>
      <c r="I26" s="18" t="n"/>
      <c r="J26" s="18" t="n"/>
      <c r="K26" s="18" t="n"/>
      <c r="L26" s="18" t="n"/>
    </row>
    <row r="27" ht="13.5" customHeight="1">
      <c r="F27" s="5" t="n"/>
      <c r="G27" s="5" t="n"/>
      <c r="H27" s="5" t="n"/>
      <c r="I27" s="18" t="n"/>
      <c r="J27" s="18" t="n"/>
      <c r="K27" s="18" t="n"/>
      <c r="L27" s="18" t="n"/>
    </row>
    <row r="28" ht="13.5" customHeight="1">
      <c r="F28" s="6" t="n"/>
      <c r="G28" s="5" t="n"/>
      <c r="H28" s="5" t="n"/>
      <c r="I28" s="18" t="n"/>
      <c r="J28" s="18" t="n"/>
      <c r="K28" s="18" t="n"/>
      <c r="L28" s="18" t="n"/>
    </row>
    <row r="29" ht="15" customHeight="1">
      <c r="F29" s="5" t="n"/>
      <c r="H29" s="5" t="n"/>
      <c r="I29" s="18" t="n"/>
      <c r="J29" s="18" t="n"/>
      <c r="K29" s="18" t="n"/>
      <c r="L29" s="18" t="n"/>
    </row>
    <row r="30" ht="13.5" customHeight="1">
      <c r="F30" s="5" t="n"/>
      <c r="G30" s="12" t="n"/>
      <c r="H30" s="5" t="n"/>
      <c r="I30" s="18" t="n"/>
      <c r="J30" s="18" t="n"/>
      <c r="K30" s="18" t="n"/>
      <c r="L30" s="18" t="n"/>
    </row>
    <row r="31" ht="18.75" customHeight="1">
      <c r="F31" s="5" t="n"/>
      <c r="G31" s="12" t="n"/>
      <c r="H31" s="5" t="n"/>
      <c r="I31" s="18" t="n"/>
      <c r="J31" s="18" t="n"/>
      <c r="K31" s="18" t="n"/>
      <c r="L31" s="18" t="n"/>
    </row>
    <row r="32" ht="18.75" customHeight="1">
      <c r="F32" s="5" t="n"/>
      <c r="G32" s="12" t="n"/>
      <c r="H32" s="5" t="n"/>
      <c r="I32" s="18" t="n"/>
      <c r="J32" s="19" t="n"/>
      <c r="K32" s="18" t="n"/>
      <c r="L32" s="18" t="n"/>
    </row>
    <row r="33" ht="18.75" customHeight="1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>
      <c r="O35" s="7" t="n"/>
      <c r="P35" s="7" t="n"/>
      <c r="Q35" s="60" t="n"/>
      <c r="R35" s="60" t="n"/>
      <c r="S35" s="60" t="n"/>
    </row>
    <row r="36" ht="13.5" customHeight="1">
      <c r="O36" s="61" t="n"/>
      <c r="P36" s="60" t="n"/>
      <c r="Q36" s="61" t="n"/>
      <c r="R36" s="60" t="n"/>
      <c r="S36" s="58" t="n"/>
    </row>
    <row r="37" ht="13.5" customHeight="1">
      <c r="P37" s="62" t="n"/>
      <c r="R37" s="62" t="n"/>
    </row>
    <row r="38" ht="13.5" customHeight="1">
      <c r="O38" s="62" t="n"/>
      <c r="P38" s="62" t="n"/>
      <c r="Q38" s="62" t="n"/>
      <c r="R38" s="62" t="n"/>
      <c r="S38" s="62" t="n"/>
    </row>
    <row r="39" ht="13.5" customHeight="1">
      <c r="O39" s="62" t="n"/>
      <c r="P39" s="62" t="n"/>
      <c r="Q39" s="62" t="n"/>
      <c r="R39" s="62" t="n"/>
      <c r="S39" s="62" t="n"/>
    </row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AN33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70">
      <c r="A1" s="179" t="inlineStr">
        <is>
          <t>PJ名</t>
        </is>
      </c>
      <c r="B1" s="162" t="n"/>
      <c r="C1" s="162" t="n"/>
      <c r="D1" s="163" t="n"/>
      <c r="E1" s="188" t="inlineStr">
        <is>
          <t>サンプルプロジェクト</t>
        </is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66" t="inlineStr">
        <is>
          <t>システム機能設計書（画面）
WA10201/プロジェクト登録</t>
        </is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IF(AF8="","",AF8)</f>
        <v/>
      </c>
      <c r="AD1" s="162" t="n"/>
      <c r="AE1" s="162" t="n"/>
      <c r="AF1" s="163" t="n"/>
      <c r="AG1" s="304">
        <f>IF(D8="","",D8)</f>
        <v/>
      </c>
      <c r="AH1" s="162" t="n"/>
      <c r="AI1" s="163" t="n"/>
      <c r="AJ1" s="9" t="n"/>
      <c r="AK1" s="9" t="n"/>
      <c r="AL1" s="9" t="n"/>
      <c r="AM1" s="9" t="n"/>
      <c r="AN1" s="10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88" t="inlineStr">
        <is>
          <t>サンプルシステム</t>
        </is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5">
        <f>IF(COUNTA(AF9:AF33)&lt;&gt;0,INDIRECT("AF"&amp;(COUNTA(AF9:AF33)+8)),"")</f>
        <v/>
      </c>
      <c r="AD2" s="162" t="n"/>
      <c r="AE2" s="162" t="n"/>
      <c r="AF2" s="163" t="n"/>
      <c r="AG2" s="304">
        <f>IF(D9="","",MAX(D9:F33))</f>
        <v/>
      </c>
      <c r="AH2" s="162" t="n"/>
      <c r="AI2" s="163" t="n"/>
      <c r="AJ2" s="9" t="n"/>
      <c r="AK2" s="9" t="n"/>
      <c r="AL2" s="9" t="n"/>
      <c r="AM2" s="9" t="n"/>
      <c r="AN2" s="9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88" t="inlineStr">
        <is>
          <t>プロジェクト管理システム</t>
        </is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93" t="n"/>
      <c r="AB3" s="163" t="n"/>
      <c r="AC3" s="190" t="n"/>
      <c r="AD3" s="162" t="n"/>
      <c r="AE3" s="162" t="n"/>
      <c r="AF3" s="163" t="n"/>
      <c r="AG3" s="304" t="n"/>
      <c r="AH3" s="162" t="n"/>
      <c r="AI3" s="163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20" t="n"/>
      <c r="AD4" s="220" t="n"/>
      <c r="AE4" s="220" t="n"/>
      <c r="AF4" s="220" t="n"/>
      <c r="AG4" s="220" t="n"/>
      <c r="AH4" s="220" t="n"/>
      <c r="AI4" s="220" t="n"/>
      <c r="AJ4" s="220" t="n"/>
      <c r="AK4" s="220" t="n"/>
      <c r="AL4" s="220" t="n"/>
      <c r="AM4" s="220" t="n"/>
      <c r="AN4" s="220" t="n"/>
    </row>
    <row r="5" ht="22.5" customFormat="1" customHeight="1" s="17">
      <c r="A5" s="170" t="n"/>
      <c r="B5" s="170" t="n"/>
      <c r="C5" s="170" t="n"/>
      <c r="D5" s="170" t="n"/>
      <c r="E5" s="170" t="n"/>
      <c r="F5" s="170" t="n"/>
      <c r="G5" s="170" t="n"/>
      <c r="H5" s="170" t="n"/>
      <c r="I5" s="170" t="n"/>
      <c r="J5" s="170" t="n"/>
      <c r="K5" s="170" t="n"/>
      <c r="L5" s="170" t="n"/>
      <c r="M5" s="170" t="n"/>
      <c r="N5" s="13" t="inlineStr">
        <is>
          <t>変更履歴（ 1　/ 1 ）</t>
        </is>
      </c>
      <c r="O5" s="170" t="n"/>
      <c r="P5" s="170" t="n"/>
      <c r="Q5" s="170" t="n"/>
      <c r="R5" s="170" t="n"/>
      <c r="S5" s="170" t="n"/>
      <c r="T5" s="170" t="n"/>
      <c r="U5" s="170" t="n"/>
      <c r="V5" s="170" t="n"/>
      <c r="W5" s="170" t="n"/>
      <c r="X5" s="170" t="n"/>
      <c r="Y5" s="170" t="n"/>
      <c r="Z5" s="170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70" t="n"/>
      <c r="AK5" s="170" t="n"/>
      <c r="AL5" s="170" t="n"/>
      <c r="AM5" s="170" t="n"/>
      <c r="AN5" s="170" t="n"/>
    </row>
    <row r="6" ht="15" customFormat="1" customHeight="1" s="17">
      <c r="A6" s="170" t="n"/>
      <c r="B6" s="170" t="n"/>
      <c r="C6" s="170" t="n"/>
      <c r="D6" s="170" t="n"/>
      <c r="E6" s="170" t="n"/>
      <c r="F6" s="170" t="n"/>
      <c r="G6" s="170" t="n"/>
      <c r="H6" s="170" t="n"/>
      <c r="I6" s="170" t="n"/>
      <c r="J6" s="170" t="n"/>
      <c r="K6" s="170" t="n"/>
      <c r="L6" s="170" t="n"/>
      <c r="M6" s="170" t="n"/>
      <c r="N6" s="13" t="n"/>
      <c r="O6" s="170" t="n"/>
      <c r="P6" s="170" t="n"/>
      <c r="Q6" s="170" t="n"/>
      <c r="R6" s="170" t="n"/>
      <c r="S6" s="170" t="n"/>
      <c r="T6" s="170" t="n"/>
      <c r="U6" s="170" t="n"/>
      <c r="V6" s="170" t="n"/>
      <c r="W6" s="170" t="n"/>
      <c r="X6" s="170" t="n"/>
      <c r="Y6" s="170" t="n"/>
      <c r="Z6" s="170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70" t="n"/>
      <c r="AK6" s="170" t="n"/>
      <c r="AL6" s="170" t="n"/>
      <c r="AM6" s="170" t="n"/>
      <c r="AN6" s="170" t="n"/>
    </row>
    <row r="7" ht="15" customFormat="1" customHeight="1" s="39" thickBot="1">
      <c r="A7" s="176" t="inlineStr">
        <is>
          <t>No.</t>
        </is>
      </c>
      <c r="B7" s="176" t="inlineStr">
        <is>
          <t>版数</t>
        </is>
      </c>
      <c r="C7" s="178" t="n"/>
      <c r="D7" s="176" t="inlineStr">
        <is>
          <t>変更日</t>
        </is>
      </c>
      <c r="E7" s="177" t="n"/>
      <c r="F7" s="178" t="n"/>
      <c r="G7" s="176" t="inlineStr">
        <is>
          <t>区分</t>
        </is>
      </c>
      <c r="H7" s="177" t="n"/>
      <c r="I7" s="178" t="n"/>
      <c r="J7" s="176" t="inlineStr">
        <is>
          <t>変更箇所（項番等）</t>
        </is>
      </c>
      <c r="K7" s="177" t="n"/>
      <c r="L7" s="177" t="n"/>
      <c r="M7" s="177" t="n"/>
      <c r="N7" s="177" t="n"/>
      <c r="O7" s="177" t="n"/>
      <c r="P7" s="178" t="n"/>
      <c r="Q7" s="176" t="inlineStr">
        <is>
          <t>変更内容</t>
        </is>
      </c>
      <c r="R7" s="177" t="n"/>
      <c r="S7" s="177" t="n"/>
      <c r="T7" s="177" t="n"/>
      <c r="U7" s="177" t="n"/>
      <c r="V7" s="177" t="n"/>
      <c r="W7" s="177" t="n"/>
      <c r="X7" s="177" t="n"/>
      <c r="Y7" s="177" t="n"/>
      <c r="Z7" s="177" t="n"/>
      <c r="AA7" s="177" t="n"/>
      <c r="AB7" s="177" t="n"/>
      <c r="AC7" s="177" t="n"/>
      <c r="AD7" s="177" t="n"/>
      <c r="AE7" s="178" t="n"/>
      <c r="AF7" s="176" t="inlineStr">
        <is>
          <t>担当者</t>
        </is>
      </c>
      <c r="AG7" s="177" t="n"/>
      <c r="AH7" s="177" t="n"/>
      <c r="AI7" s="178" t="n"/>
    </row>
    <row r="8" ht="15" customFormat="1" customHeight="1" s="39" thickTop="1">
      <c r="A8" s="40" t="n">
        <v>1</v>
      </c>
      <c r="B8" s="186" t="inlineStr">
        <is>
          <t>1.0版</t>
        </is>
      </c>
      <c r="C8" s="183" t="n"/>
      <c r="D8" s="189" t="n">
        <v>43598</v>
      </c>
      <c r="E8" s="182" t="n"/>
      <c r="F8" s="183" t="n"/>
      <c r="G8" s="186" t="inlineStr">
        <is>
          <t>新規</t>
        </is>
      </c>
      <c r="H8" s="182" t="n"/>
      <c r="I8" s="183" t="n"/>
      <c r="J8" s="192" t="inlineStr">
        <is>
          <t>-</t>
        </is>
      </c>
      <c r="K8" s="182" t="n"/>
      <c r="L8" s="182" t="n"/>
      <c r="M8" s="182" t="n"/>
      <c r="N8" s="182" t="n"/>
      <c r="O8" s="182" t="n"/>
      <c r="P8" s="183" t="n"/>
      <c r="Q8" s="181" t="inlineStr">
        <is>
          <t>(新規作成)</t>
        </is>
      </c>
      <c r="R8" s="182" t="n"/>
      <c r="S8" s="182" t="n"/>
      <c r="T8" s="182" t="n"/>
      <c r="U8" s="182" t="n"/>
      <c r="V8" s="182" t="n"/>
      <c r="W8" s="182" t="n"/>
      <c r="X8" s="182" t="n"/>
      <c r="Y8" s="182" t="n"/>
      <c r="Z8" s="182" t="n"/>
      <c r="AA8" s="182" t="n"/>
      <c r="AB8" s="182" t="n"/>
      <c r="AC8" s="182" t="n"/>
      <c r="AD8" s="182" t="n"/>
      <c r="AE8" s="183" t="n"/>
      <c r="AF8" s="191" t="inlineStr">
        <is>
          <t>TIS</t>
        </is>
      </c>
      <c r="AG8" s="182" t="n"/>
      <c r="AH8" s="182" t="n"/>
      <c r="AI8" s="183" t="n"/>
    </row>
    <row r="9" ht="15" customFormat="1" customHeight="1" s="39">
      <c r="A9" s="165" t="n">
        <v>2</v>
      </c>
      <c r="B9" s="165" t="inlineStr">
        <is>
          <t>1.1版</t>
        </is>
      </c>
      <c r="C9" s="163" t="n"/>
      <c r="D9" s="161" t="n">
        <v>44701</v>
      </c>
      <c r="E9" s="162" t="n"/>
      <c r="F9" s="163" t="n"/>
      <c r="G9" s="165" t="inlineStr">
        <is>
          <t>変更</t>
        </is>
      </c>
      <c r="H9" s="162" t="n"/>
      <c r="I9" s="163" t="n"/>
      <c r="J9" s="164" t="inlineStr">
        <is>
          <t>全体</t>
        </is>
      </c>
      <c r="K9" s="162" t="n"/>
      <c r="L9" s="162" t="n"/>
      <c r="M9" s="162" t="n"/>
      <c r="N9" s="162" t="n"/>
      <c r="O9" s="162" t="n"/>
      <c r="P9" s="163" t="n"/>
      <c r="Q9" s="175" t="inlineStr">
        <is>
          <t>画面レイアウトの貼り替え</t>
        </is>
      </c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3" t="n"/>
      <c r="AF9" s="164" t="inlineStr">
        <is>
          <t>TIS</t>
        </is>
      </c>
      <c r="AG9" s="162" t="n"/>
      <c r="AH9" s="162" t="n"/>
      <c r="AI9" s="163" t="n"/>
    </row>
    <row r="10" ht="15" customFormat="1" customHeight="1" s="39">
      <c r="A10" s="165" t="n"/>
      <c r="B10" s="165" t="n"/>
      <c r="C10" s="163" t="n"/>
      <c r="D10" s="161" t="n"/>
      <c r="E10" s="162" t="n"/>
      <c r="F10" s="163" t="n"/>
      <c r="G10" s="165" t="n"/>
      <c r="H10" s="162" t="n"/>
      <c r="I10" s="163" t="n"/>
      <c r="J10" s="164" t="inlineStr">
        <is>
          <t>3. WA1020102</t>
        </is>
      </c>
      <c r="K10" s="162" t="n"/>
      <c r="L10" s="162" t="n"/>
      <c r="M10" s="162" t="n"/>
      <c r="N10" s="162" t="n"/>
      <c r="O10" s="162" t="n"/>
      <c r="P10" s="163" t="n"/>
      <c r="Q10" s="175" t="inlineStr">
        <is>
          <t>hiddenで値を持ち回るよう変更</t>
        </is>
      </c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  <c r="AA10" s="162" t="n"/>
      <c r="AB10" s="162" t="n"/>
      <c r="AC10" s="162" t="n"/>
      <c r="AD10" s="162" t="n"/>
      <c r="AE10" s="163" t="n"/>
      <c r="AF10" s="164" t="inlineStr">
        <is>
          <t>TIS</t>
        </is>
      </c>
      <c r="AG10" s="162" t="n"/>
      <c r="AH10" s="162" t="n"/>
      <c r="AI10" s="163" t="n"/>
    </row>
    <row r="11" ht="15" customFormat="1" customHeight="1" s="39">
      <c r="A11" s="165" t="n">
        <v>3</v>
      </c>
      <c r="B11" s="165" t="inlineStr">
        <is>
          <t>1.2版</t>
        </is>
      </c>
      <c r="C11" s="163" t="n"/>
      <c r="D11" s="161" t="n">
        <v>44907</v>
      </c>
      <c r="E11" s="162" t="n"/>
      <c r="F11" s="163" t="n"/>
      <c r="G11" s="165" t="inlineStr">
        <is>
          <t>変更</t>
        </is>
      </c>
      <c r="H11" s="162" t="n"/>
      <c r="I11" s="163" t="n"/>
      <c r="J11" s="164" t="inlineStr">
        <is>
          <t>3. WA1020102、4. WA1020103</t>
        </is>
      </c>
      <c r="K11" s="162" t="n"/>
      <c r="L11" s="162" t="n"/>
      <c r="M11" s="162" t="n"/>
      <c r="N11" s="162" t="n"/>
      <c r="O11" s="162" t="n"/>
      <c r="P11" s="163" t="n"/>
      <c r="Q11" s="175" t="inlineStr">
        <is>
          <t>ドメイン情報をドメイン定義書に合わせて修正</t>
        </is>
      </c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  <c r="AA11" s="162" t="n"/>
      <c r="AB11" s="162" t="n"/>
      <c r="AC11" s="162" t="n"/>
      <c r="AD11" s="162" t="n"/>
      <c r="AE11" s="163" t="n"/>
      <c r="AF11" s="164" t="inlineStr">
        <is>
          <t>TIS</t>
        </is>
      </c>
      <c r="AG11" s="162" t="n"/>
      <c r="AH11" s="162" t="n"/>
      <c r="AI11" s="163" t="n"/>
    </row>
    <row r="12" ht="15" customFormat="1" customHeight="1" s="39">
      <c r="A12" s="165" t="n">
        <v>4</v>
      </c>
      <c r="B12" s="165" t="inlineStr">
        <is>
          <t>1.2版</t>
        </is>
      </c>
      <c r="C12" s="163" t="n"/>
      <c r="D12" s="161" t="n">
        <v>44908</v>
      </c>
      <c r="E12" s="162" t="n"/>
      <c r="F12" s="163" t="n"/>
      <c r="G12" s="165" t="inlineStr">
        <is>
          <t>変更</t>
        </is>
      </c>
      <c r="H12" s="162" t="n"/>
      <c r="I12" s="163" t="n"/>
      <c r="J12" s="164" t="inlineStr">
        <is>
          <t>2. WA1020101</t>
        </is>
      </c>
      <c r="K12" s="162" t="n"/>
      <c r="L12" s="162" t="n"/>
      <c r="M12" s="162" t="n"/>
      <c r="N12" s="162" t="n"/>
      <c r="O12" s="162" t="n"/>
      <c r="P12" s="163" t="n"/>
      <c r="Q12" s="175" t="inlineStr">
        <is>
          <t>単項目バリデーションのバリデーション内容の説明を修正</t>
        </is>
      </c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  <c r="AA12" s="162" t="n"/>
      <c r="AB12" s="162" t="n"/>
      <c r="AC12" s="162" t="n"/>
      <c r="AD12" s="162" t="n"/>
      <c r="AE12" s="163" t="n"/>
      <c r="AF12" s="164" t="inlineStr">
        <is>
          <t>TIS</t>
        </is>
      </c>
      <c r="AG12" s="162" t="n"/>
      <c r="AH12" s="162" t="n"/>
      <c r="AI12" s="163" t="n"/>
    </row>
    <row r="13" ht="15" customFormat="1" customHeight="1" s="39">
      <c r="A13" s="165" t="n"/>
      <c r="B13" s="165" t="n"/>
      <c r="C13" s="163" t="n"/>
      <c r="D13" s="161" t="n"/>
      <c r="E13" s="162" t="n"/>
      <c r="F13" s="163" t="n"/>
      <c r="G13" s="165" t="n"/>
      <c r="H13" s="162" t="n"/>
      <c r="I13" s="163" t="n"/>
      <c r="J13" s="164" t="n"/>
      <c r="K13" s="162" t="n"/>
      <c r="L13" s="162" t="n"/>
      <c r="M13" s="162" t="n"/>
      <c r="N13" s="162" t="n"/>
      <c r="O13" s="162" t="n"/>
      <c r="P13" s="163" t="n"/>
      <c r="Q13" s="175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  <c r="AA13" s="162" t="n"/>
      <c r="AB13" s="162" t="n"/>
      <c r="AC13" s="162" t="n"/>
      <c r="AD13" s="162" t="n"/>
      <c r="AE13" s="163" t="n"/>
      <c r="AF13" s="164" t="n"/>
      <c r="AG13" s="162" t="n"/>
      <c r="AH13" s="162" t="n"/>
      <c r="AI13" s="163" t="n"/>
    </row>
    <row r="14" ht="15" customFormat="1" customHeight="1" s="39">
      <c r="A14" s="165" t="n"/>
      <c r="B14" s="165" t="n"/>
      <c r="C14" s="163" t="n"/>
      <c r="D14" s="161" t="n"/>
      <c r="E14" s="162" t="n"/>
      <c r="F14" s="163" t="n"/>
      <c r="G14" s="165" t="n"/>
      <c r="H14" s="162" t="n"/>
      <c r="I14" s="163" t="n"/>
      <c r="J14" s="164" t="n"/>
      <c r="K14" s="162" t="n"/>
      <c r="L14" s="162" t="n"/>
      <c r="M14" s="162" t="n"/>
      <c r="N14" s="162" t="n"/>
      <c r="O14" s="162" t="n"/>
      <c r="P14" s="163" t="n"/>
      <c r="Q14" s="175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  <c r="AA14" s="162" t="n"/>
      <c r="AB14" s="162" t="n"/>
      <c r="AC14" s="162" t="n"/>
      <c r="AD14" s="162" t="n"/>
      <c r="AE14" s="163" t="n"/>
      <c r="AF14" s="164" t="n"/>
      <c r="AG14" s="162" t="n"/>
      <c r="AH14" s="162" t="n"/>
      <c r="AI14" s="163" t="n"/>
    </row>
    <row r="15" ht="15" customFormat="1" customHeight="1" s="39">
      <c r="A15" s="165" t="n"/>
      <c r="B15" s="165" t="n"/>
      <c r="C15" s="163" t="n"/>
      <c r="D15" s="161" t="n"/>
      <c r="E15" s="162" t="n"/>
      <c r="F15" s="163" t="n"/>
      <c r="G15" s="165" t="n"/>
      <c r="H15" s="162" t="n"/>
      <c r="I15" s="163" t="n"/>
      <c r="J15" s="164" t="n"/>
      <c r="K15" s="162" t="n"/>
      <c r="L15" s="162" t="n"/>
      <c r="M15" s="162" t="n"/>
      <c r="N15" s="162" t="n"/>
      <c r="O15" s="162" t="n"/>
      <c r="P15" s="163" t="n"/>
      <c r="Q15" s="175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  <c r="AA15" s="162" t="n"/>
      <c r="AB15" s="162" t="n"/>
      <c r="AC15" s="162" t="n"/>
      <c r="AD15" s="162" t="n"/>
      <c r="AE15" s="163" t="n"/>
      <c r="AF15" s="164" t="n"/>
      <c r="AG15" s="162" t="n"/>
      <c r="AH15" s="162" t="n"/>
      <c r="AI15" s="163" t="n"/>
    </row>
    <row r="16" ht="15" customFormat="1" customHeight="1" s="39">
      <c r="A16" s="165" t="n"/>
      <c r="B16" s="165" t="n"/>
      <c r="C16" s="163" t="n"/>
      <c r="D16" s="161" t="n"/>
      <c r="E16" s="162" t="n"/>
      <c r="F16" s="163" t="n"/>
      <c r="G16" s="165" t="n"/>
      <c r="H16" s="162" t="n"/>
      <c r="I16" s="163" t="n"/>
      <c r="J16" s="164" t="n"/>
      <c r="K16" s="162" t="n"/>
      <c r="L16" s="162" t="n"/>
      <c r="M16" s="162" t="n"/>
      <c r="N16" s="162" t="n"/>
      <c r="O16" s="162" t="n"/>
      <c r="P16" s="163" t="n"/>
      <c r="Q16" s="175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  <c r="AA16" s="162" t="n"/>
      <c r="AB16" s="162" t="n"/>
      <c r="AC16" s="162" t="n"/>
      <c r="AD16" s="162" t="n"/>
      <c r="AE16" s="163" t="n"/>
      <c r="AF16" s="164" t="n"/>
      <c r="AG16" s="162" t="n"/>
      <c r="AH16" s="162" t="n"/>
      <c r="AI16" s="163" t="n"/>
    </row>
    <row r="17" ht="15" customFormat="1" customHeight="1" s="39">
      <c r="A17" s="165" t="n"/>
      <c r="B17" s="165" t="n"/>
      <c r="C17" s="163" t="n"/>
      <c r="D17" s="161" t="n"/>
      <c r="E17" s="162" t="n"/>
      <c r="F17" s="163" t="n"/>
      <c r="G17" s="165" t="n"/>
      <c r="H17" s="162" t="n"/>
      <c r="I17" s="163" t="n"/>
      <c r="J17" s="164" t="n"/>
      <c r="K17" s="162" t="n"/>
      <c r="L17" s="162" t="n"/>
      <c r="M17" s="162" t="n"/>
      <c r="N17" s="162" t="n"/>
      <c r="O17" s="162" t="n"/>
      <c r="P17" s="163" t="n"/>
      <c r="Q17" s="175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  <c r="AA17" s="162" t="n"/>
      <c r="AB17" s="162" t="n"/>
      <c r="AC17" s="162" t="n"/>
      <c r="AD17" s="162" t="n"/>
      <c r="AE17" s="163" t="n"/>
      <c r="AF17" s="164" t="n"/>
      <c r="AG17" s="162" t="n"/>
      <c r="AH17" s="162" t="n"/>
      <c r="AI17" s="163" t="n"/>
    </row>
    <row r="18" ht="15" customFormat="1" customHeight="1" s="39">
      <c r="A18" s="165" t="n"/>
      <c r="B18" s="165" t="n"/>
      <c r="C18" s="163" t="n"/>
      <c r="D18" s="161" t="n"/>
      <c r="E18" s="162" t="n"/>
      <c r="F18" s="163" t="n"/>
      <c r="G18" s="165" t="n"/>
      <c r="H18" s="162" t="n"/>
      <c r="I18" s="163" t="n"/>
      <c r="J18" s="164" t="n"/>
      <c r="K18" s="162" t="n"/>
      <c r="L18" s="162" t="n"/>
      <c r="M18" s="162" t="n"/>
      <c r="N18" s="162" t="n"/>
      <c r="O18" s="162" t="n"/>
      <c r="P18" s="163" t="n"/>
      <c r="Q18" s="175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  <c r="AA18" s="162" t="n"/>
      <c r="AB18" s="162" t="n"/>
      <c r="AC18" s="162" t="n"/>
      <c r="AD18" s="162" t="n"/>
      <c r="AE18" s="163" t="n"/>
      <c r="AF18" s="164" t="n"/>
      <c r="AG18" s="162" t="n"/>
      <c r="AH18" s="162" t="n"/>
      <c r="AI18" s="163" t="n"/>
    </row>
    <row r="19" ht="15" customFormat="1" customHeight="1" s="39">
      <c r="A19" s="165" t="n"/>
      <c r="B19" s="165" t="n"/>
      <c r="C19" s="163" t="n"/>
      <c r="D19" s="161" t="n"/>
      <c r="E19" s="162" t="n"/>
      <c r="F19" s="163" t="n"/>
      <c r="G19" s="165" t="n"/>
      <c r="H19" s="162" t="n"/>
      <c r="I19" s="163" t="n"/>
      <c r="J19" s="164" t="n"/>
      <c r="K19" s="162" t="n"/>
      <c r="L19" s="162" t="n"/>
      <c r="M19" s="162" t="n"/>
      <c r="N19" s="162" t="n"/>
      <c r="O19" s="162" t="n"/>
      <c r="P19" s="163" t="n"/>
      <c r="Q19" s="175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  <c r="AA19" s="162" t="n"/>
      <c r="AB19" s="162" t="n"/>
      <c r="AC19" s="162" t="n"/>
      <c r="AD19" s="162" t="n"/>
      <c r="AE19" s="163" t="n"/>
      <c r="AF19" s="164" t="n"/>
      <c r="AG19" s="162" t="n"/>
      <c r="AH19" s="162" t="n"/>
      <c r="AI19" s="163" t="n"/>
    </row>
    <row r="20" ht="15" customFormat="1" customHeight="1" s="39">
      <c r="A20" s="165" t="n"/>
      <c r="B20" s="165" t="n"/>
      <c r="C20" s="163" t="n"/>
      <c r="D20" s="161" t="n"/>
      <c r="E20" s="162" t="n"/>
      <c r="F20" s="163" t="n"/>
      <c r="G20" s="165" t="n"/>
      <c r="H20" s="162" t="n"/>
      <c r="I20" s="163" t="n"/>
      <c r="J20" s="164" t="n"/>
      <c r="K20" s="162" t="n"/>
      <c r="L20" s="162" t="n"/>
      <c r="M20" s="162" t="n"/>
      <c r="N20" s="162" t="n"/>
      <c r="O20" s="162" t="n"/>
      <c r="P20" s="163" t="n"/>
      <c r="Q20" s="175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  <c r="AA20" s="162" t="n"/>
      <c r="AB20" s="162" t="n"/>
      <c r="AC20" s="162" t="n"/>
      <c r="AD20" s="162" t="n"/>
      <c r="AE20" s="163" t="n"/>
      <c r="AF20" s="164" t="n"/>
      <c r="AG20" s="162" t="n"/>
      <c r="AH20" s="162" t="n"/>
      <c r="AI20" s="163" t="n"/>
    </row>
    <row r="21" ht="15" customFormat="1" customHeight="1" s="39">
      <c r="A21" s="165" t="n"/>
      <c r="B21" s="165" t="n"/>
      <c r="C21" s="163" t="n"/>
      <c r="D21" s="161" t="n"/>
      <c r="E21" s="162" t="n"/>
      <c r="F21" s="163" t="n"/>
      <c r="G21" s="165" t="n"/>
      <c r="H21" s="162" t="n"/>
      <c r="I21" s="163" t="n"/>
      <c r="J21" s="164" t="n"/>
      <c r="K21" s="162" t="n"/>
      <c r="L21" s="162" t="n"/>
      <c r="M21" s="162" t="n"/>
      <c r="N21" s="162" t="n"/>
      <c r="O21" s="162" t="n"/>
      <c r="P21" s="163" t="n"/>
      <c r="Q21" s="175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  <c r="AA21" s="162" t="n"/>
      <c r="AB21" s="162" t="n"/>
      <c r="AC21" s="162" t="n"/>
      <c r="AD21" s="162" t="n"/>
      <c r="AE21" s="163" t="n"/>
      <c r="AF21" s="164" t="n"/>
      <c r="AG21" s="162" t="n"/>
      <c r="AH21" s="162" t="n"/>
      <c r="AI21" s="163" t="n"/>
    </row>
    <row r="22" ht="15" customFormat="1" customHeight="1" s="39">
      <c r="A22" s="165" t="n"/>
      <c r="B22" s="165" t="n"/>
      <c r="C22" s="163" t="n"/>
      <c r="D22" s="161" t="n"/>
      <c r="E22" s="162" t="n"/>
      <c r="F22" s="163" t="n"/>
      <c r="G22" s="165" t="n"/>
      <c r="H22" s="162" t="n"/>
      <c r="I22" s="163" t="n"/>
      <c r="J22" s="164" t="n"/>
      <c r="K22" s="162" t="n"/>
      <c r="L22" s="162" t="n"/>
      <c r="M22" s="162" t="n"/>
      <c r="N22" s="162" t="n"/>
      <c r="O22" s="162" t="n"/>
      <c r="P22" s="163" t="n"/>
      <c r="Q22" s="175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  <c r="AA22" s="162" t="n"/>
      <c r="AB22" s="162" t="n"/>
      <c r="AC22" s="162" t="n"/>
      <c r="AD22" s="162" t="n"/>
      <c r="AE22" s="163" t="n"/>
      <c r="AF22" s="164" t="n"/>
      <c r="AG22" s="162" t="n"/>
      <c r="AH22" s="162" t="n"/>
      <c r="AI22" s="163" t="n"/>
    </row>
    <row r="23" ht="15" customFormat="1" customHeight="1" s="39">
      <c r="A23" s="165" t="n"/>
      <c r="B23" s="165" t="n"/>
      <c r="C23" s="163" t="n"/>
      <c r="D23" s="161" t="n"/>
      <c r="E23" s="162" t="n"/>
      <c r="F23" s="163" t="n"/>
      <c r="G23" s="165" t="n"/>
      <c r="H23" s="162" t="n"/>
      <c r="I23" s="163" t="n"/>
      <c r="J23" s="164" t="n"/>
      <c r="K23" s="162" t="n"/>
      <c r="L23" s="162" t="n"/>
      <c r="M23" s="162" t="n"/>
      <c r="N23" s="162" t="n"/>
      <c r="O23" s="162" t="n"/>
      <c r="P23" s="163" t="n"/>
      <c r="Q23" s="175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  <c r="AA23" s="162" t="n"/>
      <c r="AB23" s="162" t="n"/>
      <c r="AC23" s="162" t="n"/>
      <c r="AD23" s="162" t="n"/>
      <c r="AE23" s="163" t="n"/>
      <c r="AF23" s="164" t="n"/>
      <c r="AG23" s="162" t="n"/>
      <c r="AH23" s="162" t="n"/>
      <c r="AI23" s="163" t="n"/>
    </row>
    <row r="24" ht="15" customFormat="1" customHeight="1" s="39">
      <c r="A24" s="165" t="n"/>
      <c r="B24" s="165" t="n"/>
      <c r="C24" s="163" t="n"/>
      <c r="D24" s="161" t="n"/>
      <c r="E24" s="162" t="n"/>
      <c r="F24" s="163" t="n"/>
      <c r="G24" s="165" t="n"/>
      <c r="H24" s="162" t="n"/>
      <c r="I24" s="163" t="n"/>
      <c r="J24" s="164" t="n"/>
      <c r="K24" s="162" t="n"/>
      <c r="L24" s="162" t="n"/>
      <c r="M24" s="162" t="n"/>
      <c r="N24" s="162" t="n"/>
      <c r="O24" s="162" t="n"/>
      <c r="P24" s="163" t="n"/>
      <c r="Q24" s="175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  <c r="AA24" s="162" t="n"/>
      <c r="AB24" s="162" t="n"/>
      <c r="AC24" s="162" t="n"/>
      <c r="AD24" s="162" t="n"/>
      <c r="AE24" s="163" t="n"/>
      <c r="AF24" s="164" t="n"/>
      <c r="AG24" s="162" t="n"/>
      <c r="AH24" s="162" t="n"/>
      <c r="AI24" s="163" t="n"/>
    </row>
    <row r="25" ht="15" customFormat="1" customHeight="1" s="39">
      <c r="A25" s="165" t="n"/>
      <c r="B25" s="165" t="n"/>
      <c r="C25" s="163" t="n"/>
      <c r="D25" s="161" t="n"/>
      <c r="E25" s="162" t="n"/>
      <c r="F25" s="163" t="n"/>
      <c r="G25" s="165" t="n"/>
      <c r="H25" s="162" t="n"/>
      <c r="I25" s="163" t="n"/>
      <c r="J25" s="164" t="n"/>
      <c r="K25" s="162" t="n"/>
      <c r="L25" s="162" t="n"/>
      <c r="M25" s="162" t="n"/>
      <c r="N25" s="162" t="n"/>
      <c r="O25" s="162" t="n"/>
      <c r="P25" s="163" t="n"/>
      <c r="Q25" s="175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  <c r="AA25" s="162" t="n"/>
      <c r="AB25" s="162" t="n"/>
      <c r="AC25" s="162" t="n"/>
      <c r="AD25" s="162" t="n"/>
      <c r="AE25" s="163" t="n"/>
      <c r="AF25" s="164" t="n"/>
      <c r="AG25" s="162" t="n"/>
      <c r="AH25" s="162" t="n"/>
      <c r="AI25" s="163" t="n"/>
    </row>
    <row r="26" ht="15" customFormat="1" customHeight="1" s="39">
      <c r="A26" s="165" t="n"/>
      <c r="B26" s="165" t="n"/>
      <c r="C26" s="163" t="n"/>
      <c r="D26" s="161" t="n"/>
      <c r="E26" s="162" t="n"/>
      <c r="F26" s="163" t="n"/>
      <c r="G26" s="165" t="n"/>
      <c r="H26" s="162" t="n"/>
      <c r="I26" s="163" t="n"/>
      <c r="J26" s="164" t="n"/>
      <c r="K26" s="162" t="n"/>
      <c r="L26" s="162" t="n"/>
      <c r="M26" s="162" t="n"/>
      <c r="N26" s="162" t="n"/>
      <c r="O26" s="162" t="n"/>
      <c r="P26" s="163" t="n"/>
      <c r="Q26" s="175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  <c r="AA26" s="162" t="n"/>
      <c r="AB26" s="162" t="n"/>
      <c r="AC26" s="162" t="n"/>
      <c r="AD26" s="162" t="n"/>
      <c r="AE26" s="163" t="n"/>
      <c r="AF26" s="164" t="n"/>
      <c r="AG26" s="162" t="n"/>
      <c r="AH26" s="162" t="n"/>
      <c r="AI26" s="163" t="n"/>
    </row>
    <row r="27" ht="15" customFormat="1" customHeight="1" s="39">
      <c r="A27" s="165" t="n"/>
      <c r="B27" s="165" t="n"/>
      <c r="C27" s="163" t="n"/>
      <c r="D27" s="161" t="n"/>
      <c r="E27" s="162" t="n"/>
      <c r="F27" s="163" t="n"/>
      <c r="G27" s="165" t="n"/>
      <c r="H27" s="162" t="n"/>
      <c r="I27" s="163" t="n"/>
      <c r="J27" s="164" t="n"/>
      <c r="K27" s="162" t="n"/>
      <c r="L27" s="162" t="n"/>
      <c r="M27" s="162" t="n"/>
      <c r="N27" s="162" t="n"/>
      <c r="O27" s="162" t="n"/>
      <c r="P27" s="163" t="n"/>
      <c r="Q27" s="175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  <c r="AA27" s="162" t="n"/>
      <c r="AB27" s="162" t="n"/>
      <c r="AC27" s="162" t="n"/>
      <c r="AD27" s="162" t="n"/>
      <c r="AE27" s="163" t="n"/>
      <c r="AF27" s="164" t="n"/>
      <c r="AG27" s="162" t="n"/>
      <c r="AH27" s="162" t="n"/>
      <c r="AI27" s="163" t="n"/>
    </row>
    <row r="28" ht="15" customFormat="1" customHeight="1" s="39">
      <c r="A28" s="165" t="n"/>
      <c r="B28" s="165" t="n"/>
      <c r="C28" s="163" t="n"/>
      <c r="D28" s="161" t="n"/>
      <c r="E28" s="162" t="n"/>
      <c r="F28" s="163" t="n"/>
      <c r="G28" s="165" t="n"/>
      <c r="H28" s="162" t="n"/>
      <c r="I28" s="163" t="n"/>
      <c r="J28" s="164" t="n"/>
      <c r="K28" s="162" t="n"/>
      <c r="L28" s="162" t="n"/>
      <c r="M28" s="162" t="n"/>
      <c r="N28" s="162" t="n"/>
      <c r="O28" s="162" t="n"/>
      <c r="P28" s="163" t="n"/>
      <c r="Q28" s="175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  <c r="AA28" s="162" t="n"/>
      <c r="AB28" s="162" t="n"/>
      <c r="AC28" s="162" t="n"/>
      <c r="AD28" s="162" t="n"/>
      <c r="AE28" s="163" t="n"/>
      <c r="AF28" s="164" t="n"/>
      <c r="AG28" s="162" t="n"/>
      <c r="AH28" s="162" t="n"/>
      <c r="AI28" s="163" t="n"/>
    </row>
    <row r="29" ht="15" customFormat="1" customHeight="1" s="39">
      <c r="A29" s="165" t="n"/>
      <c r="B29" s="165" t="n"/>
      <c r="C29" s="163" t="n"/>
      <c r="D29" s="161" t="n"/>
      <c r="E29" s="162" t="n"/>
      <c r="F29" s="163" t="n"/>
      <c r="G29" s="165" t="n"/>
      <c r="H29" s="162" t="n"/>
      <c r="I29" s="163" t="n"/>
      <c r="J29" s="164" t="n"/>
      <c r="K29" s="162" t="n"/>
      <c r="L29" s="162" t="n"/>
      <c r="M29" s="162" t="n"/>
      <c r="N29" s="162" t="n"/>
      <c r="O29" s="162" t="n"/>
      <c r="P29" s="163" t="n"/>
      <c r="Q29" s="175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  <c r="AA29" s="162" t="n"/>
      <c r="AB29" s="162" t="n"/>
      <c r="AC29" s="162" t="n"/>
      <c r="AD29" s="162" t="n"/>
      <c r="AE29" s="163" t="n"/>
      <c r="AF29" s="164" t="n"/>
      <c r="AG29" s="162" t="n"/>
      <c r="AH29" s="162" t="n"/>
      <c r="AI29" s="163" t="n"/>
    </row>
    <row r="30" ht="15" customFormat="1" customHeight="1" s="39">
      <c r="A30" s="165" t="n"/>
      <c r="B30" s="165" t="n"/>
      <c r="C30" s="163" t="n"/>
      <c r="D30" s="161" t="n"/>
      <c r="E30" s="162" t="n"/>
      <c r="F30" s="163" t="n"/>
      <c r="G30" s="165" t="n"/>
      <c r="H30" s="162" t="n"/>
      <c r="I30" s="163" t="n"/>
      <c r="J30" s="164" t="n"/>
      <c r="K30" s="162" t="n"/>
      <c r="L30" s="162" t="n"/>
      <c r="M30" s="162" t="n"/>
      <c r="N30" s="162" t="n"/>
      <c r="O30" s="162" t="n"/>
      <c r="P30" s="163" t="n"/>
      <c r="Q30" s="175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  <c r="AA30" s="162" t="n"/>
      <c r="AB30" s="162" t="n"/>
      <c r="AC30" s="162" t="n"/>
      <c r="AD30" s="162" t="n"/>
      <c r="AE30" s="163" t="n"/>
      <c r="AF30" s="164" t="n"/>
      <c r="AG30" s="162" t="n"/>
      <c r="AH30" s="162" t="n"/>
      <c r="AI30" s="163" t="n"/>
    </row>
    <row r="31" ht="15" customFormat="1" customHeight="1" s="39">
      <c r="A31" s="165" t="n"/>
      <c r="B31" s="165" t="n"/>
      <c r="C31" s="163" t="n"/>
      <c r="D31" s="161" t="n"/>
      <c r="E31" s="162" t="n"/>
      <c r="F31" s="163" t="n"/>
      <c r="G31" s="165" t="n"/>
      <c r="H31" s="162" t="n"/>
      <c r="I31" s="163" t="n"/>
      <c r="J31" s="164" t="n"/>
      <c r="K31" s="162" t="n"/>
      <c r="L31" s="162" t="n"/>
      <c r="M31" s="162" t="n"/>
      <c r="N31" s="162" t="n"/>
      <c r="O31" s="162" t="n"/>
      <c r="P31" s="163" t="n"/>
      <c r="Q31" s="175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  <c r="AA31" s="162" t="n"/>
      <c r="AB31" s="162" t="n"/>
      <c r="AC31" s="162" t="n"/>
      <c r="AD31" s="162" t="n"/>
      <c r="AE31" s="163" t="n"/>
      <c r="AF31" s="164" t="n"/>
      <c r="AG31" s="162" t="n"/>
      <c r="AH31" s="162" t="n"/>
      <c r="AI31" s="163" t="n"/>
    </row>
    <row r="32" ht="15" customFormat="1" customHeight="1" s="39">
      <c r="A32" s="165" t="n"/>
      <c r="B32" s="165" t="n"/>
      <c r="C32" s="163" t="n"/>
      <c r="D32" s="161" t="n"/>
      <c r="E32" s="162" t="n"/>
      <c r="F32" s="163" t="n"/>
      <c r="G32" s="165" t="n"/>
      <c r="H32" s="162" t="n"/>
      <c r="I32" s="163" t="n"/>
      <c r="J32" s="164" t="n"/>
      <c r="K32" s="162" t="n"/>
      <c r="L32" s="162" t="n"/>
      <c r="M32" s="162" t="n"/>
      <c r="N32" s="162" t="n"/>
      <c r="O32" s="162" t="n"/>
      <c r="P32" s="163" t="n"/>
      <c r="Q32" s="175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  <c r="AA32" s="162" t="n"/>
      <c r="AB32" s="162" t="n"/>
      <c r="AC32" s="162" t="n"/>
      <c r="AD32" s="162" t="n"/>
      <c r="AE32" s="163" t="n"/>
      <c r="AF32" s="164" t="n"/>
      <c r="AG32" s="162" t="n"/>
      <c r="AH32" s="162" t="n"/>
      <c r="AI32" s="163" t="n"/>
    </row>
    <row r="33" ht="15" customFormat="1" customHeight="1" s="39">
      <c r="A33" s="165" t="n"/>
      <c r="B33" s="165" t="n"/>
      <c r="C33" s="163" t="n"/>
      <c r="D33" s="161" t="n"/>
      <c r="E33" s="162" t="n"/>
      <c r="F33" s="163" t="n"/>
      <c r="G33" s="165" t="n"/>
      <c r="H33" s="162" t="n"/>
      <c r="I33" s="163" t="n"/>
      <c r="J33" s="164" t="n"/>
      <c r="K33" s="162" t="n"/>
      <c r="L33" s="162" t="n"/>
      <c r="M33" s="162" t="n"/>
      <c r="N33" s="162" t="n"/>
      <c r="O33" s="162" t="n"/>
      <c r="P33" s="163" t="n"/>
      <c r="Q33" s="175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  <c r="AA33" s="162" t="n"/>
      <c r="AB33" s="162" t="n"/>
      <c r="AC33" s="162" t="n"/>
      <c r="AD33" s="162" t="n"/>
      <c r="AE33" s="163" t="n"/>
      <c r="AF33" s="164" t="n"/>
      <c r="AG33" s="162" t="n"/>
      <c r="AH33" s="162" t="n"/>
      <c r="AI33" s="163" t="n"/>
    </row>
    <row r="34" ht="15" customFormat="1" customHeight="1" s="39"/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Q18:AE18"/>
    <mergeCell ref="B26:C26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AC2:AF2"/>
    <mergeCell ref="B18:C18"/>
    <mergeCell ref="G30:I30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B23:C23"/>
    <mergeCell ref="B8:C8"/>
    <mergeCell ref="D15:F15"/>
    <mergeCell ref="J10:P10"/>
    <mergeCell ref="D24:F24"/>
    <mergeCell ref="G25:I25"/>
    <mergeCell ref="J19:P19"/>
    <mergeCell ref="J9:P9"/>
    <mergeCell ref="B10:C10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44" min="1" max="16"/>
    <col width="4.83203125" customWidth="1" style="37" min="17" max="17"/>
    <col width="4.83203125" customWidth="1" style="44" min="18" max="33"/>
    <col width="4.83203125" customWidth="1" style="37" min="34" max="34"/>
    <col width="4.83203125" customWidth="1" style="44" min="35" max="16384"/>
  </cols>
  <sheetData>
    <row r="1" ht="11.25" customFormat="1" customHeigh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ht="11.25" customFormat="1" customHeigh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ht="11.25" customFormat="1" customHeigh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9.5" customFormat="1" customHeight="1" s="29">
      <c r="A4" s="220" t="n"/>
      <c r="B4" s="220" t="n"/>
      <c r="C4" s="220" t="n"/>
      <c r="D4" s="220" t="n"/>
      <c r="E4" s="220" t="n"/>
      <c r="F4" s="220" t="n"/>
      <c r="G4" s="220" t="n"/>
      <c r="H4" s="220" t="n"/>
      <c r="I4" s="220" t="n"/>
      <c r="J4" s="220" t="n"/>
      <c r="K4" s="220" t="n"/>
      <c r="L4" s="220" t="n"/>
      <c r="M4" s="220" t="n"/>
      <c r="N4" s="220" t="n"/>
      <c r="O4" s="220" t="n"/>
      <c r="P4" s="220" t="n"/>
      <c r="Q4" s="220" t="n"/>
      <c r="R4" s="220" t="n"/>
      <c r="S4" s="220" t="n"/>
      <c r="T4" s="220" t="n"/>
      <c r="U4" s="220" t="n"/>
      <c r="V4" s="220" t="n"/>
      <c r="W4" s="220" t="n"/>
      <c r="X4" s="220" t="n"/>
      <c r="Y4" s="220" t="n"/>
      <c r="Z4" s="220" t="n"/>
      <c r="AA4" s="220" t="n"/>
      <c r="AB4" s="220" t="n"/>
      <c r="AC4" s="28" t="n"/>
      <c r="AD4" s="220" t="n"/>
      <c r="AE4" s="220" t="n"/>
      <c r="AF4" s="220" t="n"/>
      <c r="AG4" s="220" t="n"/>
      <c r="AH4" s="220" t="n"/>
      <c r="AI4" s="220" t="n"/>
    </row>
    <row r="5" ht="15" customFormat="1" customHeight="1" s="29">
      <c r="A5" s="220" t="n"/>
      <c r="B5" s="220" t="n"/>
      <c r="C5" s="220" t="n"/>
      <c r="D5" s="220" t="n"/>
      <c r="E5" s="220" t="n"/>
      <c r="F5" s="220" t="n"/>
      <c r="G5" s="220" t="n"/>
      <c r="H5" s="220" t="n"/>
      <c r="I5" s="220" t="n"/>
      <c r="J5" s="220" t="n"/>
      <c r="K5" s="220" t="n"/>
      <c r="L5" s="220" t="n"/>
      <c r="M5" s="220" t="n"/>
      <c r="N5" s="220" t="n"/>
      <c r="O5" s="220" t="n"/>
      <c r="P5" s="220" t="n"/>
      <c r="Q5" s="8" t="inlineStr">
        <is>
          <t>目次</t>
        </is>
      </c>
      <c r="R5" s="220" t="n"/>
      <c r="S5" s="220" t="n"/>
      <c r="T5" s="220" t="n"/>
      <c r="U5" s="220" t="n"/>
      <c r="V5" s="220" t="n"/>
      <c r="W5" s="220" t="n"/>
      <c r="X5" s="220" t="n"/>
      <c r="Y5" s="220" t="n"/>
      <c r="Z5" s="220" t="n"/>
      <c r="AA5" s="220" t="n"/>
      <c r="AB5" s="220" t="n"/>
      <c r="AC5" s="28" t="n"/>
      <c r="AD5" s="220" t="n"/>
      <c r="AE5" s="220" t="n"/>
      <c r="AF5" s="220" t="n"/>
      <c r="AG5" s="220" t="n"/>
      <c r="AH5" s="220" t="n"/>
      <c r="AI5" s="220" t="n"/>
    </row>
    <row r="6" ht="15" customFormat="1" customHeight="1" s="26">
      <c r="AC6" s="42" t="n"/>
    </row>
    <row r="7" ht="15" customHeight="1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>
      <c r="C9" s="30" t="n"/>
      <c r="N9" s="43" t="n"/>
      <c r="P9" s="42" t="n"/>
      <c r="R9" s="42" t="n"/>
      <c r="AH9" s="31" t="n"/>
    </row>
    <row r="10" ht="15" customHeight="1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>
      <c r="C13" t="inlineStr">
        <is>
          <t>2.3. 画面項目定義</t>
        </is>
      </c>
      <c r="Q13" s="45" t="n"/>
      <c r="AG13" s="42" t="n"/>
      <c r="AH13" s="31" t="n"/>
    </row>
    <row r="14" ht="15" customHeight="1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>
      <c r="C16" t="inlineStr">
        <is>
          <t>2.6. 画面イベント詳細</t>
        </is>
      </c>
      <c r="P16" s="42" t="n"/>
      <c r="AG16" s="42" t="n"/>
      <c r="AH16" s="31" t="n"/>
    </row>
    <row r="17" ht="15" customHeight="1">
      <c r="P17" s="42" t="n"/>
      <c r="AG17" s="42" t="n"/>
      <c r="AH17" s="31" t="n"/>
    </row>
    <row r="18" ht="15" customHeight="1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>
      <c r="C19" s="30" t="inlineStr">
        <is>
          <t>3.1. 画面レイアウト</t>
        </is>
      </c>
      <c r="P19" s="42" t="n"/>
      <c r="AG19" s="42" t="n"/>
      <c r="AH19" s="31" t="n"/>
    </row>
    <row r="20" ht="15" customHeight="1">
      <c r="C20" t="inlineStr">
        <is>
          <t>3.2. 一覧表示</t>
        </is>
      </c>
      <c r="P20" s="42" t="n"/>
      <c r="AG20" s="42" t="n"/>
      <c r="AH20" s="31" t="n"/>
    </row>
    <row r="21" ht="15" customHeight="1">
      <c r="C21" t="inlineStr">
        <is>
          <t>3.3. 画面項目定義</t>
        </is>
      </c>
      <c r="P21" s="42" t="n"/>
      <c r="AG21" s="42" t="n"/>
      <c r="AH21" s="31" t="n"/>
    </row>
    <row r="22" ht="15" customHeight="1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>
      <c r="C24" t="inlineStr">
        <is>
          <t>3.6. 画面イベント詳細</t>
        </is>
      </c>
      <c r="P24" s="42" t="n"/>
      <c r="AG24" s="42" t="n"/>
      <c r="AH24" s="31" t="n"/>
    </row>
    <row r="25" ht="15" customHeight="1">
      <c r="P25" s="42" t="n"/>
      <c r="AG25" s="42" t="n"/>
      <c r="AH25" s="31" t="n"/>
    </row>
    <row r="26" ht="15" customHeight="1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>
      <c r="P37" s="36" t="n"/>
      <c r="U37" s="48" t="n"/>
      <c r="AG37" s="49" t="n"/>
    </row>
    <row r="38" ht="15" customHeight="1">
      <c r="U38" s="48" t="n"/>
      <c r="AF38" s="49" t="n"/>
      <c r="AG38" s="36" t="n"/>
    </row>
    <row r="39" ht="15" customHeight="1">
      <c r="T39" s="48" t="n"/>
      <c r="AF39" s="49" t="n"/>
      <c r="AG39" s="49" t="n"/>
    </row>
    <row r="40" ht="15" customHeight="1">
      <c r="AG40" s="36" t="n"/>
    </row>
    <row r="41" ht="15" customHeight="1">
      <c r="AG41" s="36" t="n"/>
    </row>
    <row r="42" ht="15" customHeight="1">
      <c r="AF42" s="49" t="n"/>
      <c r="AG42" s="36" t="n"/>
    </row>
    <row r="43" ht="15" customHeight="1">
      <c r="AF43" s="49" t="n"/>
      <c r="AG43" s="49" t="n"/>
    </row>
    <row r="44" ht="15" customHeight="1">
      <c r="AF44" s="49" t="n"/>
      <c r="AG44" s="49" t="n"/>
    </row>
    <row r="45" ht="15" customHeight="1">
      <c r="AG45" s="49" t="n"/>
    </row>
    <row r="46" ht="15" customHeight="1">
      <c r="AF46" s="49" t="n"/>
      <c r="AG46" s="49" t="n"/>
    </row>
    <row r="47" ht="15" customHeight="1">
      <c r="AG47" s="49" t="n"/>
    </row>
    <row r="48"/>
    <row r="49" ht="15" customHeight="1">
      <c r="AG49" s="49" t="n"/>
    </row>
  </sheetData>
  <mergeCells count="17">
    <mergeCell ref="A1:D1"/>
    <mergeCell ref="AG2:AI2"/>
    <mergeCell ref="AA3:AB3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"/>
    <col width="4.83203125" customWidth="1" style="220" min="2" max="16384"/>
  </cols>
  <sheetData>
    <row r="1" customFormat="1" s="170">
      <c r="A1" s="179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5">
        <f>IF(INDIRECT("変更履歴!AG1")&lt;&gt;"",INDIRECT("変更履歴!AG1"),"")</f>
        <v/>
      </c>
      <c r="AH1" s="162" t="n"/>
      <c r="AI1" s="163" t="n"/>
    </row>
    <row r="2" customFormat="1" s="170">
      <c r="A2" s="179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5">
        <f>IF(INDIRECT("変更履歴!AG2")&lt;&gt;"",INDIRECT("変更履歴!AG2"),"")</f>
        <v/>
      </c>
      <c r="AH2" s="162" t="n"/>
      <c r="AI2" s="163" t="n"/>
    </row>
    <row r="3" customFormat="1" s="170">
      <c r="A3" s="179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5">
        <f>IF(INDIRECT("変更履歴!AG3")&lt;&gt;"",INDIRECT("変更履歴!AG3"),"")</f>
        <v/>
      </c>
      <c r="AH3" s="162" t="n"/>
      <c r="AI3" s="163" t="n"/>
    </row>
    <row r="4" ht="12" customHeight="1"/>
    <row r="5" ht="12" customFormat="1" customHeight="1" s="199">
      <c r="B5" s="199" t="inlineStr">
        <is>
          <t>1. 画面取引定義</t>
        </is>
      </c>
    </row>
    <row r="6" ht="12" customFormat="1" customHeight="1" s="199">
      <c r="C6" s="199" t="inlineStr">
        <is>
          <t>1.1. 取引概要</t>
        </is>
      </c>
    </row>
    <row r="7" ht="12" customFormat="1" customHeight="1" s="199"/>
    <row r="8" ht="12" customFormat="1" customHeight="1" s="199">
      <c r="B8" s="258" t="n"/>
      <c r="C8" s="197" t="inlineStr">
        <is>
          <t>取引ID</t>
        </is>
      </c>
      <c r="D8" s="162" t="n"/>
      <c r="E8" s="162" t="n"/>
      <c r="F8" s="163" t="n"/>
      <c r="G8" s="164" t="inlineStr">
        <is>
          <t>WA10201</t>
        </is>
      </c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  <c r="AA8" s="162" t="n"/>
      <c r="AB8" s="162" t="n"/>
      <c r="AC8" s="162" t="n"/>
      <c r="AD8" s="162" t="n"/>
      <c r="AE8" s="162" t="n"/>
      <c r="AF8" s="162" t="n"/>
      <c r="AG8" s="163" t="n"/>
    </row>
    <row r="9" ht="12" customFormat="1" customHeight="1" s="199">
      <c r="B9" s="258" t="n"/>
      <c r="C9" s="200" t="inlineStr">
        <is>
          <t>取引名</t>
        </is>
      </c>
      <c r="D9" s="162" t="n"/>
      <c r="E9" s="162" t="n"/>
      <c r="F9" s="163" t="n"/>
      <c r="G9" s="164" t="inlineStr">
        <is>
          <t>プロジェクト登録</t>
        </is>
      </c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  <c r="AA9" s="162" t="n"/>
      <c r="AB9" s="162" t="n"/>
      <c r="AC9" s="162" t="n"/>
      <c r="AD9" s="162" t="n"/>
      <c r="AE9" s="162" t="n"/>
      <c r="AF9" s="162" t="n"/>
      <c r="AG9" s="163" t="n"/>
    </row>
    <row r="10" ht="12" customFormat="1" customHeight="1" s="199">
      <c r="B10" s="258" t="n"/>
      <c r="C10" s="198" t="inlineStr">
        <is>
          <t>取引概要</t>
        </is>
      </c>
      <c r="D10" s="167" t="n"/>
      <c r="E10" s="167" t="n"/>
      <c r="F10" s="16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199">
      <c r="B11" s="258" t="n"/>
      <c r="C11" s="169" t="n"/>
      <c r="F11" s="171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199">
      <c r="B12" s="258" t="n"/>
      <c r="C12" s="169" t="n"/>
      <c r="F12" s="171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199">
      <c r="B13" s="258" t="n"/>
      <c r="C13" s="172" t="n"/>
      <c r="D13" s="173" t="n"/>
      <c r="E13" s="173" t="n"/>
      <c r="F13" s="174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199">
      <c r="B14" s="258" t="n"/>
      <c r="C14" s="198" t="inlineStr">
        <is>
          <t>想定利用ユーザ</t>
        </is>
      </c>
      <c r="D14" s="162" t="n"/>
      <c r="E14" s="162" t="n"/>
      <c r="F14" s="163" t="n"/>
      <c r="G14" s="72" t="inlineStr">
        <is>
          <t>マネージャーユーザ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  <c r="Z14" s="73" t="n"/>
      <c r="AA14" s="73" t="n"/>
      <c r="AB14" s="73" t="n"/>
      <c r="AC14" s="73" t="n"/>
      <c r="AD14" s="73" t="n"/>
      <c r="AE14" s="73" t="n"/>
      <c r="AF14" s="73" t="n"/>
      <c r="AG14" s="74" t="n"/>
    </row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10"/>
    <col width="4.83203125" customWidth="1" style="220" min="11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>
      <c r="A4" t="n"/>
    </row>
    <row r="5" ht="12" customHeight="1">
      <c r="B5" s="26" t="inlineStr">
        <is>
          <t>2. WA1020101(プロジェクト登録画面)</t>
        </is>
      </c>
      <c r="AM5" s="140" t="n"/>
    </row>
    <row r="6" ht="12" customHeight="1">
      <c r="C6" t="inlineStr">
        <is>
          <t>2.1. 画面レイアウト</t>
        </is>
      </c>
    </row>
    <row r="7" ht="12" customHeight="1"/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231" t="inlineStr">
        <is>
          <t>領域名</t>
        </is>
      </c>
      <c r="F50" s="223" t="n"/>
      <c r="G50" s="223" t="n"/>
      <c r="H50" s="223" t="n"/>
      <c r="I50" s="223" t="n"/>
      <c r="J50" s="223" t="n"/>
      <c r="K50" s="223" t="n"/>
      <c r="L50" s="223" t="n"/>
      <c r="M50" s="224" t="n"/>
      <c r="N50" s="231" t="inlineStr">
        <is>
          <t>ページング有無</t>
        </is>
      </c>
      <c r="O50" s="223" t="n"/>
      <c r="P50" s="224" t="n"/>
      <c r="Q50" s="231" t="inlineStr">
        <is>
          <t>ソート条件</t>
        </is>
      </c>
      <c r="R50" s="223" t="n"/>
      <c r="S50" s="223" t="n"/>
      <c r="T50" s="223" t="n"/>
      <c r="U50" s="224" t="n"/>
      <c r="V50" s="231" t="inlineStr">
        <is>
          <t>備考</t>
        </is>
      </c>
      <c r="W50" s="223" t="n"/>
      <c r="X50" s="223" t="n"/>
      <c r="Y50" s="223" t="n"/>
      <c r="Z50" s="223" t="n"/>
      <c r="AA50" s="223" t="n"/>
      <c r="AB50" s="223" t="n"/>
      <c r="AC50" s="224" t="n"/>
      <c r="AD50" s="103" t="n"/>
      <c r="AE50" s="103" t="n"/>
      <c r="AF50" s="103" t="n"/>
      <c r="AG50" s="103" t="n"/>
      <c r="AH50" s="103" t="n"/>
    </row>
    <row r="51" ht="11.25" customHeight="1">
      <c r="D51" s="121" t="n">
        <v>1</v>
      </c>
      <c r="E51" s="248" t="inlineStr">
        <is>
          <t>-</t>
        </is>
      </c>
      <c r="F51" s="203" t="n"/>
      <c r="G51" s="203" t="n"/>
      <c r="H51" s="203" t="n"/>
      <c r="I51" s="203" t="n"/>
      <c r="J51" s="203" t="n"/>
      <c r="K51" s="203" t="n"/>
      <c r="L51" s="203" t="n"/>
      <c r="M51" s="204" t="n"/>
      <c r="N51" s="245" t="inlineStr">
        <is>
          <t>-</t>
        </is>
      </c>
      <c r="O51" s="203" t="n"/>
      <c r="P51" s="204" t="n"/>
      <c r="Q51" s="244" t="inlineStr">
        <is>
          <t>-</t>
        </is>
      </c>
      <c r="R51" s="203" t="n"/>
      <c r="S51" s="203" t="n"/>
      <c r="T51" s="203" t="n"/>
      <c r="U51" s="204" t="n"/>
      <c r="V51" s="227" t="inlineStr">
        <is>
          <t>-</t>
        </is>
      </c>
      <c r="W51" s="203" t="n"/>
      <c r="X51" s="203" t="n"/>
      <c r="Y51" s="203" t="n"/>
      <c r="Z51" s="203" t="n"/>
      <c r="AA51" s="203" t="n"/>
      <c r="AB51" s="203" t="n"/>
      <c r="AC51" s="204" t="n"/>
      <c r="AM51" s="29" t="n"/>
    </row>
    <row r="52" ht="11.25" customHeight="1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>
      <c r="L53" s="160" t="n"/>
      <c r="O53" s="122" t="n"/>
    </row>
    <row r="54">
      <c r="C54" t="inlineStr">
        <is>
          <t>2.3. 画面項目定義</t>
        </is>
      </c>
      <c r="AK54" s="258" t="n"/>
      <c r="AL54" s="258" t="n"/>
      <c r="AM54" s="258" t="n"/>
      <c r="AN54" s="258" t="n"/>
      <c r="AO54" s="258" t="n"/>
      <c r="AP54" s="258" t="n"/>
      <c r="AQ54" s="258" t="n"/>
      <c r="AR54" s="258" t="n"/>
      <c r="AS54" s="258" t="n"/>
      <c r="AT54" s="258" t="n"/>
      <c r="AU54" s="258" t="n"/>
      <c r="AV54" s="258" t="n"/>
      <c r="AW54" s="258" t="n"/>
      <c r="AX54" s="258" t="n"/>
      <c r="AY54" s="258" t="n"/>
      <c r="AZ54" s="258" t="n"/>
      <c r="BA54" s="258" t="n"/>
    </row>
    <row r="55" customFormat="1" s="199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199">
      <c r="D56" s="198" t="inlineStr">
        <is>
          <t>No.</t>
        </is>
      </c>
      <c r="E56" s="198" t="inlineStr">
        <is>
          <t>表示情報</t>
        </is>
      </c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  <c r="AA56" s="162" t="n"/>
      <c r="AB56" s="162" t="n"/>
      <c r="AC56" s="163" t="n"/>
      <c r="AD56" s="198" t="inlineStr">
        <is>
          <t>ドメイン名</t>
        </is>
      </c>
      <c r="AE56" s="167" t="n"/>
      <c r="AF56" s="167" t="n"/>
      <c r="AG56" s="168" t="n"/>
      <c r="AH56" s="92" t="n"/>
      <c r="AI56" s="92" t="n"/>
      <c r="AJ56" s="92" t="n"/>
      <c r="AK56" s="44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199">
      <c r="D57" s="218" t="n"/>
      <c r="E57" s="198" t="inlineStr">
        <is>
          <t>画面項目名</t>
        </is>
      </c>
      <c r="F57" s="167" t="n"/>
      <c r="G57" s="167" t="n"/>
      <c r="H57" s="168" t="n"/>
      <c r="I57" s="240" t="inlineStr">
        <is>
          <t>画面項目種別</t>
        </is>
      </c>
      <c r="J57" s="167" t="n"/>
      <c r="K57" s="167" t="n"/>
      <c r="L57" s="168" t="n"/>
      <c r="M57" s="225" t="inlineStr">
        <is>
          <t>情報取得元</t>
        </is>
      </c>
      <c r="N57" s="167" t="n"/>
      <c r="O57" s="167" t="n"/>
      <c r="P57" s="167" t="n"/>
      <c r="Q57" s="167" t="n"/>
      <c r="R57" s="167" t="n"/>
      <c r="S57" s="167" t="n"/>
      <c r="T57" s="168" t="n"/>
      <c r="U57" s="198" t="inlineStr">
        <is>
          <t>編集仕様</t>
        </is>
      </c>
      <c r="V57" s="167" t="n"/>
      <c r="W57" s="167" t="n"/>
      <c r="X57" s="167" t="n"/>
      <c r="Y57" s="168" t="n"/>
      <c r="Z57" s="198" t="inlineStr">
        <is>
          <t>初期値</t>
        </is>
      </c>
      <c r="AA57" s="167" t="n"/>
      <c r="AB57" s="168" t="n"/>
      <c r="AC57" s="198" t="inlineStr">
        <is>
          <t>必須</t>
        </is>
      </c>
      <c r="AD57" s="169" t="n"/>
      <c r="AG57" s="171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199">
      <c r="D58" s="210" t="n"/>
      <c r="E58" s="172" t="n"/>
      <c r="F58" s="173" t="n"/>
      <c r="G58" s="173" t="n"/>
      <c r="H58" s="174" t="n"/>
      <c r="I58" s="172" t="n"/>
      <c r="J58" s="173" t="n"/>
      <c r="K58" s="173" t="n"/>
      <c r="L58" s="174" t="n"/>
      <c r="M58" s="172" t="n"/>
      <c r="N58" s="173" t="n"/>
      <c r="O58" s="173" t="n"/>
      <c r="P58" s="173" t="n"/>
      <c r="Q58" s="173" t="n"/>
      <c r="R58" s="173" t="n"/>
      <c r="S58" s="173" t="n"/>
      <c r="T58" s="174" t="n"/>
      <c r="U58" s="172" t="n"/>
      <c r="V58" s="173" t="n"/>
      <c r="W58" s="173" t="n"/>
      <c r="X58" s="173" t="n"/>
      <c r="Y58" s="174" t="n"/>
      <c r="Z58" s="172" t="n"/>
      <c r="AA58" s="173" t="n"/>
      <c r="AB58" s="174" t="n"/>
      <c r="AC58" s="210" t="n"/>
      <c r="AD58" s="172" t="n"/>
      <c r="AE58" s="173" t="n"/>
      <c r="AF58" s="173" t="n"/>
      <c r="AG58" s="174" t="n"/>
      <c r="AH58" s="92" t="n"/>
      <c r="AI58" s="92" t="n"/>
      <c r="AJ58" s="92" t="n"/>
      <c r="AK58" s="92" t="n"/>
      <c r="AL58" s="212" t="inlineStr">
        <is>
          <t>画面項目名
（物理）</t>
        </is>
      </c>
      <c r="AM58" s="162" t="n"/>
      <c r="AN58" s="162" t="n"/>
      <c r="AO58" s="162" t="n"/>
      <c r="AP58" s="163" t="n"/>
      <c r="AQ58" s="92" t="n"/>
      <c r="AR58" s="92" t="n"/>
      <c r="AS58" s="92" t="n"/>
      <c r="AT58" s="92" t="n"/>
    </row>
    <row r="59" customFormat="1" s="199">
      <c r="D59" s="239" t="inlineStr">
        <is>
          <t>領域名：プロジェクト情報入力</t>
        </is>
      </c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  <c r="AA59" s="162" t="n"/>
      <c r="AB59" s="162" t="n"/>
      <c r="AC59" s="162" t="n"/>
      <c r="AD59" s="162" t="n"/>
      <c r="AE59" s="162" t="n"/>
      <c r="AF59" s="162" t="n"/>
      <c r="AG59" s="163" t="n"/>
      <c r="AH59" s="92" t="n"/>
      <c r="AI59" s="92" t="n"/>
      <c r="AJ59" s="92" t="n"/>
      <c r="AK59" s="92" t="n"/>
      <c r="AL59" s="138" t="inlineStr">
        <is>
          <t>-</t>
        </is>
      </c>
      <c r="AM59" s="136" t="n"/>
      <c r="AN59" s="136" t="n"/>
      <c r="AO59" s="136" t="n"/>
      <c r="AP59" s="137" t="n"/>
      <c r="AQ59" s="92" t="n"/>
      <c r="AR59" s="92" t="n"/>
      <c r="AS59" s="92" t="n"/>
      <c r="AT59" s="92" t="n"/>
    </row>
    <row r="60" ht="11.25" customFormat="1" customHeight="1" s="258">
      <c r="D60" s="106" t="n">
        <v>1</v>
      </c>
      <c r="E60" s="164" t="inlineStr">
        <is>
          <t>事業部</t>
        </is>
      </c>
      <c r="F60" s="162" t="n"/>
      <c r="G60" s="162" t="n"/>
      <c r="H60" s="163" t="n"/>
      <c r="I60" s="213" t="inlineStr">
        <is>
          <t>select(pulldown)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組織ID</t>
        </is>
      </c>
      <c r="AE60" s="162" t="n"/>
      <c r="AF60" s="162" t="n"/>
      <c r="AG60" s="163" t="n"/>
      <c r="AL60" s="164" t="inlineStr">
        <is>
          <t>divisionId</t>
        </is>
      </c>
      <c r="AM60" s="162" t="n"/>
      <c r="AN60" s="162" t="n"/>
      <c r="AO60" s="162" t="n"/>
      <c r="AP60" s="163" t="n"/>
    </row>
    <row r="61" ht="11.25" customFormat="1" customHeight="1" s="258">
      <c r="D61" s="106" t="n">
        <v>2</v>
      </c>
      <c r="E61" s="164" t="inlineStr">
        <is>
          <t>部門</t>
        </is>
      </c>
      <c r="F61" s="162" t="n"/>
      <c r="G61" s="162" t="n"/>
      <c r="H61" s="163" t="n"/>
      <c r="I61" s="213" t="inlineStr">
        <is>
          <t>select(pulldown)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-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組織ID</t>
        </is>
      </c>
      <c r="AE61" s="162" t="n"/>
      <c r="AF61" s="162" t="n"/>
      <c r="AG61" s="163" t="n"/>
      <c r="AL61" s="164" t="inlineStr">
        <is>
          <t>organizationId</t>
        </is>
      </c>
      <c r="AM61" s="162" t="n"/>
      <c r="AN61" s="162" t="n"/>
      <c r="AO61" s="162" t="n"/>
      <c r="AP61" s="163" t="n"/>
    </row>
    <row r="62" ht="11.25" customFormat="1" customHeight="1" s="199">
      <c r="D62" s="106" t="n">
        <v>3</v>
      </c>
      <c r="E62" s="164" t="inlineStr">
        <is>
          <t>PJ名</t>
        </is>
      </c>
      <c r="F62" s="162" t="n"/>
      <c r="G62" s="162" t="n"/>
      <c r="H62" s="163" t="n"/>
      <c r="I62" s="213" t="inlineStr">
        <is>
          <t>text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-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プロジェクト名</t>
        </is>
      </c>
      <c r="AE62" s="162" t="n"/>
      <c r="AF62" s="162" t="n"/>
      <c r="AG62" s="163" t="n"/>
      <c r="AH62" s="92" t="n"/>
      <c r="AI62" s="92" t="n"/>
      <c r="AJ62" s="92" t="n"/>
      <c r="AK62" s="92" t="n"/>
      <c r="AL62" s="164" t="inlineStr">
        <is>
          <t>projectName</t>
        </is>
      </c>
      <c r="AM62" s="162" t="n"/>
      <c r="AN62" s="162" t="n"/>
      <c r="AO62" s="162" t="n"/>
      <c r="AP62" s="163" t="n"/>
      <c r="AQ62" s="92" t="n"/>
      <c r="AR62" s="92" t="n"/>
      <c r="AS62" s="92" t="n"/>
      <c r="AT62" s="92" t="n"/>
    </row>
    <row r="63" ht="95.25" customFormat="1" customHeight="1" s="199">
      <c r="D63" s="106" t="n">
        <v>4</v>
      </c>
      <c r="E63" s="164" t="inlineStr">
        <is>
          <t>PJ種別</t>
        </is>
      </c>
      <c r="F63" s="162" t="n"/>
      <c r="G63" s="162" t="n"/>
      <c r="H63" s="163" t="n"/>
      <c r="I63" s="213" t="inlineStr">
        <is>
          <t>select(pulldown)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○</t>
        </is>
      </c>
      <c r="AD63" s="175" t="inlineStr">
        <is>
          <t>プロジェクト種別</t>
        </is>
      </c>
      <c r="AE63" s="162" t="n"/>
      <c r="AF63" s="162" t="n"/>
      <c r="AG63" s="163" t="n"/>
      <c r="AH63" s="92" t="n"/>
      <c r="AI63" s="92" t="n"/>
      <c r="AJ63" s="92" t="n"/>
      <c r="AK63" s="92" t="n"/>
      <c r="AL63" s="164" t="inlineStr">
        <is>
          <t>projectType</t>
        </is>
      </c>
      <c r="AM63" s="162" t="n"/>
      <c r="AN63" s="162" t="n"/>
      <c r="AO63" s="162" t="n"/>
      <c r="AP63" s="163" t="n"/>
      <c r="AQ63" s="92" t="n"/>
      <c r="AR63" s="92" t="n"/>
      <c r="AS63" s="92" t="n"/>
      <c r="AT63" s="92" t="n"/>
    </row>
    <row r="64" ht="95.25" customFormat="1" customHeight="1" s="199">
      <c r="D64" s="106" t="n">
        <v>5</v>
      </c>
      <c r="E64" s="164" t="inlineStr">
        <is>
          <t>PJ分類</t>
        </is>
      </c>
      <c r="F64" s="162" t="n"/>
      <c r="G64" s="162" t="n"/>
      <c r="H64" s="163" t="n"/>
      <c r="I64" s="213" t="inlineStr">
        <is>
          <t>radio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プロジェクト分類</t>
        </is>
      </c>
      <c r="AE64" s="162" t="n"/>
      <c r="AF64" s="162" t="n"/>
      <c r="AG64" s="163" t="n"/>
      <c r="AH64" s="92" t="n"/>
      <c r="AI64" s="92" t="n"/>
      <c r="AJ64" s="92" t="n"/>
      <c r="AK64" s="92" t="n"/>
      <c r="AL64" s="164" t="inlineStr">
        <is>
          <t>projectClass</t>
        </is>
      </c>
      <c r="AM64" s="162" t="n"/>
      <c r="AN64" s="162" t="n"/>
      <c r="AO64" s="162" t="n"/>
      <c r="AP64" s="163" t="n"/>
      <c r="AQ64" s="92" t="n"/>
      <c r="AR64" s="92" t="n"/>
      <c r="AS64" s="92" t="n"/>
      <c r="AT64" s="92" t="n"/>
    </row>
    <row r="65" ht="11.25" customHeight="1">
      <c r="D65" s="106" t="n">
        <v>6</v>
      </c>
      <c r="E65" s="164" t="inlineStr">
        <is>
          <t>売上高(千円)</t>
        </is>
      </c>
      <c r="F65" s="162" t="n"/>
      <c r="G65" s="162" t="n"/>
      <c r="H65" s="163" t="n"/>
      <c r="I65" s="243" t="inlineStr">
        <is>
          <t>text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-</t>
        </is>
      </c>
      <c r="AD65" s="175" t="inlineStr">
        <is>
          <t>金額</t>
        </is>
      </c>
      <c r="AE65" s="162" t="n"/>
      <c r="AF65" s="162" t="n"/>
      <c r="AG65" s="163" t="n"/>
      <c r="AL65" s="164" t="inlineStr">
        <is>
          <t>sales</t>
        </is>
      </c>
      <c r="AM65" s="162" t="n"/>
      <c r="AN65" s="162" t="n"/>
      <c r="AO65" s="162" t="n"/>
      <c r="AP65" s="163" t="n"/>
    </row>
    <row r="66" ht="24.75" customFormat="1" customHeight="1" s="258">
      <c r="D66" s="106" t="n">
        <v>7</v>
      </c>
      <c r="E66" s="164" t="inlineStr">
        <is>
          <t>顧客</t>
        </is>
      </c>
      <c r="F66" s="162" t="n"/>
      <c r="G66" s="162" t="n"/>
      <c r="H66" s="163" t="n"/>
      <c r="I66" s="213" t="inlineStr">
        <is>
          <t>label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顧客検索画面で選択した顧客の顧客名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顧客ID</t>
        </is>
      </c>
      <c r="AE66" s="162" t="n"/>
      <c r="AF66" s="162" t="n"/>
      <c r="AG66" s="163" t="n"/>
      <c r="AL66" s="164" t="inlineStr">
        <is>
          <t>clientId</t>
        </is>
      </c>
      <c r="AM66" s="162" t="n"/>
      <c r="AN66" s="162" t="n"/>
      <c r="AO66" s="162" t="n"/>
      <c r="AP66" s="163" t="n"/>
    </row>
    <row r="67" ht="11.25" customFormat="1" customHeight="1" s="258">
      <c r="D67" s="106" t="n">
        <v>8</v>
      </c>
      <c r="E67" s="164" t="inlineStr">
        <is>
          <t>PM</t>
        </is>
      </c>
      <c r="F67" s="162" t="n"/>
      <c r="G67" s="162" t="n"/>
      <c r="H67" s="163" t="n"/>
      <c r="I67" s="213" t="inlineStr">
        <is>
          <t>text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ユーザ氏名（漢字）</t>
        </is>
      </c>
      <c r="AE67" s="162" t="n"/>
      <c r="AF67" s="162" t="n"/>
      <c r="AG67" s="163" t="n"/>
      <c r="AL67" s="164" t="inlineStr">
        <is>
          <t>projectManager</t>
        </is>
      </c>
      <c r="AM67" s="162" t="n"/>
      <c r="AN67" s="162" t="n"/>
      <c r="AO67" s="162" t="n"/>
      <c r="AP67" s="163" t="n"/>
      <c r="AV67" s="75" t="n"/>
    </row>
    <row r="68" ht="11.25" customFormat="1" customHeight="1" s="258">
      <c r="D68" s="106" t="n">
        <v>9</v>
      </c>
      <c r="E68" s="164" t="inlineStr">
        <is>
          <t>PL</t>
        </is>
      </c>
      <c r="F68" s="162" t="n"/>
      <c r="G68" s="162" t="n"/>
      <c r="H68" s="163" t="n"/>
      <c r="I68" s="213" t="inlineStr">
        <is>
          <t>text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ユーザ氏名（漢字）</t>
        </is>
      </c>
      <c r="AE68" s="162" t="n"/>
      <c r="AF68" s="162" t="n"/>
      <c r="AG68" s="163" t="n"/>
      <c r="AL68" s="175" t="inlineStr">
        <is>
          <t>projectLeader</t>
        </is>
      </c>
      <c r="AM68" s="162" t="n"/>
      <c r="AN68" s="162" t="n"/>
      <c r="AO68" s="162" t="n"/>
      <c r="AP68" s="163" t="n"/>
      <c r="AR68" s="92" t="n"/>
      <c r="AS68" s="92" t="n"/>
    </row>
    <row r="69" ht="22.5" customFormat="1" customHeight="1" s="199">
      <c r="D69" s="106" t="n">
        <v>10</v>
      </c>
      <c r="E69" s="175" t="inlineStr">
        <is>
          <t>開始日</t>
        </is>
      </c>
      <c r="F69" s="162" t="n"/>
      <c r="G69" s="162" t="n"/>
      <c r="H69" s="163" t="n"/>
      <c r="I69" s="213" t="inlineStr">
        <is>
          <t>calendar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＜表示変換:日付変換＞
yyyy/MM/dd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○</t>
        </is>
      </c>
      <c r="AD69" s="175" t="inlineStr">
        <is>
          <t>日付</t>
        </is>
      </c>
      <c r="AE69" s="162" t="n"/>
      <c r="AF69" s="162" t="n"/>
      <c r="AG69" s="163" t="n"/>
      <c r="AH69" s="92" t="n"/>
      <c r="AI69" s="92" t="n"/>
      <c r="AJ69" s="92" t="n"/>
      <c r="AK69" s="92" t="n"/>
      <c r="AL69" s="164" t="inlineStr">
        <is>
          <t>projectStartDate</t>
        </is>
      </c>
      <c r="AM69" s="162" t="n"/>
      <c r="AN69" s="162" t="n"/>
      <c r="AO69" s="162" t="n"/>
      <c r="AP69" s="163" t="n"/>
      <c r="AQ69" s="92" t="n"/>
      <c r="AR69" s="92" t="n"/>
    </row>
    <row r="70" ht="22.5" customFormat="1" customHeight="1" s="258">
      <c r="D70" s="106" t="n">
        <v>11</v>
      </c>
      <c r="E70" s="175" t="inlineStr">
        <is>
          <t>終了日</t>
        </is>
      </c>
      <c r="F70" s="162" t="n"/>
      <c r="G70" s="162" t="n"/>
      <c r="H70" s="163" t="n"/>
      <c r="I70" s="213" t="inlineStr">
        <is>
          <t>calendar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＜表示変換:日付変換＞
yyyy/MM/dd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日付</t>
        </is>
      </c>
      <c r="AE70" s="162" t="n"/>
      <c r="AF70" s="162" t="n"/>
      <c r="AG70" s="163" t="n"/>
      <c r="AL70" s="164" t="inlineStr">
        <is>
          <t>projectEndDate</t>
        </is>
      </c>
      <c r="AM70" s="162" t="n"/>
      <c r="AN70" s="162" t="n"/>
      <c r="AO70" s="162" t="n"/>
      <c r="AP70" s="163" t="n"/>
    </row>
    <row r="71">
      <c r="A71" t="n"/>
      <c r="D71" s="106" t="n">
        <v>12</v>
      </c>
      <c r="E71" s="164" t="inlineStr">
        <is>
          <t>備考</t>
        </is>
      </c>
      <c r="F71" s="162" t="n"/>
      <c r="G71" s="162" t="n"/>
      <c r="H71" s="163" t="n"/>
      <c r="I71" s="213" t="inlineStr">
        <is>
          <t>textarea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-</t>
        </is>
      </c>
      <c r="AD71" s="175" t="inlineStr">
        <is>
          <t>備考</t>
        </is>
      </c>
      <c r="AE71" s="162" t="n"/>
      <c r="AF71" s="162" t="n"/>
      <c r="AG71" s="163" t="n"/>
      <c r="AL71" s="238" t="inlineStr">
        <is>
          <t>note</t>
        </is>
      </c>
      <c r="AM71" s="162" t="n"/>
      <c r="AN71" s="162" t="n"/>
      <c r="AO71" s="162" t="n"/>
      <c r="AP71" s="163" t="n"/>
    </row>
    <row r="72" ht="11.25" customHeight="1"/>
    <row r="73">
      <c r="D73" s="258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220" t="inlineStr">
        <is>
          <t>2.4. 入出力一覧</t>
        </is>
      </c>
      <c r="D74" s="258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>
      <c r="AI75" s="96" t="n"/>
      <c r="AJ75" s="96" t="n"/>
    </row>
    <row r="76">
      <c r="D76" s="235" t="inlineStr">
        <is>
          <t>No.</t>
        </is>
      </c>
      <c r="E76" s="200" t="inlineStr">
        <is>
          <t>入出力名</t>
        </is>
      </c>
      <c r="F76" s="167" t="n"/>
      <c r="G76" s="167" t="n"/>
      <c r="H76" s="167" t="n"/>
      <c r="I76" s="167" t="n"/>
      <c r="J76" s="168" t="n"/>
      <c r="K76" s="200" t="inlineStr">
        <is>
          <t>種別</t>
        </is>
      </c>
      <c r="L76" s="167" t="n"/>
      <c r="M76" s="167" t="n"/>
      <c r="N76" s="168" t="n"/>
      <c r="O76" s="209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200" t="inlineStr">
        <is>
          <t>備考</t>
        </is>
      </c>
      <c r="W76" s="167" t="n"/>
      <c r="X76" s="167" t="n"/>
      <c r="Y76" s="167" t="n"/>
      <c r="Z76" s="167" t="n"/>
      <c r="AA76" s="167" t="n"/>
      <c r="AB76" s="167" t="n"/>
      <c r="AC76" s="167" t="n"/>
      <c r="AD76" s="167" t="n"/>
      <c r="AE76" s="167" t="n"/>
      <c r="AF76" s="167" t="n"/>
      <c r="AG76" s="167" t="n"/>
      <c r="AH76" s="168" t="n"/>
    </row>
    <row r="77">
      <c r="D77" s="210" t="n"/>
      <c r="E77" s="172" t="n"/>
      <c r="F77" s="173" t="n"/>
      <c r="G77" s="173" t="n"/>
      <c r="H77" s="173" t="n"/>
      <c r="I77" s="173" t="n"/>
      <c r="J77" s="174" t="n"/>
      <c r="K77" s="172" t="n"/>
      <c r="L77" s="173" t="n"/>
      <c r="M77" s="173" t="n"/>
      <c r="N77" s="174" t="n"/>
      <c r="O77" s="210" t="n"/>
      <c r="P77" s="201" t="inlineStr">
        <is>
          <t>C</t>
        </is>
      </c>
      <c r="Q77" s="201" t="inlineStr">
        <is>
          <t>R</t>
        </is>
      </c>
      <c r="R77" s="201" t="inlineStr">
        <is>
          <t>U</t>
        </is>
      </c>
      <c r="S77" s="201" t="inlineStr">
        <is>
          <t>D</t>
        </is>
      </c>
      <c r="T77" s="201" t="inlineStr">
        <is>
          <t>ﾛｯｸ対象</t>
        </is>
      </c>
      <c r="U77" s="163" t="n"/>
      <c r="V77" s="172" t="n"/>
      <c r="W77" s="173" t="n"/>
      <c r="X77" s="173" t="n"/>
      <c r="Y77" s="173" t="n"/>
      <c r="Z77" s="173" t="n"/>
      <c r="AA77" s="173" t="n"/>
      <c r="AB77" s="173" t="n"/>
      <c r="AC77" s="173" t="n"/>
      <c r="AD77" s="173" t="n"/>
      <c r="AE77" s="173" t="n"/>
      <c r="AF77" s="173" t="n"/>
      <c r="AG77" s="173" t="n"/>
      <c r="AH77" s="174" t="n"/>
    </row>
    <row r="78">
      <c r="D78" s="111" t="n">
        <v>1</v>
      </c>
      <c r="E78" s="214" t="inlineStr">
        <is>
          <t>組織</t>
        </is>
      </c>
      <c r="F78" s="162" t="n"/>
      <c r="G78" s="162" t="n"/>
      <c r="H78" s="162" t="n"/>
      <c r="I78" s="162" t="n"/>
      <c r="J78" s="163" t="n"/>
      <c r="K78" s="215" t="inlineStr">
        <is>
          <t>テーブル</t>
        </is>
      </c>
      <c r="L78" s="162" t="n"/>
      <c r="M78" s="162" t="n"/>
      <c r="N78" s="163" t="n"/>
      <c r="O78" s="105" t="inlineStr">
        <is>
          <t>I</t>
        </is>
      </c>
      <c r="P78" s="112" t="inlineStr">
        <is>
          <t>-</t>
        </is>
      </c>
      <c r="Q78" s="112" t="inlineStr">
        <is>
          <t>○</t>
        </is>
      </c>
      <c r="R78" s="112" t="inlineStr">
        <is>
          <t>-</t>
        </is>
      </c>
      <c r="S78" s="112" t="inlineStr">
        <is>
          <t>-</t>
        </is>
      </c>
      <c r="T78" s="207" t="inlineStr">
        <is>
          <t>-</t>
        </is>
      </c>
      <c r="U78" s="163" t="n"/>
      <c r="V78" s="215" t="inlineStr">
        <is>
          <t>-</t>
        </is>
      </c>
      <c r="W78" s="162" t="n"/>
      <c r="X78" s="162" t="n"/>
      <c r="Y78" s="162" t="n"/>
      <c r="Z78" s="162" t="n"/>
      <c r="AA78" s="162" t="n"/>
      <c r="AB78" s="162" t="n"/>
      <c r="AC78" s="162" t="n"/>
      <c r="AD78" s="162" t="n"/>
      <c r="AE78" s="162" t="n"/>
      <c r="AF78" s="162" t="n"/>
      <c r="AG78" s="162" t="n"/>
      <c r="AH78" s="163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102" t="n"/>
      <c r="W79" s="102" t="n"/>
      <c r="X79" s="102" t="n"/>
      <c r="Y79" s="102" t="n"/>
      <c r="Z79" s="102" t="n"/>
      <c r="AA79" s="102" t="n"/>
      <c r="AB79" s="102" t="n"/>
      <c r="AC79" s="102" t="n"/>
      <c r="AD79" s="102" t="n"/>
      <c r="AE79" s="102" t="n"/>
      <c r="AF79" s="102" t="n"/>
      <c r="AG79" s="102" t="n"/>
      <c r="AH79" s="102" t="n"/>
    </row>
    <row r="80">
      <c r="D80" s="258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220" t="inlineStr">
        <is>
          <t>2.5. 画面イベント一覧</t>
        </is>
      </c>
    </row>
    <row r="82"/>
    <row r="83" ht="11.25" customHeight="1">
      <c r="C83" s="75" t="n"/>
      <c r="D83" s="113" t="inlineStr">
        <is>
          <t>No.</t>
        </is>
      </c>
      <c r="E83" s="246" t="inlineStr">
        <is>
          <t>画面イベント名</t>
        </is>
      </c>
      <c r="F83" s="162" t="n"/>
      <c r="G83" s="162" t="n"/>
      <c r="H83" s="162" t="n"/>
      <c r="I83" s="162" t="n"/>
      <c r="J83" s="247" t="n"/>
      <c r="K83" s="226" t="inlineStr">
        <is>
          <t>発生タイミング</t>
        </is>
      </c>
      <c r="L83" s="162" t="n"/>
      <c r="M83" s="162" t="n"/>
      <c r="N83" s="162" t="n"/>
      <c r="O83" s="162" t="n"/>
      <c r="P83" s="162" t="n"/>
      <c r="Q83" s="163" t="n"/>
      <c r="R83" s="197" t="inlineStr">
        <is>
          <t>画面イベント概要</t>
        </is>
      </c>
      <c r="S83" s="162" t="n"/>
      <c r="T83" s="162" t="n"/>
      <c r="U83" s="162" t="n"/>
      <c r="V83" s="162" t="n"/>
      <c r="W83" s="162" t="n"/>
      <c r="X83" s="162" t="n"/>
      <c r="Y83" s="163" t="n"/>
      <c r="Z83" s="198" t="inlineStr">
        <is>
          <t>正常時遷移先画面</t>
        </is>
      </c>
      <c r="AA83" s="162" t="n"/>
      <c r="AB83" s="162" t="n"/>
      <c r="AC83" s="162" t="n"/>
      <c r="AD83" s="163" t="n"/>
      <c r="AE83" s="222" t="inlineStr">
        <is>
          <t>サーバ通信有無</t>
        </is>
      </c>
      <c r="AF83" s="223" t="n"/>
      <c r="AG83" s="223" t="n"/>
      <c r="AH83" s="224" t="n"/>
    </row>
    <row r="84" ht="27" customHeight="1">
      <c r="D84" s="106" t="n">
        <v>1</v>
      </c>
      <c r="E84" s="215" t="inlineStr">
        <is>
          <t>初期表示</t>
        </is>
      </c>
      <c r="F84" s="162" t="n"/>
      <c r="G84" s="162" t="n"/>
      <c r="H84" s="162" t="n"/>
      <c r="I84" s="162" t="n"/>
      <c r="J84" s="163" t="n"/>
      <c r="K84" s="215" t="inlineStr">
        <is>
          <t>‐</t>
        </is>
      </c>
      <c r="L84" s="162" t="n"/>
      <c r="M84" s="162" t="n"/>
      <c r="N84" s="162" t="n"/>
      <c r="O84" s="162" t="n"/>
      <c r="P84" s="162" t="n"/>
      <c r="Q84" s="163" t="n"/>
      <c r="R84" s="175" t="inlineStr">
        <is>
          <t>プロジェクト登録画面を表示する。</t>
        </is>
      </c>
      <c r="S84" s="162" t="n"/>
      <c r="T84" s="162" t="n"/>
      <c r="U84" s="162" t="n"/>
      <c r="V84" s="162" t="n"/>
      <c r="W84" s="162" t="n"/>
      <c r="X84" s="162" t="n"/>
      <c r="Y84" s="163" t="n"/>
      <c r="Z84" s="215" t="inlineStr">
        <is>
          <t>-</t>
        </is>
      </c>
      <c r="AA84" s="162" t="n"/>
      <c r="AB84" s="162" t="n"/>
      <c r="AC84" s="162" t="n"/>
      <c r="AD84" s="163" t="n"/>
      <c r="AE84" s="202" t="inlineStr">
        <is>
          <t>あり(同期)</t>
        </is>
      </c>
      <c r="AF84" s="203" t="n"/>
      <c r="AG84" s="203" t="n"/>
      <c r="AH84" s="204" t="n"/>
    </row>
    <row r="85" ht="27" customHeight="1">
      <c r="D85" s="139" t="n">
        <v>2</v>
      </c>
      <c r="E85" s="234" t="inlineStr">
        <is>
          <t>部門リスト取得</t>
        </is>
      </c>
      <c r="F85" s="162" t="n"/>
      <c r="G85" s="162" t="n"/>
      <c r="H85" s="162" t="n"/>
      <c r="I85" s="162" t="n"/>
      <c r="J85" s="163" t="n"/>
      <c r="K85" s="234" t="inlineStr">
        <is>
          <t>「事業部」プルダウン選択</t>
        </is>
      </c>
      <c r="L85" s="162" t="n"/>
      <c r="M85" s="162" t="n"/>
      <c r="N85" s="162" t="n"/>
      <c r="O85" s="162" t="n"/>
      <c r="P85" s="162" t="n"/>
      <c r="Q85" s="163" t="n"/>
      <c r="R85" s="234" t="inlineStr">
        <is>
          <t>選択された事業部をもとに、配下部門リストを「部門」プルダウンに設定する。</t>
        </is>
      </c>
      <c r="S85" s="162" t="n"/>
      <c r="T85" s="162" t="n"/>
      <c r="U85" s="162" t="n"/>
      <c r="V85" s="162" t="n"/>
      <c r="W85" s="162" t="n"/>
      <c r="X85" s="162" t="n"/>
      <c r="Y85" s="163" t="n"/>
      <c r="Z85" s="234" t="inlineStr">
        <is>
          <t>-</t>
        </is>
      </c>
      <c r="AA85" s="162" t="n"/>
      <c r="AB85" s="162" t="n"/>
      <c r="AC85" s="162" t="n"/>
      <c r="AD85" s="163" t="n"/>
      <c r="AE85" s="237" t="inlineStr">
        <is>
          <t>あり(非同期)</t>
        </is>
      </c>
      <c r="AF85" s="203" t="n"/>
      <c r="AG85" s="203" t="n"/>
      <c r="AH85" s="204" t="n"/>
    </row>
    <row r="86" ht="27" customHeight="1">
      <c r="D86" s="106" t="n">
        <v>3</v>
      </c>
      <c r="E86" s="175" t="inlineStr">
        <is>
          <t>顧客検索</t>
        </is>
      </c>
      <c r="F86" s="162" t="n"/>
      <c r="G86" s="162" t="n"/>
      <c r="H86" s="162" t="n"/>
      <c r="I86" s="162" t="n"/>
      <c r="J86" s="163" t="n"/>
      <c r="K86" s="175" t="inlineStr">
        <is>
          <t>「顧客選択」ボタン押下</t>
        </is>
      </c>
      <c r="L86" s="162" t="n"/>
      <c r="M86" s="162" t="n"/>
      <c r="N86" s="162" t="n"/>
      <c r="O86" s="162" t="n"/>
      <c r="P86" s="162" t="n"/>
      <c r="Q86" s="163" t="n"/>
      <c r="R86" s="175" t="inlineStr">
        <is>
          <t>顧客検索画面を開く。</t>
        </is>
      </c>
      <c r="S86" s="162" t="n"/>
      <c r="T86" s="162" t="n"/>
      <c r="U86" s="162" t="n"/>
      <c r="V86" s="162" t="n"/>
      <c r="W86" s="162" t="n"/>
      <c r="X86" s="162" t="n"/>
      <c r="Y86" s="163" t="n"/>
      <c r="Z86" s="175" t="inlineStr">
        <is>
          <t>顧客検索画面</t>
        </is>
      </c>
      <c r="AA86" s="162" t="n"/>
      <c r="AB86" s="162" t="n"/>
      <c r="AC86" s="162" t="n"/>
      <c r="AD86" s="163" t="n"/>
      <c r="AE86" s="202" t="inlineStr">
        <is>
          <t>あり(同期)</t>
        </is>
      </c>
      <c r="AF86" s="203" t="n"/>
      <c r="AG86" s="203" t="n"/>
      <c r="AH86" s="204" t="n"/>
    </row>
    <row r="87" ht="27" customHeight="1">
      <c r="D87" s="106" t="n">
        <v>4</v>
      </c>
      <c r="E87" s="175" t="inlineStr">
        <is>
          <t>確認</t>
        </is>
      </c>
      <c r="F87" s="162" t="n"/>
      <c r="G87" s="162" t="n"/>
      <c r="H87" s="162" t="n"/>
      <c r="I87" s="162" t="n"/>
      <c r="J87" s="163" t="n"/>
      <c r="K87" s="175" t="inlineStr">
        <is>
          <t>「確認」ボタン押下</t>
        </is>
      </c>
      <c r="L87" s="162" t="n"/>
      <c r="M87" s="162" t="n"/>
      <c r="N87" s="162" t="n"/>
      <c r="O87" s="162" t="n"/>
      <c r="P87" s="162" t="n"/>
      <c r="Q87" s="163" t="n"/>
      <c r="R87" s="175" t="inlineStr">
        <is>
          <t>入力内容のバリデーション処理を行い、プロジェクト登録確認を表示する。</t>
        </is>
      </c>
      <c r="S87" s="162" t="n"/>
      <c r="T87" s="162" t="n"/>
      <c r="U87" s="162" t="n"/>
      <c r="V87" s="162" t="n"/>
      <c r="W87" s="162" t="n"/>
      <c r="X87" s="162" t="n"/>
      <c r="Y87" s="163" t="n"/>
      <c r="Z87" s="175" t="inlineStr">
        <is>
          <t>プロジェクト登録確認</t>
        </is>
      </c>
      <c r="AA87" s="162" t="n"/>
      <c r="AB87" s="162" t="n"/>
      <c r="AC87" s="162" t="n"/>
      <c r="AD87" s="163" t="n"/>
      <c r="AE87" s="202" t="inlineStr">
        <is>
          <t>あり(同期)</t>
        </is>
      </c>
      <c r="AF87" s="203" t="n"/>
      <c r="AG87" s="203" t="n"/>
      <c r="AH87" s="204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220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>
      <c r="D91" s="26" t="inlineStr">
        <is>
          <t>2.6.1.初期表示イベント</t>
        </is>
      </c>
      <c r="E91" s="29" t="n"/>
    </row>
    <row r="92" ht="11.25" customHeight="1">
      <c r="D92" s="29" t="n"/>
      <c r="E92" s="29" t="n"/>
    </row>
    <row r="93" ht="11.25" customHeight="1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>
      <c r="D95" s="29" t="n"/>
      <c r="E95" s="29" t="n"/>
      <c r="F95" s="220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0"/>
    <row r="101">
      <c r="G101" s="212" t="inlineStr">
        <is>
          <t>取得テーブル名</t>
        </is>
      </c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3" t="n"/>
      <c r="Q101" s="236" t="inlineStr">
        <is>
          <t>取得カラム名</t>
        </is>
      </c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3" t="n"/>
    </row>
    <row r="102" ht="11.25" customHeight="1">
      <c r="G102" s="219" t="inlineStr">
        <is>
          <t>組織</t>
        </is>
      </c>
      <c r="H102" s="167" t="n"/>
      <c r="I102" s="167" t="n"/>
      <c r="J102" s="167" t="n"/>
      <c r="K102" s="167" t="n"/>
      <c r="L102" s="167" t="n"/>
      <c r="M102" s="167" t="n"/>
      <c r="N102" s="167" t="n"/>
      <c r="O102" s="167" t="n"/>
      <c r="P102" s="168" t="n"/>
      <c r="Q102" s="214" t="inlineStr">
        <is>
          <t>組織ID</t>
        </is>
      </c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3" t="n"/>
      <c r="AG102" s="76" t="n"/>
      <c r="AH102" s="76" t="n"/>
    </row>
    <row r="103">
      <c r="G103" s="169" t="n"/>
      <c r="P103" s="171" t="n"/>
      <c r="Q103" s="214" t="inlineStr">
        <is>
          <t>組織名</t>
        </is>
      </c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3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230" t="inlineStr">
        <is>
          <t>検索条件</t>
        </is>
      </c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3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220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44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44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>
      <c r="E114" s="44" t="n"/>
      <c r="G114" s="44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44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>
      <c r="D117" s="26" t="inlineStr">
        <is>
          <t>2.6.2.部門リスト取得イベント</t>
        </is>
      </c>
      <c r="E117" s="29" t="n"/>
    </row>
    <row r="118" ht="11.25" customHeight="1">
      <c r="D118" s="29" t="n"/>
      <c r="E118" s="29" t="n"/>
    </row>
    <row r="119" ht="11.25" customHeight="1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>
      <c r="D121" s="29" t="n"/>
      <c r="E121" s="29" t="n"/>
      <c r="F121" s="220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6"/>
    <row r="127">
      <c r="G127" s="212" t="inlineStr">
        <is>
          <t>取得テーブル名</t>
        </is>
      </c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3" t="n"/>
      <c r="Q127" s="236" t="inlineStr">
        <is>
          <t>取得カラム名</t>
        </is>
      </c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3" t="n"/>
    </row>
    <row r="128" ht="11.25" customHeight="1">
      <c r="G128" s="219" t="inlineStr">
        <is>
          <t>組織</t>
        </is>
      </c>
      <c r="H128" s="167" t="n"/>
      <c r="I128" s="167" t="n"/>
      <c r="J128" s="167" t="n"/>
      <c r="K128" s="167" t="n"/>
      <c r="L128" s="167" t="n"/>
      <c r="M128" s="167" t="n"/>
      <c r="N128" s="167" t="n"/>
      <c r="O128" s="167" t="n"/>
      <c r="P128" s="168" t="n"/>
      <c r="Q128" s="214" t="inlineStr">
        <is>
          <t>組織ID</t>
        </is>
      </c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3" t="n"/>
      <c r="AG128" s="76" t="n"/>
      <c r="AH128" s="76" t="n"/>
    </row>
    <row r="129">
      <c r="G129" s="169" t="n"/>
      <c r="P129" s="171" t="n"/>
      <c r="Q129" s="214" t="inlineStr">
        <is>
          <t>組織名</t>
        </is>
      </c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3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230" t="inlineStr">
        <is>
          <t>検索条件</t>
        </is>
      </c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3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220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44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44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>
      <c r="E140" s="44" t="n"/>
      <c r="G140" s="44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>
      <c r="D142" s="26" t="inlineStr">
        <is>
          <t>2.6.3.顧客検索イベント</t>
        </is>
      </c>
      <c r="E142" s="29" t="n"/>
    </row>
    <row r="143" ht="11.25" customHeight="1">
      <c r="D143" s="29" t="n"/>
      <c r="E143" s="29" t="n"/>
    </row>
    <row r="144" ht="11.25" customHeight="1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>
      <c r="D146" s="29" t="n"/>
      <c r="E146" s="29" t="n"/>
      <c r="F146" s="220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44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44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>
      <c r="E157" s="29" t="n"/>
      <c r="F157" s="197" t="inlineStr">
        <is>
          <t>No.</t>
        </is>
      </c>
      <c r="G157" s="197" t="inlineStr">
        <is>
          <t>バリデーション名</t>
        </is>
      </c>
      <c r="H157" s="162" t="n"/>
      <c r="I157" s="162" t="n"/>
      <c r="J157" s="162" t="n"/>
      <c r="K157" s="162" t="n"/>
      <c r="L157" s="163" t="n"/>
      <c r="M157" s="228" t="inlineStr">
        <is>
          <t>バリデーション内容</t>
        </is>
      </c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3" t="n"/>
      <c r="W157" s="232" t="inlineStr">
        <is>
          <t>メッセージID</t>
        </is>
      </c>
      <c r="X157" s="162" t="n"/>
      <c r="Y157" s="163" t="n"/>
      <c r="Z157" s="232" t="inlineStr">
        <is>
          <t>埋め込み文字列</t>
        </is>
      </c>
      <c r="AA157" s="162" t="n"/>
      <c r="AB157" s="162" t="n"/>
      <c r="AC157" s="163" t="n"/>
      <c r="AD157" s="208" t="inlineStr">
        <is>
          <t>エラー発生時の
バリデーション
処理継続判定</t>
        </is>
      </c>
      <c r="AE157" s="162" t="n"/>
      <c r="AF157" s="162" t="n"/>
      <c r="AG157" s="163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>
      <c r="E158" s="29" t="n"/>
      <c r="F158" s="116" t="n">
        <v>1</v>
      </c>
      <c r="G158" s="229" t="inlineStr">
        <is>
          <t>単項目バリデーション</t>
        </is>
      </c>
      <c r="H158" s="162" t="n"/>
      <c r="I158" s="162" t="n"/>
      <c r="J158" s="162" t="n"/>
      <c r="K158" s="162" t="n"/>
      <c r="L158" s="163" t="n"/>
      <c r="M158" s="205" t="inlineStr">
        <is>
          <t>全ての入力項目に対して、指定ドメインに応じたバリデーションおよび必須チェックを実施し、入力内容の妥当性を確認する。</t>
        </is>
      </c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3" t="n"/>
      <c r="W158" s="206" t="inlineStr">
        <is>
          <t>（ドメイン別）</t>
        </is>
      </c>
      <c r="X158" s="162" t="n"/>
      <c r="Y158" s="163" t="n"/>
      <c r="Z158" s="205" t="inlineStr">
        <is>
          <t>（ドメイン別）</t>
        </is>
      </c>
      <c r="AA158" s="162" t="n"/>
      <c r="AB158" s="162" t="n"/>
      <c r="AC158" s="163" t="n"/>
      <c r="AD158" s="205" t="inlineStr">
        <is>
          <t>終了する</t>
        </is>
      </c>
      <c r="AE158" s="162" t="n"/>
      <c r="AF158" s="162" t="n"/>
      <c r="AG158" s="163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>
      <c r="E159" s="29" t="n"/>
      <c r="F159" s="116" t="n">
        <v>2</v>
      </c>
      <c r="G159" s="211" t="inlineStr">
        <is>
          <t>日付大小関係</t>
        </is>
      </c>
      <c r="H159" s="162" t="n"/>
      <c r="I159" s="162" t="n"/>
      <c r="J159" s="162" t="n"/>
      <c r="K159" s="162" t="n"/>
      <c r="L159" s="163" t="n"/>
      <c r="M159" s="221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3" t="n"/>
      <c r="W159" s="206" t="inlineStr">
        <is>
          <t>validator.periodConsistencyCheck.message.ProjectCreateForm</t>
        </is>
      </c>
      <c r="X159" s="162" t="n"/>
      <c r="Y159" s="163" t="n"/>
      <c r="Z159" s="205" t="inlineStr">
        <is>
          <t>なし</t>
        </is>
      </c>
      <c r="AA159" s="162" t="n"/>
      <c r="AB159" s="162" t="n"/>
      <c r="AC159" s="163" t="n"/>
      <c r="AD159" s="221" t="inlineStr">
        <is>
          <t>終了する</t>
        </is>
      </c>
      <c r="AE159" s="162" t="n"/>
      <c r="AF159" s="162" t="n"/>
      <c r="AG159" s="163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>
      <c r="E163" t="inlineStr">
        <is>
          <t>(2) DBアクセス（検索処理）</t>
        </is>
      </c>
    </row>
    <row r="164">
      <c r="F164" t="inlineStr">
        <is>
          <t>(a) 組織検索条件</t>
        </is>
      </c>
    </row>
    <row r="165">
      <c r="G165" t="inlineStr">
        <is>
          <t>Formの事業部、部門には登録画面で選択された組織の組織IDが設定されている。</t>
        </is>
      </c>
    </row>
    <row r="166">
      <c r="G166" t="inlineStr">
        <is>
          <t>画面には組織IDに対する組織名を表示する必要があるので、下記クエリにより組織名を取得する。</t>
        </is>
      </c>
    </row>
    <row r="167"/>
    <row r="168">
      <c r="G168" s="233" t="inlineStr">
        <is>
          <t>取得テーブル名</t>
        </is>
      </c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3" t="n"/>
      <c r="Q168" s="241" t="inlineStr">
        <is>
          <t>取得カラム名</t>
        </is>
      </c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3" t="n"/>
    </row>
    <row r="169" ht="11.25" customHeight="1">
      <c r="G169" s="219" t="inlineStr">
        <is>
          <t>組織</t>
        </is>
      </c>
      <c r="H169" s="167" t="n"/>
      <c r="I169" s="167" t="n"/>
      <c r="J169" s="167" t="n"/>
      <c r="K169" s="167" t="n"/>
      <c r="L169" s="167" t="n"/>
      <c r="M169" s="167" t="n"/>
      <c r="N169" s="167" t="n"/>
      <c r="O169" s="167" t="n"/>
      <c r="P169" s="168" t="n"/>
      <c r="Q169" s="214" t="inlineStr">
        <is>
          <t>組織名</t>
        </is>
      </c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3" t="n"/>
      <c r="AG169" s="144" t="n"/>
      <c r="AH169" s="144" t="n"/>
    </row>
    <row r="170">
      <c r="G170" s="242" t="inlineStr">
        <is>
          <t>検索条件</t>
        </is>
      </c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3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>
      <c r="E176" s="26" t="n"/>
      <c r="F176" s="26" t="n"/>
    </row>
    <row r="177">
      <c r="E177" s="29" t="n"/>
      <c r="F177" s="29" t="n"/>
    </row>
    <row r="178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258" t="n"/>
      <c r="F179" s="44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A2:D2"/>
    <mergeCell ref="I68:L68"/>
    <mergeCell ref="U63:Y63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AL70:AP70"/>
    <mergeCell ref="M70:T70"/>
    <mergeCell ref="AD71:AG71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W157:Y157"/>
    <mergeCell ref="AD64:AG64"/>
    <mergeCell ref="Q50:U50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Z66:AB66"/>
    <mergeCell ref="M63:T63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M66:T66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D65:AG65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3:D3"/>
    <mergeCell ref="G157:L157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9"/>
    <col width="4.83203125" customWidth="1" style="220" min="10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s="50" t="inlineStr">
        <is>
          <t>3. WA1020102(プロジェクト登録確認画面)</t>
        </is>
      </c>
    </row>
    <row r="6" ht="12" customHeight="1">
      <c r="C6" s="220" t="inlineStr">
        <is>
          <t>3.1. 画面レイアウト</t>
        </is>
      </c>
    </row>
    <row r="7" ht="12" customHeight="1">
      <c r="AJ7" s="140" t="n"/>
    </row>
    <row r="8" ht="12" customHeight="1"/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>
      <c r="C40" t="inlineStr">
        <is>
          <t>3.2. 一覧表示</t>
        </is>
      </c>
    </row>
    <row r="41" ht="12" customHeight="1"/>
    <row r="42" ht="12" customHeight="1">
      <c r="D42" s="97" t="inlineStr">
        <is>
          <t>No.</t>
        </is>
      </c>
      <c r="E42" s="253" t="inlineStr">
        <is>
          <t>領域名</t>
        </is>
      </c>
      <c r="F42" s="223" t="n"/>
      <c r="G42" s="223" t="n"/>
      <c r="H42" s="223" t="n"/>
      <c r="I42" s="223" t="n"/>
      <c r="J42" s="223" t="n"/>
      <c r="K42" s="223" t="n"/>
      <c r="L42" s="223" t="n"/>
      <c r="M42" s="224" t="n"/>
      <c r="N42" s="231" t="inlineStr">
        <is>
          <t>ページング有無</t>
        </is>
      </c>
      <c r="O42" s="223" t="n"/>
      <c r="P42" s="224" t="n"/>
      <c r="Q42" s="231" t="inlineStr">
        <is>
          <t>ソート条件</t>
        </is>
      </c>
      <c r="R42" s="223" t="n"/>
      <c r="S42" s="223" t="n"/>
      <c r="T42" s="223" t="n"/>
      <c r="U42" s="224" t="n"/>
      <c r="V42" s="253" t="inlineStr">
        <is>
          <t>備考</t>
        </is>
      </c>
      <c r="W42" s="223" t="n"/>
      <c r="X42" s="223" t="n"/>
      <c r="Y42" s="223" t="n"/>
      <c r="Z42" s="223" t="n"/>
      <c r="AA42" s="223" t="n"/>
      <c r="AB42" s="223" t="n"/>
      <c r="AC42" s="224" t="n"/>
    </row>
    <row r="43" ht="12" customHeight="1">
      <c r="D43" s="124" t="n">
        <v>1</v>
      </c>
      <c r="E43" s="244" t="inlineStr">
        <is>
          <t>‐</t>
        </is>
      </c>
      <c r="F43" s="203" t="n"/>
      <c r="G43" s="203" t="n"/>
      <c r="H43" s="203" t="n"/>
      <c r="I43" s="203" t="n"/>
      <c r="J43" s="203" t="n"/>
      <c r="K43" s="203" t="n"/>
      <c r="L43" s="203" t="n"/>
      <c r="M43" s="204" t="n"/>
      <c r="N43" s="244" t="inlineStr">
        <is>
          <t>‐</t>
        </is>
      </c>
      <c r="O43" s="203" t="n"/>
      <c r="P43" s="204" t="n"/>
      <c r="Q43" s="244" t="inlineStr">
        <is>
          <t>‐</t>
        </is>
      </c>
      <c r="R43" s="203" t="n"/>
      <c r="S43" s="203" t="n"/>
      <c r="T43" s="203" t="n"/>
      <c r="U43" s="204" t="n"/>
      <c r="V43" s="244" t="inlineStr">
        <is>
          <t>-</t>
        </is>
      </c>
      <c r="W43" s="203" t="n"/>
      <c r="X43" s="203" t="n"/>
      <c r="Y43" s="203" t="n"/>
      <c r="Z43" s="203" t="n"/>
      <c r="AA43" s="203" t="n"/>
      <c r="AB43" s="203" t="n"/>
      <c r="AC43" s="204" t="n"/>
    </row>
    <row r="44" ht="11.25" customHeight="1"/>
    <row r="45">
      <c r="C45" t="inlineStr">
        <is>
          <t>3.3. 画面項目定義</t>
        </is>
      </c>
      <c r="AK45" s="258" t="n"/>
      <c r="AL45" s="258" t="n"/>
      <c r="AM45" s="258" t="n"/>
      <c r="AN45" s="258" t="n"/>
      <c r="AO45" s="258" t="n"/>
      <c r="AP45" s="258" t="n"/>
      <c r="AQ45" s="258" t="n"/>
      <c r="AR45" s="258" t="n"/>
      <c r="AS45" s="258" t="n"/>
      <c r="AT45" s="258" t="n"/>
      <c r="AU45" s="258" t="n"/>
      <c r="AV45" s="258" t="n"/>
      <c r="AW45" s="258" t="n"/>
      <c r="AX45" s="258" t="n"/>
      <c r="AY45" s="258" t="n"/>
      <c r="AZ45" s="258" t="n"/>
      <c r="BA45" s="258" t="n"/>
    </row>
    <row r="46" customFormat="1" s="199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199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199">
      <c r="D48" s="198" t="inlineStr">
        <is>
          <t>No.</t>
        </is>
      </c>
      <c r="E48" s="198" t="inlineStr">
        <is>
          <t>表示情報</t>
        </is>
      </c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  <c r="AA48" s="162" t="n"/>
      <c r="AB48" s="162" t="n"/>
      <c r="AC48" s="163" t="n"/>
      <c r="AD48" s="198" t="inlineStr">
        <is>
          <t>ドメイン名</t>
        </is>
      </c>
      <c r="AE48" s="167" t="n"/>
      <c r="AF48" s="167" t="n"/>
      <c r="AG48" s="168" t="n"/>
      <c r="AH48" s="92" t="n"/>
      <c r="AI48" s="92" t="n"/>
      <c r="AJ48" s="92" t="n"/>
      <c r="AK48" s="44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199">
      <c r="D49" s="218" t="n"/>
      <c r="E49" s="198" t="inlineStr">
        <is>
          <t>画面項目名</t>
        </is>
      </c>
      <c r="F49" s="167" t="n"/>
      <c r="G49" s="167" t="n"/>
      <c r="H49" s="168" t="n"/>
      <c r="I49" s="240" t="inlineStr">
        <is>
          <t>画面項目種別</t>
        </is>
      </c>
      <c r="J49" s="167" t="n"/>
      <c r="K49" s="167" t="n"/>
      <c r="L49" s="168" t="n"/>
      <c r="M49" s="225" t="inlineStr">
        <is>
          <t>情報取得元</t>
        </is>
      </c>
      <c r="N49" s="167" t="n"/>
      <c r="O49" s="167" t="n"/>
      <c r="P49" s="167" t="n"/>
      <c r="Q49" s="167" t="n"/>
      <c r="R49" s="167" t="n"/>
      <c r="S49" s="167" t="n"/>
      <c r="T49" s="168" t="n"/>
      <c r="U49" s="198" t="inlineStr">
        <is>
          <t>編集仕様</t>
        </is>
      </c>
      <c r="V49" s="167" t="n"/>
      <c r="W49" s="167" t="n"/>
      <c r="X49" s="167" t="n"/>
      <c r="Y49" s="168" t="n"/>
      <c r="Z49" s="198" t="inlineStr">
        <is>
          <t>初期値</t>
        </is>
      </c>
      <c r="AA49" s="167" t="n"/>
      <c r="AB49" s="168" t="n"/>
      <c r="AC49" s="198" t="inlineStr">
        <is>
          <t>必須</t>
        </is>
      </c>
      <c r="AD49" s="169" t="n"/>
      <c r="AG49" s="171" t="n"/>
      <c r="AH49" s="92" t="n"/>
      <c r="AI49" s="92" t="n"/>
      <c r="AJ49" s="92" t="n"/>
      <c r="AK49" s="92" t="n"/>
      <c r="AL49" s="44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199">
      <c r="D50" s="210" t="n"/>
      <c r="E50" s="172" t="n"/>
      <c r="F50" s="173" t="n"/>
      <c r="G50" s="173" t="n"/>
      <c r="H50" s="174" t="n"/>
      <c r="I50" s="172" t="n"/>
      <c r="J50" s="173" t="n"/>
      <c r="K50" s="173" t="n"/>
      <c r="L50" s="174" t="n"/>
      <c r="M50" s="172" t="n"/>
      <c r="N50" s="173" t="n"/>
      <c r="O50" s="173" t="n"/>
      <c r="P50" s="173" t="n"/>
      <c r="Q50" s="173" t="n"/>
      <c r="R50" s="173" t="n"/>
      <c r="S50" s="173" t="n"/>
      <c r="T50" s="174" t="n"/>
      <c r="U50" s="172" t="n"/>
      <c r="V50" s="173" t="n"/>
      <c r="W50" s="173" t="n"/>
      <c r="X50" s="173" t="n"/>
      <c r="Y50" s="174" t="n"/>
      <c r="Z50" s="172" t="n"/>
      <c r="AA50" s="173" t="n"/>
      <c r="AB50" s="174" t="n"/>
      <c r="AC50" s="210" t="n"/>
      <c r="AD50" s="172" t="n"/>
      <c r="AE50" s="173" t="n"/>
      <c r="AF50" s="173" t="n"/>
      <c r="AG50" s="174" t="n"/>
      <c r="AH50" s="92" t="n"/>
      <c r="AI50" s="92" t="n"/>
      <c r="AJ50" s="92" t="n"/>
      <c r="AK50" s="92" t="n"/>
      <c r="AL50" s="212" t="inlineStr">
        <is>
          <t>画面項目名
（物理）</t>
        </is>
      </c>
      <c r="AM50" s="162" t="n"/>
      <c r="AN50" s="162" t="n"/>
      <c r="AO50" s="162" t="n"/>
      <c r="AP50" s="163" t="n"/>
      <c r="AQ50" s="92" t="n"/>
      <c r="AR50" s="92" t="n"/>
      <c r="AS50" s="92" t="n"/>
      <c r="AT50" s="92" t="n"/>
    </row>
    <row r="51" customFormat="1" s="199">
      <c r="D51" s="239" t="inlineStr">
        <is>
          <t>領域名：プロジェクト情報入力</t>
        </is>
      </c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  <c r="AA51" s="162" t="n"/>
      <c r="AB51" s="162" t="n"/>
      <c r="AC51" s="162" t="n"/>
      <c r="AD51" s="162" t="n"/>
      <c r="AE51" s="162" t="n"/>
      <c r="AF51" s="162" t="n"/>
      <c r="AG51" s="163" t="n"/>
      <c r="AH51" s="92" t="n"/>
      <c r="AI51" s="92" t="n"/>
      <c r="AJ51" s="92" t="n"/>
      <c r="AK51" s="92" t="n"/>
      <c r="AL51" s="251" t="inlineStr">
        <is>
          <t>-</t>
        </is>
      </c>
      <c r="AM51" s="162" t="n"/>
      <c r="AN51" s="162" t="n"/>
      <c r="AO51" s="162" t="n"/>
      <c r="AP51" s="163" t="n"/>
      <c r="AQ51" s="92" t="n"/>
      <c r="AR51" s="92" t="n"/>
      <c r="AS51" s="92" t="n"/>
      <c r="AT51" s="92" t="n"/>
    </row>
    <row r="52" ht="73.5" customFormat="1" customHeight="1" s="258">
      <c r="D52" s="158" t="n">
        <v>1</v>
      </c>
      <c r="E52" s="164" t="inlineStr">
        <is>
          <t>事業部</t>
        </is>
      </c>
      <c r="F52" s="162" t="n"/>
      <c r="G52" s="162" t="n"/>
      <c r="H52" s="163" t="n"/>
      <c r="I52" s="213" t="inlineStr">
        <is>
          <t>label</t>
        </is>
      </c>
      <c r="J52" s="162" t="n"/>
      <c r="K52" s="162" t="n"/>
      <c r="L52" s="163" t="n"/>
      <c r="M52" s="205" t="inlineStr">
        <is>
          <t>-</t>
        </is>
      </c>
      <c r="N52" s="162" t="n"/>
      <c r="O52" s="162" t="n"/>
      <c r="P52" s="162" t="n"/>
      <c r="Q52" s="162" t="n"/>
      <c r="R52" s="162" t="n"/>
      <c r="S52" s="162" t="n"/>
      <c r="T52" s="163" t="n"/>
      <c r="U52" s="175" t="inlineStr">
        <is>
          <t>組織IDに対する組織名
※組織マスタに当該組織IDが存在しない場合は空白</t>
        </is>
      </c>
      <c r="V52" s="162" t="n"/>
      <c r="W52" s="162" t="n"/>
      <c r="X52" s="162" t="n"/>
      <c r="Y52" s="163" t="n"/>
      <c r="Z52" s="175" t="inlineStr">
        <is>
          <t>-</t>
        </is>
      </c>
      <c r="AA52" s="162" t="n"/>
      <c r="AB52" s="163" t="n"/>
      <c r="AC52" s="142" t="inlineStr">
        <is>
          <t>○</t>
        </is>
      </c>
      <c r="AD52" s="175" t="inlineStr">
        <is>
          <t>組織ID</t>
        </is>
      </c>
      <c r="AE52" s="162" t="n"/>
      <c r="AF52" s="162" t="n"/>
      <c r="AG52" s="163" t="n"/>
      <c r="AL52" s="251" t="inlineStr">
        <is>
          <t>-</t>
        </is>
      </c>
      <c r="AM52" s="162" t="n"/>
      <c r="AN52" s="162" t="n"/>
      <c r="AO52" s="162" t="n"/>
      <c r="AP52" s="163" t="n"/>
    </row>
    <row r="53" ht="73.5" customFormat="1" customHeight="1" s="258">
      <c r="D53" s="158" t="n">
        <v>2</v>
      </c>
      <c r="E53" s="164" t="inlineStr">
        <is>
          <t>部門</t>
        </is>
      </c>
      <c r="F53" s="162" t="n"/>
      <c r="G53" s="162" t="n"/>
      <c r="H53" s="163" t="n"/>
      <c r="I53" s="213" t="inlineStr">
        <is>
          <t>label</t>
        </is>
      </c>
      <c r="J53" s="162" t="n"/>
      <c r="K53" s="162" t="n"/>
      <c r="L53" s="163" t="n"/>
      <c r="M53" s="205" t="inlineStr">
        <is>
          <t>-</t>
        </is>
      </c>
      <c r="N53" s="162" t="n"/>
      <c r="O53" s="162" t="n"/>
      <c r="P53" s="162" t="n"/>
      <c r="Q53" s="162" t="n"/>
      <c r="R53" s="162" t="n"/>
      <c r="S53" s="162" t="n"/>
      <c r="T53" s="163" t="n"/>
      <c r="U53" s="175" t="inlineStr">
        <is>
          <t>組織IDに対する組織名
※組織マスタに当該組織IDが存在しない場合は空白</t>
        </is>
      </c>
      <c r="V53" s="162" t="n"/>
      <c r="W53" s="162" t="n"/>
      <c r="X53" s="162" t="n"/>
      <c r="Y53" s="163" t="n"/>
      <c r="Z53" s="175" t="inlineStr">
        <is>
          <t>-</t>
        </is>
      </c>
      <c r="AA53" s="162" t="n"/>
      <c r="AB53" s="163" t="n"/>
      <c r="AC53" s="142" t="inlineStr">
        <is>
          <t>○</t>
        </is>
      </c>
      <c r="AD53" s="175" t="inlineStr">
        <is>
          <t>組織ID</t>
        </is>
      </c>
      <c r="AE53" s="162" t="n"/>
      <c r="AF53" s="162" t="n"/>
      <c r="AG53" s="163" t="n"/>
      <c r="AL53" s="251" t="inlineStr">
        <is>
          <t>-</t>
        </is>
      </c>
      <c r="AM53" s="162" t="n"/>
      <c r="AN53" s="162" t="n"/>
      <c r="AO53" s="162" t="n"/>
      <c r="AP53" s="163" t="n"/>
    </row>
    <row r="54" customFormat="1" s="199">
      <c r="D54" s="158" t="n">
        <v>3</v>
      </c>
      <c r="E54" s="164" t="inlineStr">
        <is>
          <t>PJ名</t>
        </is>
      </c>
      <c r="F54" s="162" t="n"/>
      <c r="G54" s="162" t="n"/>
      <c r="H54" s="163" t="n"/>
      <c r="I54" s="213" t="inlineStr">
        <is>
          <t>label</t>
        </is>
      </c>
      <c r="J54" s="162" t="n"/>
      <c r="K54" s="162" t="n"/>
      <c r="L54" s="163" t="n"/>
      <c r="M54" s="205" t="inlineStr">
        <is>
          <t>-</t>
        </is>
      </c>
      <c r="N54" s="162" t="n"/>
      <c r="O54" s="162" t="n"/>
      <c r="P54" s="162" t="n"/>
      <c r="Q54" s="162" t="n"/>
      <c r="R54" s="162" t="n"/>
      <c r="S54" s="162" t="n"/>
      <c r="T54" s="163" t="n"/>
      <c r="U54" s="175" t="inlineStr">
        <is>
          <t>-</t>
        </is>
      </c>
      <c r="V54" s="162" t="n"/>
      <c r="W54" s="162" t="n"/>
      <c r="X54" s="162" t="n"/>
      <c r="Y54" s="163" t="n"/>
      <c r="Z54" s="175" t="inlineStr">
        <is>
          <t>-</t>
        </is>
      </c>
      <c r="AA54" s="162" t="n"/>
      <c r="AB54" s="163" t="n"/>
      <c r="AC54" s="142" t="inlineStr">
        <is>
          <t>○</t>
        </is>
      </c>
      <c r="AD54" s="175" t="inlineStr">
        <is>
          <t>プロジェクト名</t>
        </is>
      </c>
      <c r="AE54" s="162" t="n"/>
      <c r="AF54" s="162" t="n"/>
      <c r="AG54" s="163" t="n"/>
      <c r="AH54" s="92" t="n"/>
      <c r="AI54" s="92" t="n"/>
      <c r="AJ54" s="92" t="n"/>
      <c r="AK54" s="92" t="n"/>
      <c r="AL54" s="251" t="inlineStr">
        <is>
          <t>-</t>
        </is>
      </c>
      <c r="AM54" s="162" t="n"/>
      <c r="AN54" s="162" t="n"/>
      <c r="AO54" s="162" t="n"/>
      <c r="AP54" s="163" t="n"/>
      <c r="AQ54" s="92" t="n"/>
      <c r="AR54" s="92" t="n"/>
      <c r="AS54" s="92" t="n"/>
      <c r="AT54" s="92" t="n"/>
    </row>
    <row r="55" ht="29.25" customFormat="1" customHeight="1" s="199">
      <c r="D55" s="158" t="n">
        <v>4</v>
      </c>
      <c r="E55" s="164" t="inlineStr">
        <is>
          <t>PJ種別</t>
        </is>
      </c>
      <c r="F55" s="162" t="n"/>
      <c r="G55" s="162" t="n"/>
      <c r="H55" s="163" t="n"/>
      <c r="I55" s="213" t="inlineStr">
        <is>
          <t>label</t>
        </is>
      </c>
      <c r="J55" s="162" t="n"/>
      <c r="K55" s="162" t="n"/>
      <c r="L55" s="163" t="n"/>
      <c r="M55" s="205" t="inlineStr">
        <is>
          <t>-</t>
        </is>
      </c>
      <c r="N55" s="162" t="n"/>
      <c r="O55" s="162" t="n"/>
      <c r="P55" s="162" t="n"/>
      <c r="Q55" s="162" t="n"/>
      <c r="R55" s="162" t="n"/>
      <c r="S55" s="162" t="n"/>
      <c r="T55" s="163" t="n"/>
      <c r="U55" s="175" t="inlineStr">
        <is>
          <t>PJ種別コードに対するPJ種別名</t>
        </is>
      </c>
      <c r="V55" s="162" t="n"/>
      <c r="W55" s="162" t="n"/>
      <c r="X55" s="162" t="n"/>
      <c r="Y55" s="163" t="n"/>
      <c r="Z55" s="175" t="inlineStr">
        <is>
          <t>-</t>
        </is>
      </c>
      <c r="AA55" s="162" t="n"/>
      <c r="AB55" s="163" t="n"/>
      <c r="AC55" s="142" t="inlineStr">
        <is>
          <t>○</t>
        </is>
      </c>
      <c r="AD55" s="175" t="inlineStr">
        <is>
          <t>プロジェクト種別</t>
        </is>
      </c>
      <c r="AE55" s="162" t="n"/>
      <c r="AF55" s="162" t="n"/>
      <c r="AG55" s="163" t="n"/>
      <c r="AH55" s="92" t="n"/>
      <c r="AI55" s="92" t="n"/>
      <c r="AJ55" s="92" t="n"/>
      <c r="AK55" s="92" t="n"/>
      <c r="AL55" s="251" t="inlineStr">
        <is>
          <t>-</t>
        </is>
      </c>
      <c r="AM55" s="162" t="n"/>
      <c r="AN55" s="162" t="n"/>
      <c r="AO55" s="162" t="n"/>
      <c r="AP55" s="163" t="n"/>
      <c r="AQ55" s="92" t="n"/>
      <c r="AR55" s="92" t="n"/>
      <c r="AS55" s="92" t="n"/>
      <c r="AT55" s="92" t="n"/>
    </row>
    <row r="56" ht="29.25" customFormat="1" customHeight="1" s="199">
      <c r="D56" s="158" t="n">
        <v>5</v>
      </c>
      <c r="E56" s="164" t="inlineStr">
        <is>
          <t>PJ分類</t>
        </is>
      </c>
      <c r="F56" s="162" t="n"/>
      <c r="G56" s="162" t="n"/>
      <c r="H56" s="163" t="n"/>
      <c r="I56" s="213" t="inlineStr">
        <is>
          <t>label</t>
        </is>
      </c>
      <c r="J56" s="162" t="n"/>
      <c r="K56" s="162" t="n"/>
      <c r="L56" s="163" t="n"/>
      <c r="M56" s="205" t="inlineStr">
        <is>
          <t>-</t>
        </is>
      </c>
      <c r="N56" s="162" t="n"/>
      <c r="O56" s="162" t="n"/>
      <c r="P56" s="162" t="n"/>
      <c r="Q56" s="162" t="n"/>
      <c r="R56" s="162" t="n"/>
      <c r="S56" s="162" t="n"/>
      <c r="T56" s="163" t="n"/>
      <c r="U56" s="175" t="inlineStr">
        <is>
          <t>PJ分類コードに対するPJ分類名</t>
        </is>
      </c>
      <c r="V56" s="162" t="n"/>
      <c r="W56" s="162" t="n"/>
      <c r="X56" s="162" t="n"/>
      <c r="Y56" s="163" t="n"/>
      <c r="Z56" s="175" t="inlineStr">
        <is>
          <t>-</t>
        </is>
      </c>
      <c r="AA56" s="162" t="n"/>
      <c r="AB56" s="163" t="n"/>
      <c r="AC56" s="142" t="inlineStr">
        <is>
          <t>○</t>
        </is>
      </c>
      <c r="AD56" s="175" t="inlineStr">
        <is>
          <t>プロジェクト分類</t>
        </is>
      </c>
      <c r="AE56" s="162" t="n"/>
      <c r="AF56" s="162" t="n"/>
      <c r="AG56" s="163" t="n"/>
      <c r="AH56" s="92" t="n"/>
      <c r="AI56" s="92" t="n"/>
      <c r="AJ56" s="92" t="n"/>
      <c r="AK56" s="92" t="n"/>
      <c r="AL56" s="251" t="inlineStr">
        <is>
          <t>-</t>
        </is>
      </c>
      <c r="AM56" s="162" t="n"/>
      <c r="AN56" s="162" t="n"/>
      <c r="AO56" s="162" t="n"/>
      <c r="AP56" s="163" t="n"/>
      <c r="AQ56" s="92" t="n"/>
      <c r="AR56" s="92" t="n"/>
      <c r="AS56" s="92" t="n"/>
      <c r="AT56" s="92" t="n"/>
    </row>
    <row r="57" ht="52.5" customHeight="1">
      <c r="D57" s="158" t="n">
        <v>6</v>
      </c>
      <c r="E57" s="164" t="inlineStr">
        <is>
          <t>売上高(千円)</t>
        </is>
      </c>
      <c r="F57" s="162" t="n"/>
      <c r="G57" s="162" t="n"/>
      <c r="H57" s="163" t="n"/>
      <c r="I57" s="213" t="inlineStr">
        <is>
          <t>label</t>
        </is>
      </c>
      <c r="J57" s="162" t="n"/>
      <c r="K57" s="162" t="n"/>
      <c r="L57" s="163" t="n"/>
      <c r="M57" s="205" t="inlineStr">
        <is>
          <t>-</t>
        </is>
      </c>
      <c r="N57" s="162" t="n"/>
      <c r="O57" s="162" t="n"/>
      <c r="P57" s="162" t="n"/>
      <c r="Q57" s="162" t="n"/>
      <c r="R57" s="162" t="n"/>
      <c r="S57" s="162" t="n"/>
      <c r="T57" s="163" t="n"/>
      <c r="U57" s="175" t="inlineStr">
        <is>
          <t>＜表示変換:10進数変換＞
3桁ごとにカンマ区切り
を表示する。</t>
        </is>
      </c>
      <c r="V57" s="162" t="n"/>
      <c r="W57" s="162" t="n"/>
      <c r="X57" s="162" t="n"/>
      <c r="Y57" s="163" t="n"/>
      <c r="Z57" s="175" t="inlineStr">
        <is>
          <t>-</t>
        </is>
      </c>
      <c r="AA57" s="162" t="n"/>
      <c r="AB57" s="163" t="n"/>
      <c r="AC57" s="142" t="inlineStr">
        <is>
          <t>-</t>
        </is>
      </c>
      <c r="AD57" s="175" t="inlineStr">
        <is>
          <t>金額</t>
        </is>
      </c>
      <c r="AE57" s="162" t="n"/>
      <c r="AF57" s="162" t="n"/>
      <c r="AG57" s="163" t="n"/>
      <c r="AL57" s="251" t="inlineStr">
        <is>
          <t>-</t>
        </is>
      </c>
      <c r="AM57" s="162" t="n"/>
      <c r="AN57" s="162" t="n"/>
      <c r="AO57" s="162" t="n"/>
      <c r="AP57" s="163" t="n"/>
    </row>
    <row r="58" ht="47.25" customFormat="1" customHeight="1" s="258">
      <c r="D58" s="158" t="n">
        <v>7</v>
      </c>
      <c r="E58" s="164" t="inlineStr">
        <is>
          <t>顧客</t>
        </is>
      </c>
      <c r="F58" s="162" t="n"/>
      <c r="G58" s="162" t="n"/>
      <c r="H58" s="163" t="n"/>
      <c r="I58" s="213" t="inlineStr">
        <is>
          <t>label</t>
        </is>
      </c>
      <c r="J58" s="162" t="n"/>
      <c r="K58" s="162" t="n"/>
      <c r="L58" s="163" t="n"/>
      <c r="M58" s="205" t="inlineStr">
        <is>
          <t>-</t>
        </is>
      </c>
      <c r="N58" s="162" t="n"/>
      <c r="O58" s="162" t="n"/>
      <c r="P58" s="162" t="n"/>
      <c r="Q58" s="162" t="n"/>
      <c r="R58" s="162" t="n"/>
      <c r="S58" s="162" t="n"/>
      <c r="T58" s="163" t="n"/>
      <c r="U58" s="175" t="inlineStr">
        <is>
          <t>顧客IDに対する顧客名</t>
        </is>
      </c>
      <c r="V58" s="162" t="n"/>
      <c r="W58" s="162" t="n"/>
      <c r="X58" s="162" t="n"/>
      <c r="Y58" s="163" t="n"/>
      <c r="Z58" s="175" t="inlineStr">
        <is>
          <t>-</t>
        </is>
      </c>
      <c r="AA58" s="162" t="n"/>
      <c r="AB58" s="163" t="n"/>
      <c r="AC58" s="142" t="inlineStr">
        <is>
          <t>○</t>
        </is>
      </c>
      <c r="AD58" s="175" t="inlineStr">
        <is>
          <t>顧客名</t>
        </is>
      </c>
      <c r="AE58" s="162" t="n"/>
      <c r="AF58" s="162" t="n"/>
      <c r="AG58" s="163" t="n"/>
      <c r="AL58" s="251" t="inlineStr">
        <is>
          <t>-</t>
        </is>
      </c>
      <c r="AM58" s="162" t="n"/>
      <c r="AN58" s="162" t="n"/>
      <c r="AO58" s="162" t="n"/>
      <c r="AP58" s="163" t="n"/>
    </row>
    <row r="59" customFormat="1" s="258">
      <c r="D59" s="158" t="n">
        <v>8</v>
      </c>
      <c r="E59" s="164" t="inlineStr">
        <is>
          <t>PM</t>
        </is>
      </c>
      <c r="F59" s="162" t="n"/>
      <c r="G59" s="162" t="n"/>
      <c r="H59" s="163" t="n"/>
      <c r="I59" s="213" t="inlineStr">
        <is>
          <t>label</t>
        </is>
      </c>
      <c r="J59" s="162" t="n"/>
      <c r="K59" s="162" t="n"/>
      <c r="L59" s="163" t="n"/>
      <c r="M59" s="205" t="inlineStr">
        <is>
          <t>-</t>
        </is>
      </c>
      <c r="N59" s="162" t="n"/>
      <c r="O59" s="162" t="n"/>
      <c r="P59" s="162" t="n"/>
      <c r="Q59" s="162" t="n"/>
      <c r="R59" s="162" t="n"/>
      <c r="S59" s="162" t="n"/>
      <c r="T59" s="163" t="n"/>
      <c r="U59" s="175" t="inlineStr">
        <is>
          <t>-</t>
        </is>
      </c>
      <c r="V59" s="162" t="n"/>
      <c r="W59" s="162" t="n"/>
      <c r="X59" s="162" t="n"/>
      <c r="Y59" s="163" t="n"/>
      <c r="Z59" s="175" t="inlineStr">
        <is>
          <t>-</t>
        </is>
      </c>
      <c r="AA59" s="162" t="n"/>
      <c r="AB59" s="163" t="n"/>
      <c r="AC59" s="142" t="inlineStr">
        <is>
          <t>○</t>
        </is>
      </c>
      <c r="AD59" s="175" t="inlineStr">
        <is>
          <t>ユーザ氏名（漢字）</t>
        </is>
      </c>
      <c r="AE59" s="162" t="n"/>
      <c r="AF59" s="162" t="n"/>
      <c r="AG59" s="163" t="n"/>
      <c r="AL59" s="251" t="inlineStr">
        <is>
          <t>-</t>
        </is>
      </c>
      <c r="AM59" s="162" t="n"/>
      <c r="AN59" s="162" t="n"/>
      <c r="AO59" s="162" t="n"/>
      <c r="AP59" s="163" t="n"/>
      <c r="AV59" s="75" t="n"/>
    </row>
    <row r="60" customFormat="1" s="258">
      <c r="D60" s="158" t="n">
        <v>9</v>
      </c>
      <c r="E60" s="164" t="inlineStr">
        <is>
          <t>PL</t>
        </is>
      </c>
      <c r="F60" s="162" t="n"/>
      <c r="G60" s="162" t="n"/>
      <c r="H60" s="163" t="n"/>
      <c r="I60" s="213" t="inlineStr">
        <is>
          <t>label</t>
        </is>
      </c>
      <c r="J60" s="162" t="n"/>
      <c r="K60" s="162" t="n"/>
      <c r="L60" s="163" t="n"/>
      <c r="M60" s="205" t="inlineStr">
        <is>
          <t>-</t>
        </is>
      </c>
      <c r="N60" s="162" t="n"/>
      <c r="O60" s="162" t="n"/>
      <c r="P60" s="162" t="n"/>
      <c r="Q60" s="162" t="n"/>
      <c r="R60" s="162" t="n"/>
      <c r="S60" s="162" t="n"/>
      <c r="T60" s="163" t="n"/>
      <c r="U60" s="175" t="inlineStr">
        <is>
          <t>-</t>
        </is>
      </c>
      <c r="V60" s="162" t="n"/>
      <c r="W60" s="162" t="n"/>
      <c r="X60" s="162" t="n"/>
      <c r="Y60" s="163" t="n"/>
      <c r="Z60" s="175" t="inlineStr">
        <is>
          <t>-</t>
        </is>
      </c>
      <c r="AA60" s="162" t="n"/>
      <c r="AB60" s="163" t="n"/>
      <c r="AC60" s="142" t="inlineStr">
        <is>
          <t>○</t>
        </is>
      </c>
      <c r="AD60" s="175" t="inlineStr">
        <is>
          <t>ユーザ氏名（漢字）</t>
        </is>
      </c>
      <c r="AE60" s="162" t="n"/>
      <c r="AF60" s="162" t="n"/>
      <c r="AG60" s="163" t="n"/>
      <c r="AL60" s="251" t="inlineStr">
        <is>
          <t>-</t>
        </is>
      </c>
      <c r="AM60" s="162" t="n"/>
      <c r="AN60" s="162" t="n"/>
      <c r="AO60" s="162" t="n"/>
      <c r="AP60" s="163" t="n"/>
      <c r="AR60" s="92" t="n"/>
      <c r="AS60" s="92" t="n"/>
    </row>
    <row r="61" ht="22.5" customFormat="1" customHeight="1" s="199">
      <c r="D61" s="158" t="n">
        <v>10</v>
      </c>
      <c r="E61" s="175" t="inlineStr">
        <is>
          <t>開始日</t>
        </is>
      </c>
      <c r="F61" s="162" t="n"/>
      <c r="G61" s="162" t="n"/>
      <c r="H61" s="163" t="n"/>
      <c r="I61" s="213" t="inlineStr">
        <is>
          <t>label</t>
        </is>
      </c>
      <c r="J61" s="162" t="n"/>
      <c r="K61" s="162" t="n"/>
      <c r="L61" s="163" t="n"/>
      <c r="M61" s="205" t="inlineStr">
        <is>
          <t>-</t>
        </is>
      </c>
      <c r="N61" s="162" t="n"/>
      <c r="O61" s="162" t="n"/>
      <c r="P61" s="162" t="n"/>
      <c r="Q61" s="162" t="n"/>
      <c r="R61" s="162" t="n"/>
      <c r="S61" s="162" t="n"/>
      <c r="T61" s="163" t="n"/>
      <c r="U61" s="175" t="inlineStr">
        <is>
          <t>＜表示変換:日付変換＞
yyyy/MM/dd</t>
        </is>
      </c>
      <c r="V61" s="162" t="n"/>
      <c r="W61" s="162" t="n"/>
      <c r="X61" s="162" t="n"/>
      <c r="Y61" s="163" t="n"/>
      <c r="Z61" s="175" t="inlineStr">
        <is>
          <t>-</t>
        </is>
      </c>
      <c r="AA61" s="162" t="n"/>
      <c r="AB61" s="163" t="n"/>
      <c r="AC61" s="142" t="inlineStr">
        <is>
          <t>○</t>
        </is>
      </c>
      <c r="AD61" s="175" t="inlineStr">
        <is>
          <t>日付</t>
        </is>
      </c>
      <c r="AE61" s="162" t="n"/>
      <c r="AF61" s="162" t="n"/>
      <c r="AG61" s="163" t="n"/>
      <c r="AH61" s="92" t="n"/>
      <c r="AI61" s="92" t="n"/>
      <c r="AJ61" s="92" t="n"/>
      <c r="AK61" s="92" t="n"/>
      <c r="AL61" s="251" t="inlineStr">
        <is>
          <t>-</t>
        </is>
      </c>
      <c r="AM61" s="162" t="n"/>
      <c r="AN61" s="162" t="n"/>
      <c r="AO61" s="162" t="n"/>
      <c r="AP61" s="163" t="n"/>
      <c r="AQ61" s="92" t="n"/>
      <c r="AR61" s="92" t="n"/>
    </row>
    <row r="62" ht="22.5" customFormat="1" customHeight="1" s="258">
      <c r="D62" s="158" t="n">
        <v>11</v>
      </c>
      <c r="E62" s="175" t="inlineStr">
        <is>
          <t>終了日</t>
        </is>
      </c>
      <c r="F62" s="162" t="n"/>
      <c r="G62" s="162" t="n"/>
      <c r="H62" s="163" t="n"/>
      <c r="I62" s="213" t="inlineStr">
        <is>
          <t>label</t>
        </is>
      </c>
      <c r="J62" s="162" t="n"/>
      <c r="K62" s="162" t="n"/>
      <c r="L62" s="163" t="n"/>
      <c r="M62" s="205" t="inlineStr">
        <is>
          <t>-</t>
        </is>
      </c>
      <c r="N62" s="162" t="n"/>
      <c r="O62" s="162" t="n"/>
      <c r="P62" s="162" t="n"/>
      <c r="Q62" s="162" t="n"/>
      <c r="R62" s="162" t="n"/>
      <c r="S62" s="162" t="n"/>
      <c r="T62" s="163" t="n"/>
      <c r="U62" s="175" t="inlineStr">
        <is>
          <t>＜表示変換:日付変換＞
yyyy/MM/dd</t>
        </is>
      </c>
      <c r="V62" s="162" t="n"/>
      <c r="W62" s="162" t="n"/>
      <c r="X62" s="162" t="n"/>
      <c r="Y62" s="163" t="n"/>
      <c r="Z62" s="175" t="inlineStr">
        <is>
          <t>-</t>
        </is>
      </c>
      <c r="AA62" s="162" t="n"/>
      <c r="AB62" s="163" t="n"/>
      <c r="AC62" s="142" t="inlineStr">
        <is>
          <t>○</t>
        </is>
      </c>
      <c r="AD62" s="175" t="inlineStr">
        <is>
          <t>日付</t>
        </is>
      </c>
      <c r="AE62" s="162" t="n"/>
      <c r="AF62" s="162" t="n"/>
      <c r="AG62" s="163" t="n"/>
      <c r="AL62" s="251" t="inlineStr">
        <is>
          <t>-</t>
        </is>
      </c>
      <c r="AM62" s="162" t="n"/>
      <c r="AN62" s="162" t="n"/>
      <c r="AO62" s="162" t="n"/>
      <c r="AP62" s="163" t="n"/>
    </row>
    <row r="63" ht="28.5" customHeight="1">
      <c r="D63" s="158" t="n">
        <v>12</v>
      </c>
      <c r="E63" s="164" t="inlineStr">
        <is>
          <t>備考</t>
        </is>
      </c>
      <c r="F63" s="162" t="n"/>
      <c r="G63" s="162" t="n"/>
      <c r="H63" s="163" t="n"/>
      <c r="I63" s="213" t="inlineStr">
        <is>
          <t>label</t>
        </is>
      </c>
      <c r="J63" s="162" t="n"/>
      <c r="K63" s="162" t="n"/>
      <c r="L63" s="163" t="n"/>
      <c r="M63" s="205" t="inlineStr">
        <is>
          <t>-</t>
        </is>
      </c>
      <c r="N63" s="162" t="n"/>
      <c r="O63" s="162" t="n"/>
      <c r="P63" s="162" t="n"/>
      <c r="Q63" s="162" t="n"/>
      <c r="R63" s="162" t="n"/>
      <c r="S63" s="162" t="n"/>
      <c r="T63" s="163" t="n"/>
      <c r="U63" s="175" t="inlineStr">
        <is>
          <t>改行が含まれる場合は改行を再現すること。</t>
        </is>
      </c>
      <c r="V63" s="162" t="n"/>
      <c r="W63" s="162" t="n"/>
      <c r="X63" s="162" t="n"/>
      <c r="Y63" s="163" t="n"/>
      <c r="Z63" s="175" t="inlineStr">
        <is>
          <t>-</t>
        </is>
      </c>
      <c r="AA63" s="162" t="n"/>
      <c r="AB63" s="163" t="n"/>
      <c r="AC63" s="142" t="inlineStr">
        <is>
          <t>-</t>
        </is>
      </c>
      <c r="AD63" s="175" t="inlineStr">
        <is>
          <t>備考</t>
        </is>
      </c>
      <c r="AE63" s="162" t="n"/>
      <c r="AF63" s="162" t="n"/>
      <c r="AG63" s="163" t="n"/>
      <c r="AL63" s="251" t="inlineStr">
        <is>
          <t>-</t>
        </is>
      </c>
      <c r="AM63" s="162" t="n"/>
      <c r="AN63" s="162" t="n"/>
      <c r="AO63" s="162" t="n"/>
      <c r="AP63" s="163" t="n"/>
    </row>
    <row r="64" ht="73.5" customFormat="1" customHeight="1" s="258">
      <c r="D64" s="158" t="n">
        <v>13</v>
      </c>
      <c r="E64" s="164" t="inlineStr">
        <is>
          <t>事業部</t>
        </is>
      </c>
      <c r="F64" s="162" t="n"/>
      <c r="G64" s="162" t="n"/>
      <c r="H64" s="163" t="n"/>
      <c r="I64" s="213" t="inlineStr">
        <is>
          <t>hidden</t>
        </is>
      </c>
      <c r="J64" s="162" t="n"/>
      <c r="K64" s="162" t="n"/>
      <c r="L64" s="163" t="n"/>
      <c r="M64" s="205" t="inlineStr">
        <is>
          <t>-</t>
        </is>
      </c>
      <c r="N64" s="162" t="n"/>
      <c r="O64" s="162" t="n"/>
      <c r="P64" s="162" t="n"/>
      <c r="Q64" s="162" t="n"/>
      <c r="R64" s="162" t="n"/>
      <c r="S64" s="162" t="n"/>
      <c r="T64" s="163" t="n"/>
      <c r="U64" s="175" t="inlineStr">
        <is>
          <t>-</t>
        </is>
      </c>
      <c r="V64" s="162" t="n"/>
      <c r="W64" s="162" t="n"/>
      <c r="X64" s="162" t="n"/>
      <c r="Y64" s="163" t="n"/>
      <c r="Z64" s="175" t="inlineStr">
        <is>
          <t>-</t>
        </is>
      </c>
      <c r="AA64" s="162" t="n"/>
      <c r="AB64" s="163" t="n"/>
      <c r="AC64" s="142" t="inlineStr">
        <is>
          <t>○</t>
        </is>
      </c>
      <c r="AD64" s="175" t="inlineStr">
        <is>
          <t>組織ID</t>
        </is>
      </c>
      <c r="AE64" s="162" t="n"/>
      <c r="AF64" s="162" t="n"/>
      <c r="AG64" s="163" t="n"/>
      <c r="AL64" s="164" t="inlineStr">
        <is>
          <t>divisionId</t>
        </is>
      </c>
      <c r="AM64" s="162" t="n"/>
      <c r="AN64" s="162" t="n"/>
      <c r="AO64" s="162" t="n"/>
      <c r="AP64" s="163" t="n"/>
    </row>
    <row r="65" ht="73.5" customFormat="1" customHeight="1" s="258">
      <c r="D65" s="158" t="n">
        <v>14</v>
      </c>
      <c r="E65" s="164" t="inlineStr">
        <is>
          <t>部門</t>
        </is>
      </c>
      <c r="F65" s="162" t="n"/>
      <c r="G65" s="162" t="n"/>
      <c r="H65" s="163" t="n"/>
      <c r="I65" s="213" t="inlineStr">
        <is>
          <t>hidden</t>
        </is>
      </c>
      <c r="J65" s="162" t="n"/>
      <c r="K65" s="162" t="n"/>
      <c r="L65" s="163" t="n"/>
      <c r="M65" s="205" t="inlineStr">
        <is>
          <t>-</t>
        </is>
      </c>
      <c r="N65" s="162" t="n"/>
      <c r="O65" s="162" t="n"/>
      <c r="P65" s="162" t="n"/>
      <c r="Q65" s="162" t="n"/>
      <c r="R65" s="162" t="n"/>
      <c r="S65" s="162" t="n"/>
      <c r="T65" s="163" t="n"/>
      <c r="U65" s="175" t="inlineStr">
        <is>
          <t>-</t>
        </is>
      </c>
      <c r="V65" s="162" t="n"/>
      <c r="W65" s="162" t="n"/>
      <c r="X65" s="162" t="n"/>
      <c r="Y65" s="163" t="n"/>
      <c r="Z65" s="175" t="inlineStr">
        <is>
          <t>-</t>
        </is>
      </c>
      <c r="AA65" s="162" t="n"/>
      <c r="AB65" s="163" t="n"/>
      <c r="AC65" s="142" t="inlineStr">
        <is>
          <t>○</t>
        </is>
      </c>
      <c r="AD65" s="175" t="inlineStr">
        <is>
          <t>組織ID</t>
        </is>
      </c>
      <c r="AE65" s="162" t="n"/>
      <c r="AF65" s="162" t="n"/>
      <c r="AG65" s="163" t="n"/>
      <c r="AL65" s="164" t="inlineStr">
        <is>
          <t>organizationId</t>
        </is>
      </c>
      <c r="AM65" s="162" t="n"/>
      <c r="AN65" s="162" t="n"/>
      <c r="AO65" s="162" t="n"/>
      <c r="AP65" s="163" t="n"/>
    </row>
    <row r="66" ht="11.25" customFormat="1" customHeight="1" s="199">
      <c r="D66" s="158" t="n">
        <v>15</v>
      </c>
      <c r="E66" s="164" t="inlineStr">
        <is>
          <t>PJ名</t>
        </is>
      </c>
      <c r="F66" s="162" t="n"/>
      <c r="G66" s="162" t="n"/>
      <c r="H66" s="163" t="n"/>
      <c r="I66" s="213" t="inlineStr">
        <is>
          <t>hidden</t>
        </is>
      </c>
      <c r="J66" s="162" t="n"/>
      <c r="K66" s="162" t="n"/>
      <c r="L66" s="163" t="n"/>
      <c r="M66" s="205" t="inlineStr">
        <is>
          <t>-</t>
        </is>
      </c>
      <c r="N66" s="162" t="n"/>
      <c r="O66" s="162" t="n"/>
      <c r="P66" s="162" t="n"/>
      <c r="Q66" s="162" t="n"/>
      <c r="R66" s="162" t="n"/>
      <c r="S66" s="162" t="n"/>
      <c r="T66" s="163" t="n"/>
      <c r="U66" s="175" t="inlineStr">
        <is>
          <t>-</t>
        </is>
      </c>
      <c r="V66" s="162" t="n"/>
      <c r="W66" s="162" t="n"/>
      <c r="X66" s="162" t="n"/>
      <c r="Y66" s="163" t="n"/>
      <c r="Z66" s="175" t="inlineStr">
        <is>
          <t>-</t>
        </is>
      </c>
      <c r="AA66" s="162" t="n"/>
      <c r="AB66" s="163" t="n"/>
      <c r="AC66" s="142" t="inlineStr">
        <is>
          <t>○</t>
        </is>
      </c>
      <c r="AD66" s="175" t="inlineStr">
        <is>
          <t>プロジェクト名</t>
        </is>
      </c>
      <c r="AE66" s="162" t="n"/>
      <c r="AF66" s="162" t="n"/>
      <c r="AG66" s="163" t="n"/>
      <c r="AH66" s="92" t="n"/>
      <c r="AI66" s="92" t="n"/>
      <c r="AJ66" s="92" t="n"/>
      <c r="AK66" s="92" t="n"/>
      <c r="AL66" s="164" t="inlineStr">
        <is>
          <t>projectName</t>
        </is>
      </c>
      <c r="AM66" s="162" t="n"/>
      <c r="AN66" s="162" t="n"/>
      <c r="AO66" s="162" t="n"/>
      <c r="AP66" s="163" t="n"/>
      <c r="AQ66" s="92" t="n"/>
      <c r="AR66" s="92" t="n"/>
      <c r="AS66" s="92" t="n"/>
      <c r="AT66" s="92" t="n"/>
    </row>
    <row r="67" ht="29.25" customFormat="1" customHeight="1" s="199">
      <c r="D67" s="158" t="n">
        <v>16</v>
      </c>
      <c r="E67" s="164" t="inlineStr">
        <is>
          <t>PJ種別</t>
        </is>
      </c>
      <c r="F67" s="162" t="n"/>
      <c r="G67" s="162" t="n"/>
      <c r="H67" s="163" t="n"/>
      <c r="I67" s="213" t="inlineStr">
        <is>
          <t>hidden</t>
        </is>
      </c>
      <c r="J67" s="162" t="n"/>
      <c r="K67" s="162" t="n"/>
      <c r="L67" s="163" t="n"/>
      <c r="M67" s="205" t="inlineStr">
        <is>
          <t>-</t>
        </is>
      </c>
      <c r="N67" s="162" t="n"/>
      <c r="O67" s="162" t="n"/>
      <c r="P67" s="162" t="n"/>
      <c r="Q67" s="162" t="n"/>
      <c r="R67" s="162" t="n"/>
      <c r="S67" s="162" t="n"/>
      <c r="T67" s="163" t="n"/>
      <c r="U67" s="175" t="inlineStr">
        <is>
          <t>-</t>
        </is>
      </c>
      <c r="V67" s="162" t="n"/>
      <c r="W67" s="162" t="n"/>
      <c r="X67" s="162" t="n"/>
      <c r="Y67" s="163" t="n"/>
      <c r="Z67" s="175" t="inlineStr">
        <is>
          <t>-</t>
        </is>
      </c>
      <c r="AA67" s="162" t="n"/>
      <c r="AB67" s="163" t="n"/>
      <c r="AC67" s="142" t="inlineStr">
        <is>
          <t>○</t>
        </is>
      </c>
      <c r="AD67" s="175" t="inlineStr">
        <is>
          <t>プロジェクト種別</t>
        </is>
      </c>
      <c r="AE67" s="162" t="n"/>
      <c r="AF67" s="162" t="n"/>
      <c r="AG67" s="163" t="n"/>
      <c r="AH67" s="92" t="n"/>
      <c r="AI67" s="92" t="n"/>
      <c r="AJ67" s="92" t="n"/>
      <c r="AK67" s="92" t="n"/>
      <c r="AL67" s="164" t="inlineStr">
        <is>
          <t>projectType</t>
        </is>
      </c>
      <c r="AM67" s="162" t="n"/>
      <c r="AN67" s="162" t="n"/>
      <c r="AO67" s="162" t="n"/>
      <c r="AP67" s="163" t="n"/>
      <c r="AQ67" s="92" t="n"/>
      <c r="AR67" s="92" t="n"/>
      <c r="AS67" s="92" t="n"/>
      <c r="AT67" s="92" t="n"/>
    </row>
    <row r="68" ht="29.25" customFormat="1" customHeight="1" s="199">
      <c r="D68" s="158" t="n">
        <v>17</v>
      </c>
      <c r="E68" s="164" t="inlineStr">
        <is>
          <t>PJ分類</t>
        </is>
      </c>
      <c r="F68" s="162" t="n"/>
      <c r="G68" s="162" t="n"/>
      <c r="H68" s="163" t="n"/>
      <c r="I68" s="213" t="inlineStr">
        <is>
          <t>hidden</t>
        </is>
      </c>
      <c r="J68" s="162" t="n"/>
      <c r="K68" s="162" t="n"/>
      <c r="L68" s="163" t="n"/>
      <c r="M68" s="205" t="inlineStr">
        <is>
          <t>-</t>
        </is>
      </c>
      <c r="N68" s="162" t="n"/>
      <c r="O68" s="162" t="n"/>
      <c r="P68" s="162" t="n"/>
      <c r="Q68" s="162" t="n"/>
      <c r="R68" s="162" t="n"/>
      <c r="S68" s="162" t="n"/>
      <c r="T68" s="163" t="n"/>
      <c r="U68" s="175" t="inlineStr">
        <is>
          <t>-</t>
        </is>
      </c>
      <c r="V68" s="162" t="n"/>
      <c r="W68" s="162" t="n"/>
      <c r="X68" s="162" t="n"/>
      <c r="Y68" s="163" t="n"/>
      <c r="Z68" s="175" t="inlineStr">
        <is>
          <t>-</t>
        </is>
      </c>
      <c r="AA68" s="162" t="n"/>
      <c r="AB68" s="163" t="n"/>
      <c r="AC68" s="142" t="inlineStr">
        <is>
          <t>○</t>
        </is>
      </c>
      <c r="AD68" s="175" t="inlineStr">
        <is>
          <t>プロジェクト分類</t>
        </is>
      </c>
      <c r="AE68" s="162" t="n"/>
      <c r="AF68" s="162" t="n"/>
      <c r="AG68" s="163" t="n"/>
      <c r="AH68" s="92" t="n"/>
      <c r="AI68" s="92" t="n"/>
      <c r="AJ68" s="92" t="n"/>
      <c r="AK68" s="92" t="n"/>
      <c r="AL68" s="164" t="inlineStr">
        <is>
          <t>projectClass</t>
        </is>
      </c>
      <c r="AM68" s="162" t="n"/>
      <c r="AN68" s="162" t="n"/>
      <c r="AO68" s="162" t="n"/>
      <c r="AP68" s="163" t="n"/>
      <c r="AQ68" s="92" t="n"/>
      <c r="AR68" s="92" t="n"/>
      <c r="AS68" s="92" t="n"/>
      <c r="AT68" s="92" t="n"/>
    </row>
    <row r="69" ht="52.5" customHeight="1">
      <c r="D69" s="158" t="n">
        <v>18</v>
      </c>
      <c r="E69" s="164" t="inlineStr">
        <is>
          <t>売上高(千円)</t>
        </is>
      </c>
      <c r="F69" s="162" t="n"/>
      <c r="G69" s="162" t="n"/>
      <c r="H69" s="163" t="n"/>
      <c r="I69" s="213" t="inlineStr">
        <is>
          <t>hidden</t>
        </is>
      </c>
      <c r="J69" s="162" t="n"/>
      <c r="K69" s="162" t="n"/>
      <c r="L69" s="163" t="n"/>
      <c r="M69" s="205" t="inlineStr">
        <is>
          <t>-</t>
        </is>
      </c>
      <c r="N69" s="162" t="n"/>
      <c r="O69" s="162" t="n"/>
      <c r="P69" s="162" t="n"/>
      <c r="Q69" s="162" t="n"/>
      <c r="R69" s="162" t="n"/>
      <c r="S69" s="162" t="n"/>
      <c r="T69" s="163" t="n"/>
      <c r="U69" s="175" t="inlineStr">
        <is>
          <t>-</t>
        </is>
      </c>
      <c r="V69" s="162" t="n"/>
      <c r="W69" s="162" t="n"/>
      <c r="X69" s="162" t="n"/>
      <c r="Y69" s="163" t="n"/>
      <c r="Z69" s="175" t="inlineStr">
        <is>
          <t>-</t>
        </is>
      </c>
      <c r="AA69" s="162" t="n"/>
      <c r="AB69" s="163" t="n"/>
      <c r="AC69" s="142" t="inlineStr">
        <is>
          <t>-</t>
        </is>
      </c>
      <c r="AD69" s="175" t="inlineStr">
        <is>
          <t>金額</t>
        </is>
      </c>
      <c r="AE69" s="162" t="n"/>
      <c r="AF69" s="162" t="n"/>
      <c r="AG69" s="163" t="n"/>
      <c r="AL69" s="164" t="inlineStr">
        <is>
          <t>sales</t>
        </is>
      </c>
      <c r="AM69" s="162" t="n"/>
      <c r="AN69" s="162" t="n"/>
      <c r="AO69" s="162" t="n"/>
      <c r="AP69" s="163" t="n"/>
    </row>
    <row r="70" ht="47.25" customFormat="1" customHeight="1" s="258">
      <c r="D70" s="158" t="n">
        <v>19</v>
      </c>
      <c r="E70" s="164" t="inlineStr">
        <is>
          <t>顧客</t>
        </is>
      </c>
      <c r="F70" s="162" t="n"/>
      <c r="G70" s="162" t="n"/>
      <c r="H70" s="163" t="n"/>
      <c r="I70" s="213" t="inlineStr">
        <is>
          <t>hidden</t>
        </is>
      </c>
      <c r="J70" s="162" t="n"/>
      <c r="K70" s="162" t="n"/>
      <c r="L70" s="163" t="n"/>
      <c r="M70" s="205" t="inlineStr">
        <is>
          <t>-</t>
        </is>
      </c>
      <c r="N70" s="162" t="n"/>
      <c r="O70" s="162" t="n"/>
      <c r="P70" s="162" t="n"/>
      <c r="Q70" s="162" t="n"/>
      <c r="R70" s="162" t="n"/>
      <c r="S70" s="162" t="n"/>
      <c r="T70" s="163" t="n"/>
      <c r="U70" s="175" t="inlineStr">
        <is>
          <t>-</t>
        </is>
      </c>
      <c r="V70" s="162" t="n"/>
      <c r="W70" s="162" t="n"/>
      <c r="X70" s="162" t="n"/>
      <c r="Y70" s="163" t="n"/>
      <c r="Z70" s="175" t="inlineStr">
        <is>
          <t>-</t>
        </is>
      </c>
      <c r="AA70" s="162" t="n"/>
      <c r="AB70" s="163" t="n"/>
      <c r="AC70" s="142" t="inlineStr">
        <is>
          <t>○</t>
        </is>
      </c>
      <c r="AD70" s="175" t="inlineStr">
        <is>
          <t>顧客ID</t>
        </is>
      </c>
      <c r="AE70" s="162" t="n"/>
      <c r="AF70" s="162" t="n"/>
      <c r="AG70" s="163" t="n"/>
      <c r="AL70" s="164" t="inlineStr">
        <is>
          <t>clientId</t>
        </is>
      </c>
      <c r="AM70" s="162" t="n"/>
      <c r="AN70" s="162" t="n"/>
      <c r="AO70" s="162" t="n"/>
      <c r="AP70" s="163" t="n"/>
    </row>
    <row r="71" ht="11.25" customFormat="1" customHeight="1" s="258">
      <c r="D71" s="158" t="n">
        <v>20</v>
      </c>
      <c r="E71" s="164" t="inlineStr">
        <is>
          <t>PM</t>
        </is>
      </c>
      <c r="F71" s="162" t="n"/>
      <c r="G71" s="162" t="n"/>
      <c r="H71" s="163" t="n"/>
      <c r="I71" s="213" t="inlineStr">
        <is>
          <t>hidden</t>
        </is>
      </c>
      <c r="J71" s="162" t="n"/>
      <c r="K71" s="162" t="n"/>
      <c r="L71" s="163" t="n"/>
      <c r="M71" s="205" t="inlineStr">
        <is>
          <t>-</t>
        </is>
      </c>
      <c r="N71" s="162" t="n"/>
      <c r="O71" s="162" t="n"/>
      <c r="P71" s="162" t="n"/>
      <c r="Q71" s="162" t="n"/>
      <c r="R71" s="162" t="n"/>
      <c r="S71" s="162" t="n"/>
      <c r="T71" s="163" t="n"/>
      <c r="U71" s="175" t="inlineStr">
        <is>
          <t>-</t>
        </is>
      </c>
      <c r="V71" s="162" t="n"/>
      <c r="W71" s="162" t="n"/>
      <c r="X71" s="162" t="n"/>
      <c r="Y71" s="163" t="n"/>
      <c r="Z71" s="175" t="inlineStr">
        <is>
          <t>-</t>
        </is>
      </c>
      <c r="AA71" s="162" t="n"/>
      <c r="AB71" s="163" t="n"/>
      <c r="AC71" s="142" t="inlineStr">
        <is>
          <t>○</t>
        </is>
      </c>
      <c r="AD71" s="175" t="inlineStr">
        <is>
          <t>ユーザ氏名（漢字）</t>
        </is>
      </c>
      <c r="AE71" s="162" t="n"/>
      <c r="AF71" s="162" t="n"/>
      <c r="AG71" s="163" t="n"/>
      <c r="AL71" s="164" t="inlineStr">
        <is>
          <t>projectManager</t>
        </is>
      </c>
      <c r="AM71" s="162" t="n"/>
      <c r="AN71" s="162" t="n"/>
      <c r="AO71" s="162" t="n"/>
      <c r="AP71" s="163" t="n"/>
      <c r="AV71" s="75" t="n"/>
    </row>
    <row r="72" ht="11.25" customFormat="1" customHeight="1" s="258">
      <c r="D72" s="158" t="n">
        <v>21</v>
      </c>
      <c r="E72" s="164" t="inlineStr">
        <is>
          <t>PL</t>
        </is>
      </c>
      <c r="F72" s="162" t="n"/>
      <c r="G72" s="162" t="n"/>
      <c r="H72" s="163" t="n"/>
      <c r="I72" s="213" t="inlineStr">
        <is>
          <t>hidden</t>
        </is>
      </c>
      <c r="J72" s="162" t="n"/>
      <c r="K72" s="162" t="n"/>
      <c r="L72" s="163" t="n"/>
      <c r="M72" s="205" t="inlineStr">
        <is>
          <t>-</t>
        </is>
      </c>
      <c r="N72" s="162" t="n"/>
      <c r="O72" s="162" t="n"/>
      <c r="P72" s="162" t="n"/>
      <c r="Q72" s="162" t="n"/>
      <c r="R72" s="162" t="n"/>
      <c r="S72" s="162" t="n"/>
      <c r="T72" s="163" t="n"/>
      <c r="U72" s="175" t="inlineStr">
        <is>
          <t>-</t>
        </is>
      </c>
      <c r="V72" s="162" t="n"/>
      <c r="W72" s="162" t="n"/>
      <c r="X72" s="162" t="n"/>
      <c r="Y72" s="163" t="n"/>
      <c r="Z72" s="175" t="inlineStr">
        <is>
          <t>-</t>
        </is>
      </c>
      <c r="AA72" s="162" t="n"/>
      <c r="AB72" s="163" t="n"/>
      <c r="AC72" s="142" t="inlineStr">
        <is>
          <t>○</t>
        </is>
      </c>
      <c r="AD72" s="175" t="inlineStr">
        <is>
          <t>ユーザ氏名（漢字）</t>
        </is>
      </c>
      <c r="AE72" s="162" t="n"/>
      <c r="AF72" s="162" t="n"/>
      <c r="AG72" s="163" t="n"/>
      <c r="AL72" s="175" t="inlineStr">
        <is>
          <t>projectLeader</t>
        </is>
      </c>
      <c r="AM72" s="162" t="n"/>
      <c r="AN72" s="162" t="n"/>
      <c r="AO72" s="162" t="n"/>
      <c r="AP72" s="163" t="n"/>
      <c r="AR72" s="92" t="n"/>
      <c r="AS72" s="92" t="n"/>
    </row>
    <row r="73" ht="22.5" customFormat="1" customHeight="1" s="199">
      <c r="D73" s="158" t="n">
        <v>22</v>
      </c>
      <c r="E73" s="175" t="inlineStr">
        <is>
          <t>開始日</t>
        </is>
      </c>
      <c r="F73" s="162" t="n"/>
      <c r="G73" s="162" t="n"/>
      <c r="H73" s="163" t="n"/>
      <c r="I73" s="213" t="inlineStr">
        <is>
          <t>hidden</t>
        </is>
      </c>
      <c r="J73" s="162" t="n"/>
      <c r="K73" s="162" t="n"/>
      <c r="L73" s="163" t="n"/>
      <c r="M73" s="205" t="inlineStr">
        <is>
          <t>-</t>
        </is>
      </c>
      <c r="N73" s="162" t="n"/>
      <c r="O73" s="162" t="n"/>
      <c r="P73" s="162" t="n"/>
      <c r="Q73" s="162" t="n"/>
      <c r="R73" s="162" t="n"/>
      <c r="S73" s="162" t="n"/>
      <c r="T73" s="163" t="n"/>
      <c r="U73" s="175" t="inlineStr">
        <is>
          <t>-</t>
        </is>
      </c>
      <c r="V73" s="162" t="n"/>
      <c r="W73" s="162" t="n"/>
      <c r="X73" s="162" t="n"/>
      <c r="Y73" s="163" t="n"/>
      <c r="Z73" s="175" t="inlineStr">
        <is>
          <t>-</t>
        </is>
      </c>
      <c r="AA73" s="162" t="n"/>
      <c r="AB73" s="163" t="n"/>
      <c r="AC73" s="142" t="inlineStr">
        <is>
          <t>○</t>
        </is>
      </c>
      <c r="AD73" s="175" t="inlineStr">
        <is>
          <t>日付</t>
        </is>
      </c>
      <c r="AE73" s="162" t="n"/>
      <c r="AF73" s="162" t="n"/>
      <c r="AG73" s="163" t="n"/>
      <c r="AH73" s="92" t="n"/>
      <c r="AI73" s="92" t="n"/>
      <c r="AJ73" s="92" t="n"/>
      <c r="AK73" s="92" t="n"/>
      <c r="AL73" s="164" t="inlineStr">
        <is>
          <t>projectStartDate</t>
        </is>
      </c>
      <c r="AM73" s="162" t="n"/>
      <c r="AN73" s="162" t="n"/>
      <c r="AO73" s="162" t="n"/>
      <c r="AP73" s="163" t="n"/>
      <c r="AQ73" s="92" t="n"/>
      <c r="AR73" s="92" t="n"/>
    </row>
    <row r="74" ht="22.5" customFormat="1" customHeight="1" s="258">
      <c r="D74" s="158" t="n">
        <v>23</v>
      </c>
      <c r="E74" s="175" t="inlineStr">
        <is>
          <t>終了日</t>
        </is>
      </c>
      <c r="F74" s="162" t="n"/>
      <c r="G74" s="162" t="n"/>
      <c r="H74" s="163" t="n"/>
      <c r="I74" s="213" t="inlineStr">
        <is>
          <t>hidden</t>
        </is>
      </c>
      <c r="J74" s="162" t="n"/>
      <c r="K74" s="162" t="n"/>
      <c r="L74" s="163" t="n"/>
      <c r="M74" s="205" t="inlineStr">
        <is>
          <t>-</t>
        </is>
      </c>
      <c r="N74" s="162" t="n"/>
      <c r="O74" s="162" t="n"/>
      <c r="P74" s="162" t="n"/>
      <c r="Q74" s="162" t="n"/>
      <c r="R74" s="162" t="n"/>
      <c r="S74" s="162" t="n"/>
      <c r="T74" s="163" t="n"/>
      <c r="U74" s="175" t="inlineStr">
        <is>
          <t>-</t>
        </is>
      </c>
      <c r="V74" s="162" t="n"/>
      <c r="W74" s="162" t="n"/>
      <c r="X74" s="162" t="n"/>
      <c r="Y74" s="163" t="n"/>
      <c r="Z74" s="175" t="inlineStr">
        <is>
          <t>-</t>
        </is>
      </c>
      <c r="AA74" s="162" t="n"/>
      <c r="AB74" s="163" t="n"/>
      <c r="AC74" s="142" t="inlineStr">
        <is>
          <t>○</t>
        </is>
      </c>
      <c r="AD74" s="175" t="inlineStr">
        <is>
          <t>日付</t>
        </is>
      </c>
      <c r="AE74" s="162" t="n"/>
      <c r="AF74" s="162" t="n"/>
      <c r="AG74" s="163" t="n"/>
      <c r="AL74" s="164" t="inlineStr">
        <is>
          <t>projectEndDate</t>
        </is>
      </c>
      <c r="AM74" s="162" t="n"/>
      <c r="AN74" s="162" t="n"/>
      <c r="AO74" s="162" t="n"/>
      <c r="AP74" s="163" t="n"/>
    </row>
    <row r="75" ht="28.5" customHeight="1">
      <c r="D75" s="158" t="n">
        <v>24</v>
      </c>
      <c r="E75" s="164" t="inlineStr">
        <is>
          <t>備考</t>
        </is>
      </c>
      <c r="F75" s="162" t="n"/>
      <c r="G75" s="162" t="n"/>
      <c r="H75" s="163" t="n"/>
      <c r="I75" s="213" t="inlineStr">
        <is>
          <t>hidden</t>
        </is>
      </c>
      <c r="J75" s="162" t="n"/>
      <c r="K75" s="162" t="n"/>
      <c r="L75" s="163" t="n"/>
      <c r="M75" s="205" t="inlineStr">
        <is>
          <t>-</t>
        </is>
      </c>
      <c r="N75" s="162" t="n"/>
      <c r="O75" s="162" t="n"/>
      <c r="P75" s="162" t="n"/>
      <c r="Q75" s="162" t="n"/>
      <c r="R75" s="162" t="n"/>
      <c r="S75" s="162" t="n"/>
      <c r="T75" s="163" t="n"/>
      <c r="U75" s="175" t="inlineStr">
        <is>
          <t>-</t>
        </is>
      </c>
      <c r="V75" s="162" t="n"/>
      <c r="W75" s="162" t="n"/>
      <c r="X75" s="162" t="n"/>
      <c r="Y75" s="163" t="n"/>
      <c r="Z75" s="175" t="inlineStr">
        <is>
          <t>-</t>
        </is>
      </c>
      <c r="AA75" s="162" t="n"/>
      <c r="AB75" s="163" t="n"/>
      <c r="AC75" s="142" t="inlineStr">
        <is>
          <t>-</t>
        </is>
      </c>
      <c r="AD75" s="175" t="inlineStr">
        <is>
          <t>備考</t>
        </is>
      </c>
      <c r="AE75" s="162" t="n"/>
      <c r="AF75" s="162" t="n"/>
      <c r="AG75" s="163" t="n"/>
      <c r="AL75" s="238" t="inlineStr">
        <is>
          <t>note</t>
        </is>
      </c>
      <c r="AM75" s="162" t="n"/>
      <c r="AN75" s="162" t="n"/>
      <c r="AO75" s="162" t="n"/>
      <c r="AP75" s="163" t="n"/>
    </row>
    <row r="76" customFormat="1" s="199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258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220" t="inlineStr">
        <is>
          <t>3.4. 入出力一覧</t>
        </is>
      </c>
      <c r="D78" s="258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>
      <c r="AI79" s="96" t="n"/>
      <c r="AJ79" s="96" t="n"/>
    </row>
    <row r="80">
      <c r="D80" s="235" t="inlineStr">
        <is>
          <t>No.</t>
        </is>
      </c>
      <c r="E80" s="200" t="inlineStr">
        <is>
          <t>入出力名</t>
        </is>
      </c>
      <c r="F80" s="167" t="n"/>
      <c r="G80" s="167" t="n"/>
      <c r="H80" s="167" t="n"/>
      <c r="I80" s="167" t="n"/>
      <c r="J80" s="168" t="n"/>
      <c r="K80" s="200" t="inlineStr">
        <is>
          <t>種別</t>
        </is>
      </c>
      <c r="L80" s="167" t="n"/>
      <c r="M80" s="167" t="n"/>
      <c r="N80" s="168" t="n"/>
      <c r="O80" s="209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200" t="inlineStr">
        <is>
          <t>備考</t>
        </is>
      </c>
      <c r="W80" s="167" t="n"/>
      <c r="X80" s="167" t="n"/>
      <c r="Y80" s="167" t="n"/>
      <c r="Z80" s="167" t="n"/>
      <c r="AA80" s="167" t="n"/>
      <c r="AB80" s="167" t="n"/>
      <c r="AC80" s="167" t="n"/>
      <c r="AD80" s="167" t="n"/>
      <c r="AE80" s="167" t="n"/>
      <c r="AF80" s="167" t="n"/>
      <c r="AG80" s="167" t="n"/>
      <c r="AH80" s="168" t="n"/>
    </row>
    <row r="81">
      <c r="D81" s="210" t="n"/>
      <c r="E81" s="172" t="n"/>
      <c r="F81" s="173" t="n"/>
      <c r="G81" s="173" t="n"/>
      <c r="H81" s="173" t="n"/>
      <c r="I81" s="173" t="n"/>
      <c r="J81" s="174" t="n"/>
      <c r="K81" s="172" t="n"/>
      <c r="L81" s="173" t="n"/>
      <c r="M81" s="173" t="n"/>
      <c r="N81" s="174" t="n"/>
      <c r="O81" s="210" t="n"/>
      <c r="P81" s="201" t="inlineStr">
        <is>
          <t>C</t>
        </is>
      </c>
      <c r="Q81" s="201" t="inlineStr">
        <is>
          <t>R</t>
        </is>
      </c>
      <c r="R81" s="201" t="inlineStr">
        <is>
          <t>U</t>
        </is>
      </c>
      <c r="S81" s="201" t="inlineStr">
        <is>
          <t>D</t>
        </is>
      </c>
      <c r="T81" s="201" t="inlineStr">
        <is>
          <t>ﾛｯｸ対象</t>
        </is>
      </c>
      <c r="U81" s="163" t="n"/>
      <c r="V81" s="172" t="n"/>
      <c r="W81" s="173" t="n"/>
      <c r="X81" s="173" t="n"/>
      <c r="Y81" s="173" t="n"/>
      <c r="Z81" s="173" t="n"/>
      <c r="AA81" s="173" t="n"/>
      <c r="AB81" s="173" t="n"/>
      <c r="AC81" s="173" t="n"/>
      <c r="AD81" s="173" t="n"/>
      <c r="AE81" s="173" t="n"/>
      <c r="AF81" s="173" t="n"/>
      <c r="AG81" s="173" t="n"/>
      <c r="AH81" s="174" t="n"/>
    </row>
    <row r="82" ht="11.25" customHeight="1">
      <c r="D82" s="111" t="n">
        <v>1</v>
      </c>
      <c r="E82" s="214" t="inlineStr">
        <is>
          <t>プロジェクト</t>
        </is>
      </c>
      <c r="F82" s="162" t="n"/>
      <c r="G82" s="162" t="n"/>
      <c r="H82" s="162" t="n"/>
      <c r="I82" s="162" t="n"/>
      <c r="J82" s="163" t="n"/>
      <c r="K82" s="215" t="inlineStr">
        <is>
          <t>テーブル</t>
        </is>
      </c>
      <c r="L82" s="162" t="n"/>
      <c r="M82" s="162" t="n"/>
      <c r="N82" s="163" t="n"/>
      <c r="O82" s="131" t="inlineStr">
        <is>
          <t>O</t>
        </is>
      </c>
      <c r="P82" s="112" t="inlineStr">
        <is>
          <t>○</t>
        </is>
      </c>
      <c r="Q82" s="112" t="inlineStr">
        <is>
          <t>-</t>
        </is>
      </c>
      <c r="R82" s="112" t="inlineStr">
        <is>
          <t>-</t>
        </is>
      </c>
      <c r="S82" s="112" t="inlineStr">
        <is>
          <t>-</t>
        </is>
      </c>
      <c r="T82" s="207" t="inlineStr">
        <is>
          <t>-</t>
        </is>
      </c>
      <c r="U82" s="163" t="n"/>
      <c r="V82" s="215" t="inlineStr">
        <is>
          <t>-</t>
        </is>
      </c>
      <c r="W82" s="162" t="n"/>
      <c r="X82" s="162" t="n"/>
      <c r="Y82" s="162" t="n"/>
      <c r="Z82" s="162" t="n"/>
      <c r="AA82" s="162" t="n"/>
      <c r="AB82" s="162" t="n"/>
      <c r="AC82" s="162" t="n"/>
      <c r="AD82" s="162" t="n"/>
      <c r="AE82" s="162" t="n"/>
      <c r="AF82" s="162" t="n"/>
      <c r="AG82" s="162" t="n"/>
      <c r="AH82" s="163" t="n"/>
    </row>
    <row r="83">
      <c r="D83" s="111" t="n">
        <v>2</v>
      </c>
      <c r="E83" s="214" t="inlineStr">
        <is>
          <t>組織</t>
        </is>
      </c>
      <c r="F83" s="162" t="n"/>
      <c r="G83" s="162" t="n"/>
      <c r="H83" s="162" t="n"/>
      <c r="I83" s="162" t="n"/>
      <c r="J83" s="163" t="n"/>
      <c r="K83" s="215" t="inlineStr">
        <is>
          <t>テーブル</t>
        </is>
      </c>
      <c r="L83" s="162" t="n"/>
      <c r="M83" s="162" t="n"/>
      <c r="N83" s="163" t="n"/>
      <c r="O83" s="105" t="inlineStr">
        <is>
          <t>I</t>
        </is>
      </c>
      <c r="P83" s="112" t="inlineStr">
        <is>
          <t>-</t>
        </is>
      </c>
      <c r="Q83" s="112" t="inlineStr">
        <is>
          <t>○</t>
        </is>
      </c>
      <c r="R83" s="112" t="inlineStr">
        <is>
          <t>-</t>
        </is>
      </c>
      <c r="S83" s="112" t="inlineStr">
        <is>
          <t>-</t>
        </is>
      </c>
      <c r="T83" s="207" t="inlineStr">
        <is>
          <t>-</t>
        </is>
      </c>
      <c r="U83" s="163" t="n"/>
      <c r="V83" s="215" t="inlineStr">
        <is>
          <t>-</t>
        </is>
      </c>
      <c r="W83" s="162" t="n"/>
      <c r="X83" s="162" t="n"/>
      <c r="Y83" s="162" t="n"/>
      <c r="Z83" s="162" t="n"/>
      <c r="AA83" s="162" t="n"/>
      <c r="AB83" s="162" t="n"/>
      <c r="AC83" s="162" t="n"/>
      <c r="AD83" s="162" t="n"/>
      <c r="AE83" s="162" t="n"/>
      <c r="AF83" s="162" t="n"/>
      <c r="AG83" s="162" t="n"/>
      <c r="AH83" s="163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258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7"/>
    <row r="88" ht="11.25" customHeight="1">
      <c r="C88" s="75" t="n"/>
      <c r="D88" s="113" t="inlineStr">
        <is>
          <t>No.</t>
        </is>
      </c>
      <c r="E88" s="246" t="inlineStr">
        <is>
          <t>画面イベント名</t>
        </is>
      </c>
      <c r="F88" s="162" t="n"/>
      <c r="G88" s="162" t="n"/>
      <c r="H88" s="162" t="n"/>
      <c r="I88" s="162" t="n"/>
      <c r="J88" s="247" t="n"/>
      <c r="K88" s="226" t="inlineStr">
        <is>
          <t>発生タイミング</t>
        </is>
      </c>
      <c r="L88" s="162" t="n"/>
      <c r="M88" s="162" t="n"/>
      <c r="N88" s="162" t="n"/>
      <c r="O88" s="162" t="n"/>
      <c r="P88" s="162" t="n"/>
      <c r="Q88" s="163" t="n"/>
      <c r="R88" s="197" t="inlineStr">
        <is>
          <t>画面イベント概要</t>
        </is>
      </c>
      <c r="S88" s="162" t="n"/>
      <c r="T88" s="162" t="n"/>
      <c r="U88" s="162" t="n"/>
      <c r="V88" s="162" t="n"/>
      <c r="W88" s="162" t="n"/>
      <c r="X88" s="162" t="n"/>
      <c r="Y88" s="163" t="n"/>
      <c r="Z88" s="198" t="inlineStr">
        <is>
          <t>正常時遷移先画面</t>
        </is>
      </c>
      <c r="AA88" s="162" t="n"/>
      <c r="AB88" s="162" t="n"/>
      <c r="AC88" s="162" t="n"/>
      <c r="AD88" s="163" t="n"/>
      <c r="AE88" s="222" t="inlineStr">
        <is>
          <t>サーバ通信有無</t>
        </is>
      </c>
      <c r="AF88" s="223" t="n"/>
      <c r="AG88" s="223" t="n"/>
      <c r="AH88" s="224" t="n"/>
    </row>
    <row r="89" ht="23.25" customHeight="1">
      <c r="D89" s="106" t="n">
        <v>1</v>
      </c>
      <c r="E89" s="175" t="inlineStr">
        <is>
          <t>登録</t>
        </is>
      </c>
      <c r="F89" s="162" t="n"/>
      <c r="G89" s="162" t="n"/>
      <c r="H89" s="162" t="n"/>
      <c r="I89" s="162" t="n"/>
      <c r="J89" s="163" t="n"/>
      <c r="K89" s="175" t="inlineStr">
        <is>
          <t>「登録」ボタン押下</t>
        </is>
      </c>
      <c r="L89" s="162" t="n"/>
      <c r="M89" s="162" t="n"/>
      <c r="N89" s="162" t="n"/>
      <c r="O89" s="162" t="n"/>
      <c r="P89" s="162" t="n"/>
      <c r="Q89" s="163" t="n"/>
      <c r="R89" s="175" t="inlineStr">
        <is>
          <t>当画面に表示していた内容をデータベースに登録する。</t>
        </is>
      </c>
      <c r="S89" s="162" t="n"/>
      <c r="T89" s="162" t="n"/>
      <c r="U89" s="162" t="n"/>
      <c r="V89" s="162" t="n"/>
      <c r="W89" s="162" t="n"/>
      <c r="X89" s="162" t="n"/>
      <c r="Y89" s="163" t="n"/>
      <c r="Z89" s="175" t="inlineStr">
        <is>
          <t>プロジェクト登録完了</t>
        </is>
      </c>
      <c r="AA89" s="162" t="n"/>
      <c r="AB89" s="162" t="n"/>
      <c r="AC89" s="162" t="n"/>
      <c r="AD89" s="163" t="n"/>
      <c r="AE89" s="254" t="inlineStr">
        <is>
          <t>あり(同期)</t>
        </is>
      </c>
      <c r="AF89" s="203" t="n"/>
      <c r="AG89" s="203" t="n"/>
      <c r="AH89" s="204" t="n"/>
    </row>
    <row r="90" ht="24" customHeight="1">
      <c r="D90" s="106" t="n">
        <v>2</v>
      </c>
      <c r="E90" s="215" t="inlineStr">
        <is>
          <t>戻る</t>
        </is>
      </c>
      <c r="F90" s="162" t="n"/>
      <c r="G90" s="162" t="n"/>
      <c r="H90" s="162" t="n"/>
      <c r="I90" s="162" t="n"/>
      <c r="J90" s="163" t="n"/>
      <c r="K90" s="215" t="inlineStr">
        <is>
          <t>「戻る」ボタン押下</t>
        </is>
      </c>
      <c r="L90" s="162" t="n"/>
      <c r="M90" s="162" t="n"/>
      <c r="N90" s="162" t="n"/>
      <c r="O90" s="162" t="n"/>
      <c r="P90" s="162" t="n"/>
      <c r="Q90" s="163" t="n"/>
      <c r="R90" s="175" t="inlineStr">
        <is>
          <t>当画面に表示していた内容を登録画面に表示する。</t>
        </is>
      </c>
      <c r="S90" s="162" t="n"/>
      <c r="T90" s="162" t="n"/>
      <c r="U90" s="162" t="n"/>
      <c r="V90" s="162" t="n"/>
      <c r="W90" s="162" t="n"/>
      <c r="X90" s="162" t="n"/>
      <c r="Y90" s="163" t="n"/>
      <c r="Z90" s="175" t="inlineStr">
        <is>
          <t>プロジェクト登録</t>
        </is>
      </c>
      <c r="AA90" s="162" t="n"/>
      <c r="AB90" s="162" t="n"/>
      <c r="AC90" s="162" t="n"/>
      <c r="AD90" s="163" t="n"/>
      <c r="AE90" s="254" t="inlineStr">
        <is>
          <t>あり(同期)</t>
        </is>
      </c>
      <c r="AF90" s="203" t="n"/>
      <c r="AG90" s="203" t="n"/>
      <c r="AH90" s="204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44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>
      <c r="D95" t="inlineStr">
        <is>
          <t>3.6.1. 登録イベント</t>
        </is>
      </c>
    </row>
    <row r="96">
      <c r="E96" s="26" t="inlineStr">
        <is>
          <t>(1) バリデーション処理</t>
        </is>
      </c>
      <c r="F96" s="26" t="n"/>
    </row>
    <row r="97">
      <c r="E97" s="26" t="n"/>
      <c r="F97" s="26" t="n"/>
    </row>
    <row r="98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/>
    <row r="10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2"/>
    <row r="103"/>
    <row r="104">
      <c r="E104" t="inlineStr">
        <is>
          <t>(2) DBアクセス（登録、更新処理）</t>
        </is>
      </c>
    </row>
    <row r="105"/>
    <row r="106">
      <c r="F106" t="inlineStr">
        <is>
          <t>表示内容をデータベースに登録する。登録仕様については下記の通り。</t>
        </is>
      </c>
    </row>
    <row r="107"/>
    <row r="108">
      <c r="F108" t="inlineStr">
        <is>
          <t>プロジェクトテーブル</t>
        </is>
      </c>
    </row>
    <row r="109" ht="12" customHeight="1"/>
    <row r="110" ht="12" customHeight="1">
      <c r="G110" s="198" t="inlineStr">
        <is>
          <t>No.</t>
        </is>
      </c>
      <c r="H110" s="198" t="inlineStr">
        <is>
          <t>出力項目名</t>
        </is>
      </c>
      <c r="I110" s="167" t="n"/>
      <c r="J110" s="167" t="n"/>
      <c r="K110" s="167" t="n"/>
      <c r="L110" s="167" t="n"/>
      <c r="M110" s="168" t="n"/>
      <c r="N110" s="236" t="inlineStr">
        <is>
          <t>出力情報</t>
        </is>
      </c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3" t="n"/>
      <c r="Y110" s="198" t="inlineStr">
        <is>
          <t>編集仕様</t>
        </is>
      </c>
      <c r="Z110" s="167" t="n"/>
      <c r="AA110" s="167" t="n"/>
      <c r="AB110" s="167" t="n"/>
      <c r="AC110" s="167" t="n"/>
      <c r="AD110" s="168" t="n"/>
      <c r="AE110" s="198" t="inlineStr">
        <is>
          <t>備考</t>
        </is>
      </c>
      <c r="AF110" s="167" t="n"/>
      <c r="AG110" s="167" t="n"/>
      <c r="AH110" s="168" t="n"/>
    </row>
    <row r="111" ht="12" customHeight="1">
      <c r="G111" s="210" t="n"/>
      <c r="H111" s="172" t="n"/>
      <c r="I111" s="173" t="n"/>
      <c r="J111" s="173" t="n"/>
      <c r="K111" s="173" t="n"/>
      <c r="L111" s="173" t="n"/>
      <c r="M111" s="174" t="n"/>
      <c r="N111" s="236" t="inlineStr">
        <is>
          <t>情報取得元</t>
        </is>
      </c>
      <c r="O111" s="162" t="n"/>
      <c r="P111" s="162" t="n"/>
      <c r="Q111" s="162" t="n"/>
      <c r="R111" s="163" t="n"/>
      <c r="S111" s="212" t="inlineStr">
        <is>
          <t>項目名</t>
        </is>
      </c>
      <c r="T111" s="162" t="n"/>
      <c r="U111" s="162" t="n"/>
      <c r="V111" s="162" t="n"/>
      <c r="W111" s="162" t="n"/>
      <c r="X111" s="163" t="n"/>
      <c r="Y111" s="172" t="n"/>
      <c r="Z111" s="173" t="n"/>
      <c r="AA111" s="173" t="n"/>
      <c r="AB111" s="173" t="n"/>
      <c r="AC111" s="173" t="n"/>
      <c r="AD111" s="174" t="n"/>
      <c r="AE111" s="172" t="n"/>
      <c r="AF111" s="173" t="n"/>
      <c r="AG111" s="173" t="n"/>
      <c r="AH111" s="174" t="n"/>
    </row>
    <row r="112" ht="12" customHeight="1">
      <c r="G112" s="106" t="n">
        <v>1</v>
      </c>
      <c r="H112" s="249" t="inlineStr">
        <is>
          <t>プロジェクトID</t>
        </is>
      </c>
      <c r="I112" s="162" t="n"/>
      <c r="J112" s="162" t="n"/>
      <c r="K112" s="162" t="n"/>
      <c r="L112" s="162" t="n"/>
      <c r="M112" s="163" t="n"/>
      <c r="N112" s="56" t="inlineStr">
        <is>
          <t>DBによる自動採番</t>
        </is>
      </c>
      <c r="O112" s="133" t="n"/>
      <c r="P112" s="133" t="n"/>
      <c r="Q112" s="133" t="n"/>
      <c r="R112" s="134" t="n"/>
      <c r="S112" s="249" t="inlineStr">
        <is>
          <t>プロジェクトID</t>
        </is>
      </c>
      <c r="T112" s="162" t="n"/>
      <c r="U112" s="162" t="n"/>
      <c r="V112" s="162" t="n"/>
      <c r="W112" s="162" t="n"/>
      <c r="X112" s="163" t="n"/>
      <c r="Y112" s="215" t="inlineStr">
        <is>
          <t>‐</t>
        </is>
      </c>
      <c r="Z112" s="162" t="n"/>
      <c r="AA112" s="162" t="n"/>
      <c r="AB112" s="162" t="n"/>
      <c r="AC112" s="162" t="n"/>
      <c r="AD112" s="163" t="n"/>
      <c r="AE112" s="215" t="n"/>
      <c r="AF112" s="162" t="n"/>
      <c r="AG112" s="162" t="n"/>
      <c r="AH112" s="163" t="n"/>
    </row>
    <row r="113" ht="12" customHeight="1">
      <c r="G113" s="106" t="n">
        <v>2</v>
      </c>
      <c r="H113" s="249" t="inlineStr">
        <is>
          <t>プロジェクト名</t>
        </is>
      </c>
      <c r="I113" s="162" t="n"/>
      <c r="J113" s="162" t="n"/>
      <c r="K113" s="162" t="n"/>
      <c r="L113" s="162" t="n"/>
      <c r="M113" s="163" t="n"/>
      <c r="N113" s="252" t="inlineStr">
        <is>
          <t>プロジェクト登録画面</t>
        </is>
      </c>
      <c r="O113" s="167" t="n"/>
      <c r="P113" s="167" t="n"/>
      <c r="Q113" s="167" t="n"/>
      <c r="R113" s="168" t="n"/>
      <c r="S113" s="249" t="inlineStr">
        <is>
          <t>PJ名</t>
        </is>
      </c>
      <c r="T113" s="162" t="n"/>
      <c r="U113" s="162" t="n"/>
      <c r="V113" s="162" t="n"/>
      <c r="W113" s="162" t="n"/>
      <c r="X113" s="163" t="n"/>
      <c r="Y113" s="215" t="inlineStr">
        <is>
          <t>‐</t>
        </is>
      </c>
      <c r="Z113" s="162" t="n"/>
      <c r="AA113" s="162" t="n"/>
      <c r="AB113" s="162" t="n"/>
      <c r="AC113" s="162" t="n"/>
      <c r="AD113" s="163" t="n"/>
      <c r="AE113" s="215" t="n"/>
      <c r="AF113" s="162" t="n"/>
      <c r="AG113" s="162" t="n"/>
      <c r="AH113" s="163" t="n"/>
    </row>
    <row r="114" ht="12" customHeight="1">
      <c r="G114" s="106" t="n">
        <v>3</v>
      </c>
      <c r="H114" s="249" t="inlineStr">
        <is>
          <t>プロジェクト種別</t>
        </is>
      </c>
      <c r="I114" s="162" t="n"/>
      <c r="J114" s="162" t="n"/>
      <c r="K114" s="162" t="n"/>
      <c r="L114" s="162" t="n"/>
      <c r="M114" s="163" t="n"/>
      <c r="N114" s="169" t="n"/>
      <c r="R114" s="171" t="n"/>
      <c r="S114" s="249" t="inlineStr">
        <is>
          <t>PJ種別</t>
        </is>
      </c>
      <c r="T114" s="162" t="n"/>
      <c r="U114" s="162" t="n"/>
      <c r="V114" s="162" t="n"/>
      <c r="W114" s="162" t="n"/>
      <c r="X114" s="163" t="n"/>
      <c r="Y114" s="215" t="inlineStr">
        <is>
          <t>‐</t>
        </is>
      </c>
      <c r="Z114" s="162" t="n"/>
      <c r="AA114" s="162" t="n"/>
      <c r="AB114" s="162" t="n"/>
      <c r="AC114" s="162" t="n"/>
      <c r="AD114" s="163" t="n"/>
      <c r="AE114" s="215" t="n"/>
      <c r="AF114" s="162" t="n"/>
      <c r="AG114" s="162" t="n"/>
      <c r="AH114" s="163" t="n"/>
    </row>
    <row r="115" ht="12.75" customHeight="1">
      <c r="G115" s="106" t="n">
        <v>4</v>
      </c>
      <c r="H115" s="249" t="inlineStr">
        <is>
          <t>プロジェクト分類</t>
        </is>
      </c>
      <c r="I115" s="162" t="n"/>
      <c r="J115" s="162" t="n"/>
      <c r="K115" s="162" t="n"/>
      <c r="L115" s="162" t="n"/>
      <c r="M115" s="163" t="n"/>
      <c r="N115" s="169" t="n"/>
      <c r="R115" s="171" t="n"/>
      <c r="S115" s="249" t="inlineStr">
        <is>
          <t>PJ分類</t>
        </is>
      </c>
      <c r="T115" s="162" t="n"/>
      <c r="U115" s="162" t="n"/>
      <c r="V115" s="162" t="n"/>
      <c r="W115" s="162" t="n"/>
      <c r="X115" s="163" t="n"/>
      <c r="Y115" s="215" t="inlineStr">
        <is>
          <t>‐</t>
        </is>
      </c>
      <c r="Z115" s="162" t="n"/>
      <c r="AA115" s="162" t="n"/>
      <c r="AB115" s="162" t="n"/>
      <c r="AC115" s="162" t="n"/>
      <c r="AD115" s="163" t="n"/>
      <c r="AE115" s="215" t="n"/>
      <c r="AF115" s="162" t="n"/>
      <c r="AG115" s="162" t="n"/>
      <c r="AH115" s="163" t="n"/>
    </row>
    <row r="116" ht="12" customHeight="1">
      <c r="G116" s="106" t="n">
        <v>5</v>
      </c>
      <c r="H116" s="250" t="inlineStr">
        <is>
          <t>プロジェクト開始日付</t>
        </is>
      </c>
      <c r="I116" s="162" t="n"/>
      <c r="J116" s="162" t="n"/>
      <c r="K116" s="162" t="n"/>
      <c r="L116" s="162" t="n"/>
      <c r="M116" s="163" t="n"/>
      <c r="N116" s="169" t="n"/>
      <c r="R116" s="171" t="n"/>
      <c r="S116" s="249" t="inlineStr">
        <is>
          <t>開始日</t>
        </is>
      </c>
      <c r="T116" s="162" t="n"/>
      <c r="U116" s="162" t="n"/>
      <c r="V116" s="162" t="n"/>
      <c r="W116" s="162" t="n"/>
      <c r="X116" s="163" t="n"/>
      <c r="Y116" s="215" t="inlineStr">
        <is>
          <t>‐</t>
        </is>
      </c>
      <c r="Z116" s="162" t="n"/>
      <c r="AA116" s="162" t="n"/>
      <c r="AB116" s="162" t="n"/>
      <c r="AC116" s="162" t="n"/>
      <c r="AD116" s="163" t="n"/>
      <c r="AE116" s="215" t="n"/>
      <c r="AF116" s="162" t="n"/>
      <c r="AG116" s="162" t="n"/>
      <c r="AH116" s="163" t="n"/>
    </row>
    <row r="117" ht="12" customHeight="1">
      <c r="G117" s="106" t="n">
        <v>6</v>
      </c>
      <c r="H117" s="250" t="inlineStr">
        <is>
          <t>プロジェクト終了日付</t>
        </is>
      </c>
      <c r="I117" s="162" t="n"/>
      <c r="J117" s="162" t="n"/>
      <c r="K117" s="162" t="n"/>
      <c r="L117" s="162" t="n"/>
      <c r="M117" s="163" t="n"/>
      <c r="N117" s="169" t="n"/>
      <c r="R117" s="171" t="n"/>
      <c r="S117" s="249" t="inlineStr">
        <is>
          <t>終了日付</t>
        </is>
      </c>
      <c r="T117" s="162" t="n"/>
      <c r="U117" s="162" t="n"/>
      <c r="V117" s="162" t="n"/>
      <c r="W117" s="162" t="n"/>
      <c r="X117" s="163" t="n"/>
      <c r="Y117" s="215" t="inlineStr">
        <is>
          <t>‐</t>
        </is>
      </c>
      <c r="Z117" s="162" t="n"/>
      <c r="AA117" s="162" t="n"/>
      <c r="AB117" s="162" t="n"/>
      <c r="AC117" s="162" t="n"/>
      <c r="AD117" s="163" t="n"/>
      <c r="AE117" s="215" t="n"/>
      <c r="AF117" s="162" t="n"/>
      <c r="AG117" s="162" t="n"/>
      <c r="AH117" s="163" t="n"/>
    </row>
    <row r="118" ht="12" customHeight="1">
      <c r="G118" s="106" t="n">
        <v>7</v>
      </c>
      <c r="H118" s="249" t="inlineStr">
        <is>
          <t>部門ID</t>
        </is>
      </c>
      <c r="I118" s="162" t="n"/>
      <c r="J118" s="162" t="n"/>
      <c r="K118" s="162" t="n"/>
      <c r="L118" s="162" t="n"/>
      <c r="M118" s="163" t="n"/>
      <c r="N118" s="169" t="n"/>
      <c r="R118" s="171" t="n"/>
      <c r="S118" s="250" t="inlineStr">
        <is>
          <t>部門</t>
        </is>
      </c>
      <c r="T118" s="162" t="n"/>
      <c r="U118" s="162" t="n"/>
      <c r="V118" s="162" t="n"/>
      <c r="W118" s="162" t="n"/>
      <c r="X118" s="163" t="n"/>
      <c r="Y118" s="215" t="inlineStr">
        <is>
          <t>‐</t>
        </is>
      </c>
      <c r="Z118" s="162" t="n"/>
      <c r="AA118" s="162" t="n"/>
      <c r="AB118" s="162" t="n"/>
      <c r="AC118" s="162" t="n"/>
      <c r="AD118" s="163" t="n"/>
      <c r="AE118" s="215" t="n"/>
      <c r="AF118" s="162" t="n"/>
      <c r="AG118" s="162" t="n"/>
      <c r="AH118" s="163" t="n"/>
    </row>
    <row r="119" ht="12" customHeight="1">
      <c r="G119" s="106" t="n">
        <v>8</v>
      </c>
      <c r="H119" s="249" t="inlineStr">
        <is>
          <t>顧客ID</t>
        </is>
      </c>
      <c r="I119" s="162" t="n"/>
      <c r="J119" s="162" t="n"/>
      <c r="K119" s="162" t="n"/>
      <c r="L119" s="162" t="n"/>
      <c r="M119" s="163" t="n"/>
      <c r="N119" s="169" t="n"/>
      <c r="R119" s="171" t="n"/>
      <c r="S119" s="250" t="inlineStr">
        <is>
          <t>顧客</t>
        </is>
      </c>
      <c r="T119" s="162" t="n"/>
      <c r="U119" s="162" t="n"/>
      <c r="V119" s="162" t="n"/>
      <c r="W119" s="162" t="n"/>
      <c r="X119" s="163" t="n"/>
      <c r="Y119" s="215" t="inlineStr">
        <is>
          <t>‐</t>
        </is>
      </c>
      <c r="Z119" s="162" t="n"/>
      <c r="AA119" s="162" t="n"/>
      <c r="AB119" s="162" t="n"/>
      <c r="AC119" s="162" t="n"/>
      <c r="AD119" s="163" t="n"/>
      <c r="AE119" s="215" t="n"/>
      <c r="AF119" s="162" t="n"/>
      <c r="AG119" s="162" t="n"/>
      <c r="AH119" s="163" t="n"/>
    </row>
    <row r="120" ht="39.95" customHeight="1">
      <c r="G120" s="106" t="n">
        <v>9</v>
      </c>
      <c r="H120" s="249" t="inlineStr">
        <is>
          <t>プロジェクトマネージャー</t>
        </is>
      </c>
      <c r="I120" s="162" t="n"/>
      <c r="J120" s="162" t="n"/>
      <c r="K120" s="162" t="n"/>
      <c r="L120" s="162" t="n"/>
      <c r="M120" s="163" t="n"/>
      <c r="N120" s="169" t="n"/>
      <c r="R120" s="171" t="n"/>
      <c r="S120" s="249" t="inlineStr">
        <is>
          <t>PM</t>
        </is>
      </c>
      <c r="T120" s="162" t="n"/>
      <c r="U120" s="162" t="n"/>
      <c r="V120" s="162" t="n"/>
      <c r="W120" s="162" t="n"/>
      <c r="X120" s="163" t="n"/>
      <c r="Y120" s="215" t="inlineStr">
        <is>
          <t>‐</t>
        </is>
      </c>
      <c r="Z120" s="162" t="n"/>
      <c r="AA120" s="162" t="n"/>
      <c r="AB120" s="162" t="n"/>
      <c r="AC120" s="162" t="n"/>
      <c r="AD120" s="163" t="n"/>
      <c r="AE120" s="215" t="n"/>
      <c r="AF120" s="162" t="n"/>
      <c r="AG120" s="162" t="n"/>
      <c r="AH120" s="163" t="n"/>
    </row>
    <row r="121" ht="12" customHeight="1">
      <c r="G121" s="106" t="n">
        <v>10</v>
      </c>
      <c r="H121" s="249" t="inlineStr">
        <is>
          <t>プロジェクトリーダー</t>
        </is>
      </c>
      <c r="I121" s="162" t="n"/>
      <c r="J121" s="162" t="n"/>
      <c r="K121" s="162" t="n"/>
      <c r="L121" s="162" t="n"/>
      <c r="M121" s="163" t="n"/>
      <c r="N121" s="169" t="n"/>
      <c r="R121" s="171" t="n"/>
      <c r="S121" s="249" t="inlineStr">
        <is>
          <t>PL</t>
        </is>
      </c>
      <c r="T121" s="162" t="n"/>
      <c r="U121" s="162" t="n"/>
      <c r="V121" s="162" t="n"/>
      <c r="W121" s="162" t="n"/>
      <c r="X121" s="163" t="n"/>
      <c r="Y121" s="215" t="inlineStr">
        <is>
          <t>‐</t>
        </is>
      </c>
      <c r="Z121" s="162" t="n"/>
      <c r="AA121" s="162" t="n"/>
      <c r="AB121" s="162" t="n"/>
      <c r="AC121" s="162" t="n"/>
      <c r="AD121" s="163" t="n"/>
      <c r="AE121" s="215" t="n"/>
      <c r="AF121" s="162" t="n"/>
      <c r="AG121" s="162" t="n"/>
      <c r="AH121" s="163" t="n"/>
    </row>
    <row r="122" ht="12" customHeight="1">
      <c r="G122" s="106" t="n">
        <v>11</v>
      </c>
      <c r="H122" s="250" t="inlineStr">
        <is>
          <t>備考</t>
        </is>
      </c>
      <c r="I122" s="162" t="n"/>
      <c r="J122" s="162" t="n"/>
      <c r="K122" s="162" t="n"/>
      <c r="L122" s="162" t="n"/>
      <c r="M122" s="163" t="n"/>
      <c r="N122" s="169" t="n"/>
      <c r="R122" s="171" t="n"/>
      <c r="S122" s="250" t="inlineStr">
        <is>
          <t>備考</t>
        </is>
      </c>
      <c r="T122" s="162" t="n"/>
      <c r="U122" s="162" t="n"/>
      <c r="V122" s="162" t="n"/>
      <c r="W122" s="162" t="n"/>
      <c r="X122" s="163" t="n"/>
      <c r="Y122" s="215" t="inlineStr">
        <is>
          <t>‐</t>
        </is>
      </c>
      <c r="Z122" s="162" t="n"/>
      <c r="AA122" s="162" t="n"/>
      <c r="AB122" s="162" t="n"/>
      <c r="AC122" s="162" t="n"/>
      <c r="AD122" s="163" t="n"/>
      <c r="AE122" s="215" t="n"/>
      <c r="AF122" s="162" t="n"/>
      <c r="AG122" s="162" t="n"/>
      <c r="AH122" s="163" t="n"/>
    </row>
    <row r="123" ht="12" customHeight="1">
      <c r="G123" s="106" t="n">
        <v>12</v>
      </c>
      <c r="H123" s="250" t="inlineStr">
        <is>
          <t>売上高</t>
        </is>
      </c>
      <c r="I123" s="162" t="n"/>
      <c r="J123" s="162" t="n"/>
      <c r="K123" s="162" t="n"/>
      <c r="L123" s="162" t="n"/>
      <c r="M123" s="163" t="n"/>
      <c r="N123" s="172" t="n"/>
      <c r="O123" s="173" t="n"/>
      <c r="P123" s="173" t="n"/>
      <c r="Q123" s="173" t="n"/>
      <c r="R123" s="174" t="n"/>
      <c r="S123" s="250" t="inlineStr">
        <is>
          <t>売上高</t>
        </is>
      </c>
      <c r="T123" s="162" t="n"/>
      <c r="U123" s="162" t="n"/>
      <c r="V123" s="162" t="n"/>
      <c r="W123" s="162" t="n"/>
      <c r="X123" s="163" t="n"/>
      <c r="Y123" s="215" t="inlineStr">
        <is>
          <t>‐</t>
        </is>
      </c>
      <c r="Z123" s="162" t="n"/>
      <c r="AA123" s="162" t="n"/>
      <c r="AB123" s="162" t="n"/>
      <c r="AC123" s="162" t="n"/>
      <c r="AD123" s="163" t="n"/>
      <c r="AE123" s="215" t="n"/>
      <c r="AF123" s="162" t="n"/>
      <c r="AG123" s="162" t="n"/>
      <c r="AH123" s="163" t="n"/>
    </row>
    <row r="124" ht="12" customHeight="1">
      <c r="G124" s="106" t="n">
        <v>13</v>
      </c>
      <c r="H124" s="249" t="inlineStr">
        <is>
          <t>バージョン番号</t>
        </is>
      </c>
      <c r="I124" s="162" t="n"/>
      <c r="J124" s="162" t="n"/>
      <c r="K124" s="162" t="n"/>
      <c r="L124" s="162" t="n"/>
      <c r="M124" s="163" t="n"/>
      <c r="N124" s="135" t="inlineStr">
        <is>
          <t>-</t>
        </is>
      </c>
      <c r="O124" s="127" t="n"/>
      <c r="P124" s="127" t="n"/>
      <c r="Q124" s="127" t="n"/>
      <c r="R124" s="128" t="n"/>
      <c r="S124" s="249" t="inlineStr">
        <is>
          <t>-</t>
        </is>
      </c>
      <c r="T124" s="162" t="n"/>
      <c r="U124" s="162" t="n"/>
      <c r="V124" s="162" t="n"/>
      <c r="W124" s="162" t="n"/>
      <c r="X124" s="163" t="n"/>
      <c r="Y124" s="175" t="inlineStr">
        <is>
          <t>「1」固定</t>
        </is>
      </c>
      <c r="Z124" s="162" t="n"/>
      <c r="AA124" s="162" t="n"/>
      <c r="AB124" s="162" t="n"/>
      <c r="AC124" s="162" t="n"/>
      <c r="AD124" s="163" t="n"/>
      <c r="AE124" s="215" t="n"/>
      <c r="AF124" s="162" t="n"/>
      <c r="AG124" s="162" t="n"/>
      <c r="AH124" s="163" t="n"/>
    </row>
    <row r="125" ht="12" customHeight="1"/>
    <row r="126"/>
    <row r="127">
      <c r="E127" s="220" t="inlineStr">
        <is>
          <t>(3) 表示処理</t>
        </is>
      </c>
    </row>
    <row r="128"/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0"/>
    <row r="131"/>
    <row r="132">
      <c r="D132" t="inlineStr">
        <is>
          <t>3.6.2. 戻るイベント</t>
        </is>
      </c>
    </row>
    <row r="133"/>
    <row r="134">
      <c r="E134" s="220" t="inlineStr">
        <is>
          <t>(1) 表示処理</t>
        </is>
      </c>
    </row>
    <row r="135"/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Z69:AB69"/>
    <mergeCell ref="H124:M124"/>
    <mergeCell ref="AD67:AG67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U73:Y73"/>
    <mergeCell ref="AA2:AB2"/>
    <mergeCell ref="AE88:AH88"/>
    <mergeCell ref="H113:M113"/>
    <mergeCell ref="Z70:AB70"/>
    <mergeCell ref="M72:T72"/>
    <mergeCell ref="E74:H74"/>
    <mergeCell ref="H118:M118"/>
    <mergeCell ref="O1:R3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AL56:AP56"/>
    <mergeCell ref="N113:R123"/>
    <mergeCell ref="I61:L61"/>
    <mergeCell ref="H120:M120"/>
    <mergeCell ref="AD63:AG63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AE116:AH116"/>
    <mergeCell ref="U54:Y54"/>
    <mergeCell ref="M61:T61"/>
    <mergeCell ref="Y112:AD112"/>
    <mergeCell ref="AG1:AI1"/>
    <mergeCell ref="S119:X119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I49:L50"/>
    <mergeCell ref="AL60:AP60"/>
    <mergeCell ref="V43:AC43"/>
    <mergeCell ref="AE119:AH119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AL61:AP61"/>
    <mergeCell ref="M73:T73"/>
    <mergeCell ref="I60:L60"/>
    <mergeCell ref="I74:L74"/>
    <mergeCell ref="I69:L69"/>
    <mergeCell ref="AD62:AG62"/>
    <mergeCell ref="AD56:AG56"/>
    <mergeCell ref="M60:T60"/>
    <mergeCell ref="E53:H53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Z66:AB66"/>
    <mergeCell ref="AL63:AP63"/>
    <mergeCell ref="H121:M121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AL55:AP55"/>
    <mergeCell ref="AE123:AH123"/>
    <mergeCell ref="Z54:AB54"/>
    <mergeCell ref="Y115:AD115"/>
    <mergeCell ref="A3:D3"/>
    <mergeCell ref="H122:M122"/>
    <mergeCell ref="AD65:AG65"/>
    <mergeCell ref="U67:Y67"/>
    <mergeCell ref="AD70:AG70"/>
    <mergeCell ref="E83:J83"/>
    <mergeCell ref="E59:H59"/>
    <mergeCell ref="I55:L55"/>
    <mergeCell ref="AD57:AG57"/>
    <mergeCell ref="S121:X121"/>
    <mergeCell ref="N43:P43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scale="61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8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220" min="1" max="41"/>
    <col width="4.83203125" customWidth="1" style="220" min="42" max="16384"/>
  </cols>
  <sheetData>
    <row r="1" customFormat="1" s="170">
      <c r="A1" s="216" t="inlineStr">
        <is>
          <t>PJ名</t>
        </is>
      </c>
      <c r="B1" s="162" t="n"/>
      <c r="C1" s="162" t="n"/>
      <c r="D1" s="163" t="n"/>
      <c r="E1" s="196">
        <f>IF(INDIRECT("変更履歴!E1")&lt;&gt;"",INDIRECT("変更履歴!E1"),"")</f>
        <v/>
      </c>
      <c r="F1" s="162" t="n"/>
      <c r="G1" s="162" t="n"/>
      <c r="H1" s="162" t="n"/>
      <c r="I1" s="162" t="n"/>
      <c r="J1" s="162" t="n"/>
      <c r="K1" s="162" t="n"/>
      <c r="L1" s="162" t="n"/>
      <c r="M1" s="162" t="n"/>
      <c r="N1" s="163" t="n"/>
      <c r="O1" s="180" t="inlineStr">
        <is>
          <t>成果物名</t>
        </is>
      </c>
      <c r="P1" s="167" t="n"/>
      <c r="Q1" s="167" t="n"/>
      <c r="R1" s="168" t="n"/>
      <c r="S1" s="195">
        <f>IF(INDIRECT("変更履歴!S1")&lt;&gt;"",INDIRECT("変更履歴!S1"),"")</f>
        <v/>
      </c>
      <c r="T1" s="167" t="n"/>
      <c r="U1" s="167" t="n"/>
      <c r="V1" s="167" t="n"/>
      <c r="W1" s="167" t="n"/>
      <c r="X1" s="167" t="n"/>
      <c r="Y1" s="167" t="n"/>
      <c r="Z1" s="168" t="n"/>
      <c r="AA1" s="179" t="inlineStr">
        <is>
          <t>作成</t>
        </is>
      </c>
      <c r="AB1" s="163" t="n"/>
      <c r="AC1" s="187">
        <f>IF(INDIRECT("変更履歴!AC1")&lt;&gt;"",INDIRECT("変更履歴!AC1"),"")</f>
        <v/>
      </c>
      <c r="AD1" s="162" t="n"/>
      <c r="AE1" s="162" t="n"/>
      <c r="AF1" s="163" t="n"/>
      <c r="AG1" s="306">
        <f>IF(INDIRECT("変更履歴!AG1")&lt;&gt;"",INDIRECT("変更履歴!AG1"),"")</f>
        <v/>
      </c>
      <c r="AH1" s="162" t="n"/>
      <c r="AI1" s="163" t="n"/>
      <c r="AJ1" s="307" t="n"/>
    </row>
    <row r="2" customFormat="1" s="170">
      <c r="A2" s="216" t="inlineStr">
        <is>
          <t>システム名</t>
        </is>
      </c>
      <c r="B2" s="162" t="n"/>
      <c r="C2" s="162" t="n"/>
      <c r="D2" s="163" t="n"/>
      <c r="E2" s="196">
        <f>IF(INDIRECT("変更履歴!E2")&lt;&gt;"",INDIRECT("変更履歴!E2"),"")</f>
        <v/>
      </c>
      <c r="F2" s="162" t="n"/>
      <c r="G2" s="162" t="n"/>
      <c r="H2" s="162" t="n"/>
      <c r="I2" s="162" t="n"/>
      <c r="J2" s="162" t="n"/>
      <c r="K2" s="162" t="n"/>
      <c r="L2" s="162" t="n"/>
      <c r="M2" s="162" t="n"/>
      <c r="N2" s="163" t="n"/>
      <c r="O2" s="169" t="n"/>
      <c r="R2" s="171" t="n"/>
      <c r="S2" s="169" t="n"/>
      <c r="Z2" s="171" t="n"/>
      <c r="AA2" s="179" t="inlineStr">
        <is>
          <t>変更</t>
        </is>
      </c>
      <c r="AB2" s="163" t="n"/>
      <c r="AC2" s="187">
        <f>IF(INDIRECT("変更履歴!AC2")&lt;&gt;"",INDIRECT("変更履歴!AC2"),"")</f>
        <v/>
      </c>
      <c r="AD2" s="162" t="n"/>
      <c r="AE2" s="162" t="n"/>
      <c r="AF2" s="163" t="n"/>
      <c r="AG2" s="306">
        <f>IF(INDIRECT("変更履歴!AG2")&lt;&gt;"",INDIRECT("変更履歴!AG2"),"")</f>
        <v/>
      </c>
      <c r="AH2" s="162" t="n"/>
      <c r="AI2" s="163" t="n"/>
      <c r="AJ2" s="307" t="n"/>
    </row>
    <row r="3" customFormat="1" s="170">
      <c r="A3" s="216" t="inlineStr">
        <is>
          <t>サブシステム名</t>
        </is>
      </c>
      <c r="B3" s="162" t="n"/>
      <c r="C3" s="162" t="n"/>
      <c r="D3" s="163" t="n"/>
      <c r="E3" s="196">
        <f>IF(INDIRECT("変更履歴!E3")&lt;&gt;"",INDIRECT("変更履歴!E3"),"")</f>
        <v/>
      </c>
      <c r="F3" s="162" t="n"/>
      <c r="G3" s="162" t="n"/>
      <c r="H3" s="162" t="n"/>
      <c r="I3" s="162" t="n"/>
      <c r="J3" s="162" t="n"/>
      <c r="K3" s="162" t="n"/>
      <c r="L3" s="162" t="n"/>
      <c r="M3" s="162" t="n"/>
      <c r="N3" s="163" t="n"/>
      <c r="O3" s="172" t="n"/>
      <c r="P3" s="173" t="n"/>
      <c r="Q3" s="173" t="n"/>
      <c r="R3" s="174" t="n"/>
      <c r="S3" s="172" t="n"/>
      <c r="T3" s="173" t="n"/>
      <c r="U3" s="173" t="n"/>
      <c r="V3" s="173" t="n"/>
      <c r="W3" s="173" t="n"/>
      <c r="X3" s="173" t="n"/>
      <c r="Y3" s="173" t="n"/>
      <c r="Z3" s="174" t="n"/>
      <c r="AA3" s="179" t="n"/>
      <c r="AB3" s="163" t="n"/>
      <c r="AC3" s="187">
        <f>IF(INDIRECT("変更履歴!AC3")&lt;&gt;"",INDIRECT("変更履歴!AC3"),"")</f>
        <v/>
      </c>
      <c r="AD3" s="162" t="n"/>
      <c r="AE3" s="162" t="n"/>
      <c r="AF3" s="163" t="n"/>
      <c r="AG3" s="306">
        <f>IF(INDIRECT("変更履歴!AG3")&lt;&gt;"",INDIRECT("変更履歴!AG3"),"")</f>
        <v/>
      </c>
      <c r="AH3" s="162" t="n"/>
      <c r="AI3" s="163" t="n"/>
      <c r="AJ3" s="307" t="n"/>
    </row>
    <row r="4" ht="12" customHeight="1"/>
    <row r="5" ht="12" customHeight="1">
      <c r="B5" t="inlineStr">
        <is>
          <t>4. WA1020103(プロジェクト登録完了画面)</t>
        </is>
      </c>
    </row>
    <row r="6" ht="12" customHeight="1">
      <c r="C6" s="220" t="inlineStr">
        <is>
          <t>4.1. 画面レイアウト</t>
        </is>
      </c>
    </row>
    <row r="7" ht="12" customHeight="1"/>
    <row r="8" ht="12" customHeight="1">
      <c r="AK8" s="140" t="n"/>
    </row>
    <row r="9" ht="12" customHeight="1"/>
    <row r="10" ht="12" customHeight="1"/>
    <row r="11" ht="12" customHeight="1"/>
    <row r="12" ht="12" customHeight="1"/>
    <row r="13" ht="12" customHeight="1"/>
    <row r="14" ht="12" customHeight="1"/>
    <row r="15" ht="12" customHeight="1"/>
    <row r="1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253" t="inlineStr">
        <is>
          <t>領域名</t>
        </is>
      </c>
      <c r="F37" s="223" t="n"/>
      <c r="G37" s="223" t="n"/>
      <c r="H37" s="223" t="n"/>
      <c r="I37" s="223" t="n"/>
      <c r="J37" s="223" t="n"/>
      <c r="K37" s="223" t="n"/>
      <c r="L37" s="223" t="n"/>
      <c r="M37" s="224" t="n"/>
      <c r="N37" s="231" t="inlineStr">
        <is>
          <t>ページング有無</t>
        </is>
      </c>
      <c r="O37" s="223" t="n"/>
      <c r="P37" s="224" t="n"/>
      <c r="Q37" s="231" t="inlineStr">
        <is>
          <t>ソート条件</t>
        </is>
      </c>
      <c r="R37" s="223" t="n"/>
      <c r="S37" s="223" t="n"/>
      <c r="T37" s="223" t="n"/>
      <c r="U37" s="224" t="n"/>
      <c r="V37" s="253" t="inlineStr">
        <is>
          <t>備考</t>
        </is>
      </c>
      <c r="W37" s="223" t="n"/>
      <c r="X37" s="223" t="n"/>
      <c r="Y37" s="223" t="n"/>
      <c r="Z37" s="223" t="n"/>
      <c r="AA37" s="223" t="n"/>
      <c r="AB37" s="223" t="n"/>
      <c r="AC37" s="224" t="n"/>
      <c r="AD37" s="103" t="n"/>
      <c r="AE37" s="103" t="n"/>
      <c r="AF37" s="103" t="n"/>
      <c r="AG37" s="103" t="n"/>
      <c r="AH37" s="103" t="n"/>
    </row>
    <row r="38" ht="11.25" customHeight="1">
      <c r="D38" s="124" t="n">
        <v>1</v>
      </c>
      <c r="E38" s="244" t="inlineStr">
        <is>
          <t>-</t>
        </is>
      </c>
      <c r="F38" s="203" t="n"/>
      <c r="G38" s="203" t="n"/>
      <c r="H38" s="203" t="n"/>
      <c r="I38" s="203" t="n"/>
      <c r="J38" s="203" t="n"/>
      <c r="K38" s="203" t="n"/>
      <c r="L38" s="203" t="n"/>
      <c r="M38" s="204" t="n"/>
      <c r="N38" s="244" t="inlineStr">
        <is>
          <t>-</t>
        </is>
      </c>
      <c r="O38" s="203" t="n"/>
      <c r="P38" s="204" t="n"/>
      <c r="Q38" s="244" t="inlineStr">
        <is>
          <t>-</t>
        </is>
      </c>
      <c r="R38" s="203" t="n"/>
      <c r="S38" s="203" t="n"/>
      <c r="T38" s="203" t="n"/>
      <c r="U38" s="204" t="n"/>
      <c r="V38" s="244" t="n"/>
      <c r="W38" s="203" t="n"/>
      <c r="X38" s="203" t="n"/>
      <c r="Y38" s="203" t="n"/>
      <c r="Z38" s="203" t="n"/>
      <c r="AA38" s="203" t="n"/>
      <c r="AB38" s="203" t="n"/>
      <c r="AC38" s="204" t="n"/>
      <c r="AM38" s="29" t="n"/>
    </row>
    <row r="39" ht="11.25" customHeight="1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/>
    <row r="41">
      <c r="C41" t="inlineStr">
        <is>
          <t>4.3. 画面項目定義</t>
        </is>
      </c>
      <c r="AK41" s="258" t="n"/>
      <c r="AL41" s="258" t="n"/>
      <c r="AM41" s="258" t="n"/>
      <c r="AN41" s="258" t="n"/>
      <c r="AO41" s="258" t="n"/>
      <c r="AP41" s="258" t="n"/>
      <c r="AQ41" s="258" t="n"/>
      <c r="AR41" s="258" t="n"/>
      <c r="AS41" s="258" t="n"/>
      <c r="AT41" s="258" t="n"/>
      <c r="AU41" s="258" t="n"/>
      <c r="AV41" s="258" t="n"/>
      <c r="AW41" s="258" t="n"/>
      <c r="AX41" s="258" t="n"/>
      <c r="AY41" s="258" t="n"/>
      <c r="AZ41" s="258" t="n"/>
      <c r="BA41" s="258" t="n"/>
    </row>
    <row r="42" customFormat="1" s="199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258">
      <c r="D43" s="255" t="inlineStr">
        <is>
          <t>No.</t>
        </is>
      </c>
      <c r="E43" s="197" t="inlineStr">
        <is>
          <t>表示情報</t>
        </is>
      </c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  <c r="AA43" s="162" t="n"/>
      <c r="AB43" s="162" t="n"/>
      <c r="AC43" s="163" t="n"/>
      <c r="AD43" s="198" t="inlineStr">
        <is>
          <t>ドメイン名</t>
        </is>
      </c>
      <c r="AE43" s="167" t="n"/>
      <c r="AF43" s="167" t="n"/>
      <c r="AG43" s="168" t="n"/>
      <c r="AH43" s="29" t="n"/>
      <c r="AI43" s="29" t="n"/>
      <c r="AK43" s="92" t="n"/>
      <c r="AL43" s="92" t="n"/>
    </row>
    <row r="44" ht="11.25" customFormat="1" customHeight="1" s="258">
      <c r="D44" s="218" t="n"/>
      <c r="E44" s="198" t="inlineStr">
        <is>
          <t>画面項目名</t>
        </is>
      </c>
      <c r="F44" s="167" t="n"/>
      <c r="G44" s="167" t="n"/>
      <c r="H44" s="168" t="n"/>
      <c r="I44" s="225" t="inlineStr">
        <is>
          <t>画面項目種別</t>
        </is>
      </c>
      <c r="J44" s="167" t="n"/>
      <c r="K44" s="167" t="n"/>
      <c r="L44" s="168" t="n"/>
      <c r="M44" s="225" t="inlineStr">
        <is>
          <t>情報取得元</t>
        </is>
      </c>
      <c r="N44" s="167" t="n"/>
      <c r="O44" s="167" t="n"/>
      <c r="P44" s="167" t="n"/>
      <c r="Q44" s="167" t="n"/>
      <c r="R44" s="167" t="n"/>
      <c r="S44" s="167" t="n"/>
      <c r="T44" s="168" t="n"/>
      <c r="U44" s="255" t="inlineStr">
        <is>
          <t>編集仕様</t>
        </is>
      </c>
      <c r="V44" s="167" t="n"/>
      <c r="W44" s="167" t="n"/>
      <c r="X44" s="167" t="n"/>
      <c r="Y44" s="168" t="n"/>
      <c r="Z44" s="255" t="inlineStr">
        <is>
          <t>初期値</t>
        </is>
      </c>
      <c r="AA44" s="167" t="n"/>
      <c r="AB44" s="168" t="n"/>
      <c r="AC44" s="198" t="inlineStr">
        <is>
          <t>必須</t>
        </is>
      </c>
      <c r="AD44" s="169" t="n"/>
      <c r="AG44" s="171" t="n"/>
      <c r="AH44" s="29" t="n"/>
      <c r="AI44" s="29" t="n"/>
      <c r="AK44" s="92" t="n"/>
      <c r="AL44" s="92" t="n"/>
    </row>
    <row r="45" customFormat="1" s="258">
      <c r="D45" s="210" t="n"/>
      <c r="E45" s="172" t="n"/>
      <c r="F45" s="173" t="n"/>
      <c r="G45" s="173" t="n"/>
      <c r="H45" s="174" t="n"/>
      <c r="I45" s="172" t="n"/>
      <c r="J45" s="173" t="n"/>
      <c r="K45" s="173" t="n"/>
      <c r="L45" s="174" t="n"/>
      <c r="M45" s="172" t="n"/>
      <c r="N45" s="173" t="n"/>
      <c r="O45" s="173" t="n"/>
      <c r="P45" s="173" t="n"/>
      <c r="Q45" s="173" t="n"/>
      <c r="R45" s="173" t="n"/>
      <c r="S45" s="173" t="n"/>
      <c r="T45" s="174" t="n"/>
      <c r="U45" s="172" t="n"/>
      <c r="V45" s="173" t="n"/>
      <c r="W45" s="173" t="n"/>
      <c r="X45" s="173" t="n"/>
      <c r="Y45" s="174" t="n"/>
      <c r="Z45" s="172" t="n"/>
      <c r="AA45" s="173" t="n"/>
      <c r="AB45" s="174" t="n"/>
      <c r="AC45" s="210" t="n"/>
      <c r="AD45" s="172" t="n"/>
      <c r="AE45" s="173" t="n"/>
      <c r="AF45" s="173" t="n"/>
      <c r="AG45" s="174" t="n"/>
      <c r="AH45" s="29" t="n"/>
      <c r="AI45" s="29" t="n"/>
      <c r="AK45" s="92" t="n"/>
      <c r="AL45" s="92" t="n"/>
    </row>
    <row r="46" ht="12" customHeight="1">
      <c r="D46" s="106" t="n">
        <v>1</v>
      </c>
      <c r="E46" s="215" t="inlineStr">
        <is>
          <t>完了メッセージ</t>
        </is>
      </c>
      <c r="F46" s="162" t="n"/>
      <c r="G46" s="162" t="n"/>
      <c r="H46" s="163" t="n"/>
      <c r="I46" s="259" t="inlineStr">
        <is>
          <t>label</t>
        </is>
      </c>
      <c r="J46" s="162" t="n"/>
      <c r="K46" s="162" t="n"/>
      <c r="L46" s="163" t="n"/>
      <c r="M46" s="175" t="inlineStr">
        <is>
          <t>-</t>
        </is>
      </c>
      <c r="N46" s="162" t="n"/>
      <c r="O46" s="162" t="n"/>
      <c r="P46" s="162" t="n"/>
      <c r="Q46" s="162" t="n"/>
      <c r="R46" s="162" t="n"/>
      <c r="S46" s="162" t="n"/>
      <c r="T46" s="163" t="n"/>
      <c r="U46" s="215" t="inlineStr">
        <is>
          <t>-</t>
        </is>
      </c>
      <c r="V46" s="162" t="n"/>
      <c r="W46" s="162" t="n"/>
      <c r="X46" s="162" t="n"/>
      <c r="Y46" s="163" t="n"/>
      <c r="Z46" s="229" t="inlineStr">
        <is>
          <t>-</t>
        </is>
      </c>
      <c r="AA46" s="162" t="n"/>
      <c r="AB46" s="163" t="n"/>
      <c r="AC46" s="112" t="inlineStr">
        <is>
          <t>-</t>
        </is>
      </c>
      <c r="AD46" s="118" t="inlineStr">
        <is>
          <t>-</t>
        </is>
      </c>
      <c r="AE46" s="119" t="n"/>
      <c r="AF46" s="119" t="n"/>
      <c r="AG46" s="120" t="n"/>
      <c r="AH46" s="103" t="n"/>
    </row>
    <row r="47" ht="11.25" customHeight="1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258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220" t="inlineStr">
        <is>
          <t>4.4. 入出力一覧</t>
        </is>
      </c>
      <c r="D49" s="258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>
      <c r="AI50" s="96" t="n"/>
      <c r="AJ50" s="96" t="n"/>
    </row>
    <row r="51">
      <c r="D51" s="235" t="inlineStr">
        <is>
          <t>No.</t>
        </is>
      </c>
      <c r="E51" s="200" t="inlineStr">
        <is>
          <t>入出力名</t>
        </is>
      </c>
      <c r="F51" s="167" t="n"/>
      <c r="G51" s="167" t="n"/>
      <c r="H51" s="167" t="n"/>
      <c r="I51" s="167" t="n"/>
      <c r="J51" s="168" t="n"/>
      <c r="K51" s="200" t="inlineStr">
        <is>
          <t>種別</t>
        </is>
      </c>
      <c r="L51" s="167" t="n"/>
      <c r="M51" s="167" t="n"/>
      <c r="N51" s="168" t="n"/>
      <c r="O51" s="209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200" t="inlineStr">
        <is>
          <t>備考</t>
        </is>
      </c>
      <c r="W51" s="167" t="n"/>
      <c r="X51" s="167" t="n"/>
      <c r="Y51" s="167" t="n"/>
      <c r="Z51" s="167" t="n"/>
      <c r="AA51" s="167" t="n"/>
      <c r="AB51" s="167" t="n"/>
      <c r="AC51" s="167" t="n"/>
      <c r="AD51" s="167" t="n"/>
      <c r="AE51" s="167" t="n"/>
      <c r="AF51" s="167" t="n"/>
      <c r="AG51" s="167" t="n"/>
      <c r="AH51" s="168" t="n"/>
    </row>
    <row r="52">
      <c r="D52" s="210" t="n"/>
      <c r="E52" s="172" t="n"/>
      <c r="F52" s="173" t="n"/>
      <c r="G52" s="173" t="n"/>
      <c r="H52" s="173" t="n"/>
      <c r="I52" s="173" t="n"/>
      <c r="J52" s="174" t="n"/>
      <c r="K52" s="172" t="n"/>
      <c r="L52" s="173" t="n"/>
      <c r="M52" s="173" t="n"/>
      <c r="N52" s="174" t="n"/>
      <c r="O52" s="210" t="n"/>
      <c r="P52" s="201" t="inlineStr">
        <is>
          <t>C</t>
        </is>
      </c>
      <c r="Q52" s="201" t="inlineStr">
        <is>
          <t>R</t>
        </is>
      </c>
      <c r="R52" s="201" t="inlineStr">
        <is>
          <t>U</t>
        </is>
      </c>
      <c r="S52" s="201" t="inlineStr">
        <is>
          <t>D</t>
        </is>
      </c>
      <c r="T52" s="201" t="inlineStr">
        <is>
          <t>ﾛｯｸ対象</t>
        </is>
      </c>
      <c r="U52" s="163" t="n"/>
      <c r="V52" s="172" t="n"/>
      <c r="W52" s="173" t="n"/>
      <c r="X52" s="173" t="n"/>
      <c r="Y52" s="173" t="n"/>
      <c r="Z52" s="173" t="n"/>
      <c r="AA52" s="173" t="n"/>
      <c r="AB52" s="173" t="n"/>
      <c r="AC52" s="173" t="n"/>
      <c r="AD52" s="173" t="n"/>
      <c r="AE52" s="173" t="n"/>
      <c r="AF52" s="173" t="n"/>
      <c r="AG52" s="173" t="n"/>
      <c r="AH52" s="174" t="n"/>
    </row>
    <row r="53">
      <c r="D53" s="111" t="n">
        <v>1</v>
      </c>
      <c r="E53" s="215" t="inlineStr">
        <is>
          <t>-</t>
        </is>
      </c>
      <c r="F53" s="162" t="n"/>
      <c r="G53" s="162" t="n"/>
      <c r="H53" s="162" t="n"/>
      <c r="I53" s="162" t="n"/>
      <c r="J53" s="163" t="n"/>
      <c r="K53" s="215" t="inlineStr">
        <is>
          <t>-</t>
        </is>
      </c>
      <c r="L53" s="162" t="n"/>
      <c r="M53" s="162" t="n"/>
      <c r="N53" s="163" t="n"/>
      <c r="O53" s="98" t="inlineStr">
        <is>
          <t>-</t>
        </is>
      </c>
      <c r="P53" s="112" t="inlineStr">
        <is>
          <t>-</t>
        </is>
      </c>
      <c r="Q53" s="112" t="inlineStr">
        <is>
          <t>-</t>
        </is>
      </c>
      <c r="R53" s="112" t="inlineStr">
        <is>
          <t>-</t>
        </is>
      </c>
      <c r="S53" s="112" t="inlineStr">
        <is>
          <t>-</t>
        </is>
      </c>
      <c r="T53" s="207" t="inlineStr">
        <is>
          <t>-</t>
        </is>
      </c>
      <c r="U53" s="163" t="n"/>
      <c r="V53" s="215" t="n"/>
      <c r="W53" s="162" t="n"/>
      <c r="X53" s="162" t="n"/>
      <c r="Y53" s="162" t="n"/>
      <c r="Z53" s="162" t="n"/>
      <c r="AA53" s="162" t="n"/>
      <c r="AB53" s="162" t="n"/>
      <c r="AC53" s="162" t="n"/>
      <c r="AD53" s="162" t="n"/>
      <c r="AE53" s="162" t="n"/>
      <c r="AF53" s="162" t="n"/>
      <c r="AG53" s="162" t="n"/>
      <c r="AH53" s="163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102" t="n"/>
      <c r="E55" s="102" t="n"/>
      <c r="F55" s="102" t="n"/>
      <c r="G55" s="102" t="n"/>
      <c r="H55" s="102" t="n"/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</row>
    <row r="56">
      <c r="C56" s="220" t="inlineStr">
        <is>
          <t>4.5. 画面イベント一覧</t>
        </is>
      </c>
    </row>
    <row r="57"/>
    <row r="58" ht="15" customHeight="1">
      <c r="D58" s="198" t="inlineStr">
        <is>
          <t>No.</t>
        </is>
      </c>
      <c r="E58" s="198" t="inlineStr">
        <is>
          <t>画面イベント名</t>
        </is>
      </c>
      <c r="F58" s="162" t="n"/>
      <c r="G58" s="162" t="n"/>
      <c r="H58" s="163" t="n"/>
      <c r="I58" s="198" t="inlineStr">
        <is>
          <t>発生タイミング</t>
        </is>
      </c>
      <c r="J58" s="162" t="n"/>
      <c r="K58" s="162" t="n"/>
      <c r="L58" s="162" t="n"/>
      <c r="M58" s="162" t="n"/>
      <c r="N58" s="162" t="n"/>
      <c r="O58" s="163" t="n"/>
      <c r="P58" s="240" t="inlineStr">
        <is>
          <t>画面イベント概要</t>
        </is>
      </c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3" t="n"/>
      <c r="Z58" s="255" t="inlineStr">
        <is>
          <t>正常時遷移先画面</t>
        </is>
      </c>
      <c r="AA58" s="162" t="n"/>
      <c r="AB58" s="162" t="n"/>
      <c r="AC58" s="162" t="n"/>
      <c r="AD58" s="163" t="n"/>
      <c r="AE58" s="260" t="inlineStr">
        <is>
          <t>サーバ通信有無</t>
        </is>
      </c>
      <c r="AF58" s="223" t="n"/>
      <c r="AG58" s="223" t="n"/>
      <c r="AH58" s="224" t="n"/>
    </row>
    <row r="59" ht="24.95" customHeight="1">
      <c r="D59" s="116" t="n">
        <v>1</v>
      </c>
      <c r="E59" s="164" t="inlineStr">
        <is>
          <t>登録開始</t>
        </is>
      </c>
      <c r="F59" s="162" t="n"/>
      <c r="G59" s="162" t="n"/>
      <c r="H59" s="163" t="n"/>
      <c r="I59" s="175" t="inlineStr">
        <is>
          <t>「次へ」ボタン押下</t>
        </is>
      </c>
      <c r="J59" s="162" t="n"/>
      <c r="K59" s="162" t="n"/>
      <c r="L59" s="162" t="n"/>
      <c r="M59" s="162" t="n"/>
      <c r="N59" s="162" t="n"/>
      <c r="O59" s="163" t="n"/>
      <c r="P59" s="175" t="inlineStr">
        <is>
          <t>プロジェクト登録画面へ遷移する。</t>
        </is>
      </c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3" t="n"/>
      <c r="Z59" s="175" t="inlineStr">
        <is>
          <t>プロジェクト登録</t>
        </is>
      </c>
      <c r="AA59" s="162" t="n"/>
      <c r="AB59" s="162" t="n"/>
      <c r="AC59" s="162" t="n"/>
      <c r="AD59" s="163" t="n"/>
      <c r="AE59" s="254" t="inlineStr">
        <is>
          <t>あり(同期)</t>
        </is>
      </c>
      <c r="AF59" s="203" t="n"/>
      <c r="AG59" s="203" t="n"/>
      <c r="AH59" s="204" t="n"/>
    </row>
    <row r="60">
      <c r="AE60" s="256" t="n"/>
      <c r="AF60" s="257" t="n"/>
      <c r="AG60" s="257" t="n"/>
      <c r="AH60" s="257" t="n"/>
    </row>
    <row r="61"/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4"/>
    <row r="65">
      <c r="E65" t="inlineStr">
        <is>
          <t>プロジェクト登録画面へ遷移する。</t>
        </is>
      </c>
    </row>
    <row r="66"/>
    <row r="67"/>
    <row r="68"/>
    <row r="69"/>
    <row r="70">
      <c r="A70" s="94" t="n"/>
    </row>
    <row r="71">
      <c r="A71" s="94" t="n"/>
    </row>
    <row r="72">
      <c r="A72" s="94" t="n"/>
    </row>
    <row r="74" ht="11.25" customHeight="1"/>
    <row r="76" ht="11.25" customHeight="1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O1:R3"/>
    <mergeCell ref="E59:H59"/>
    <mergeCell ref="A2:D2"/>
    <mergeCell ref="Z59:AD59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9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min="1" max="1"/>
    <col width="30.5" bestFit="1" customWidth="1" min="2" max="2"/>
    <col width="16.83203125" bestFit="1" customWidth="1" min="3" max="3"/>
    <col width="25.1640625" customWidth="1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241" t="inlineStr">
        <is>
          <t xml:space="preserve"> 種別一覧</t>
        </is>
      </c>
      <c r="D1" s="241" t="inlineStr">
        <is>
          <t>サーバ通信有無</t>
        </is>
      </c>
    </row>
    <row r="2">
      <c r="A2" s="214" t="inlineStr">
        <is>
          <t>-</t>
        </is>
      </c>
      <c r="B2" s="56" t="inlineStr">
        <is>
          <t>リクエストスコープ</t>
        </is>
      </c>
      <c r="C2" s="57" t="inlineStr">
        <is>
          <t>-</t>
        </is>
      </c>
      <c r="D2" s="214" t="inlineStr">
        <is>
          <t>あり(同期)</t>
        </is>
      </c>
    </row>
    <row r="3">
      <c r="A3" s="214" t="inlineStr">
        <is>
          <t>label</t>
        </is>
      </c>
      <c r="B3" s="56" t="inlineStr">
        <is>
          <t>HIDDENストア</t>
        </is>
      </c>
      <c r="C3" s="214" t="inlineStr">
        <is>
          <t>テーブル</t>
        </is>
      </c>
      <c r="D3" s="214" t="inlineStr">
        <is>
          <t>あり(非同期)</t>
        </is>
      </c>
    </row>
    <row r="4">
      <c r="A4" s="214" t="inlineStr">
        <is>
          <t>text</t>
        </is>
      </c>
      <c r="B4" s="214" t="inlineStr">
        <is>
          <t>DBストア</t>
        </is>
      </c>
      <c r="C4" s="214" t="inlineStr">
        <is>
          <t>電文</t>
        </is>
      </c>
      <c r="D4" s="214" t="inlineStr">
        <is>
          <t>なし</t>
        </is>
      </c>
    </row>
    <row r="5">
      <c r="A5" s="214" t="inlineStr">
        <is>
          <t>text(disable)</t>
        </is>
      </c>
      <c r="B5" s="214" t="inlineStr">
        <is>
          <t>HTTPセッションストア</t>
        </is>
      </c>
      <c r="C5" s="214" t="inlineStr">
        <is>
          <t>I/Fファイル</t>
        </is>
      </c>
    </row>
    <row r="6">
      <c r="A6" s="214" t="inlineStr">
        <is>
          <t>textarea</t>
        </is>
      </c>
      <c r="C6" s="214" t="inlineStr">
        <is>
          <t>帳票</t>
        </is>
      </c>
    </row>
    <row r="7">
      <c r="A7" s="214" t="inlineStr">
        <is>
          <t>radio</t>
        </is>
      </c>
      <c r="C7" s="214" t="inlineStr">
        <is>
          <t>電子メール</t>
        </is>
      </c>
    </row>
    <row r="8">
      <c r="A8" s="214" t="inlineStr">
        <is>
          <t>checkbox</t>
        </is>
      </c>
    </row>
    <row r="9">
      <c r="A9" s="214" t="inlineStr">
        <is>
          <t>select(pulldown)</t>
        </is>
      </c>
    </row>
    <row r="10">
      <c r="A10" s="214" t="inlineStr">
        <is>
          <t>select(multiple)</t>
        </is>
      </c>
    </row>
    <row r="11">
      <c r="A11" s="214" t="inlineStr">
        <is>
          <t>password</t>
        </is>
      </c>
    </row>
    <row r="12">
      <c r="A12" s="214" t="inlineStr">
        <is>
          <t>calendar</t>
        </is>
      </c>
    </row>
    <row r="13">
      <c r="A13" s="214" t="inlineStr">
        <is>
          <t>hidden</t>
        </is>
      </c>
    </row>
    <row r="14">
      <c r="A14" s="214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2026-03-13T13:59:35Z</dcterms:modified>
  <cp:lastModifiedBy>熊野　吾郎</cp:lastModifiedBy>
</cp:coreProperties>
</file>