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72D83298-1F04-4AF1-B497-542A701327F5}" xr6:coauthVersionLast="47" xr6:coauthVersionMax="47" xr10:uidLastSave="{00000000-0000-0000-0000-000000000000}"/>
  <bookViews>
    <workbookView xWindow="4845" yWindow="4845"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レビュー指摘一覧!$A$1:$O$18</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 r="A16" i="1"/>
  <c r="A15" i="1"/>
  <c r="A14" i="1"/>
  <c r="A13" i="1"/>
  <c r="A12" i="1"/>
  <c r="A11" i="1"/>
  <c r="A10" i="1"/>
  <c r="A9" i="1"/>
  <c r="A8" i="1"/>
  <c r="A7" i="1"/>
  <c r="A6" i="1"/>
  <c r="G16" i="3"/>
  <c r="P16" i="3" s="1"/>
  <c r="A5" i="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<sst xmlns="http://schemas.openxmlformats.org/spreadsheetml/2006/main" count="288" uniqueCount="223">
  <si>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</si>
  <si>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</si>
  <si>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</si>
  <si>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</si>
  <si>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</si>
  <si>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</si>
  <si>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</si>
  <si>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</si>
  <si>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</si>
  <si>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</si>
  <si>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</si>
  <si>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</si>
  <si>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</si>
  <si>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</si>
  <si>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</si>
  <si>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</si>
  <si>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</si>
  <si>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</si>
  <si>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</si>
  <si>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</si>
  <si>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</si>
  <si>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</si>
  <si>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</si>
  <si>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</si>
  <si>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</si>
  <si>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</si>
  <si>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</si>
  <si>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</si>
  <si>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</si>
  <si>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</si>
  <si>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</si>
  <si>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</si>
  <si>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</si>
  <si>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</si>
  <si>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</si>
  <si>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</si>
  <si>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</si>
  <si>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</si>
  <si>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</si>
  <si>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</si>
  <si>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</si>
  <si>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</si>
  <si>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</si>
  <si>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</si>
  <si>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</si>
  <si>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</si>
  <si>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</si>
  <si>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</si>
  <si>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</si>
  <si>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</si>
  <si>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</si>
  <si>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</si>
  <si>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</si>
  <si>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</si>
  <si>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</si>
  <si>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</si>
  <si>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</si>
  <si>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</si>
  <si>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</si>
  <si>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</si>
  <si>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</si>
  <si>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</si>
  <si>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</si>
  <si>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</si>
  <si>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</si>
  <si>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</si>
  <si>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</si>
  <si>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</si>
  <si>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</si>
  <si>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</si>
  <si>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</si>
  <si>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</si>
  <si>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</si>
  <si>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</si>
  <si>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</si>
  <si>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</si>
  <si>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</si>
  <si>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</si>
  <si>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</si>
  <si>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</si>
  <si>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</si>
  <si>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</si>
  <si>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</si>
  <si>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</si>
  <si>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</si>
  <si>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</si>
  <si>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</si>
  <si>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</si>
  <si>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</si>
  <si>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</si>
  <si>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</si>
  <si>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</si>
  <si>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</si>
  <si>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</si>
  <si>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</si>
  <si>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</si>
  <si>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</si>
  <si>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</si>
  <si>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</si>
  <si>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</si>
  <si>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</si>
  <si>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</si>
  <si>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</si>
  <si>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</si>
  <si>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</si>
  <si>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</si>
  <si>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</si>
  <si>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</si>
  <si>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</si>
  <si>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</si>
  <si>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</si>
  <si>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</si>
  <si>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</si>
  <si>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</si>
  <si>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</si>
  <si>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</si>
  <si>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</si>
  <si>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</si>
  <si>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</si>
  <si>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</si>
  <si>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</si>
  <si>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</si>
  <si>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</si>
  <si>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</si>
  <si>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</si>
  <si>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</si>
  <si>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</si>
  <si>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</si>
  <si>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</si>
  <si>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</si>
  <si>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</si>
  <si>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</si>
  <si>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</si>
  <si>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</si>
  <si>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</si>
  <si>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</si>
  <si>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</si>
  <si>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</si>
  <si>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</si>
  <si>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</si>
  <si>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</si>
  <si>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</si>
  <si>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</si>
  <si>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</si>
  <si>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</si>
  <si>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</si>
  <si>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</si>
  <si>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</si>
  <si>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</si>
  <si>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</si>
  <si>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</si>
  <si>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</si>
  <si>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</si>
  <si>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</si>
  <si>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</si>
  <si>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</si>
  <si>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</si>
  <si>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</si>
  <si>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</si>
  <si>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</si>
  <si>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</si>
  <si>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</si>
  <si>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</si>
  <si>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</si>
  <si>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</si>
  <si>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</si>
  <si>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</si>
  <si>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</si>
  <si>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</si>
  <si>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</si>
  <si>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</si>
  <si>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</si>
  <si>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</si>
  <si>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</si>
  <si>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</si>
  <si>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</si>
  <si>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</si>
  <si>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</si>
  <si>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</si>
  <si>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</si>
  <si>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</si>
  <si>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</si>
  <si>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</si>
  <si>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</si>
  <si>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</si>
  <si>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</si>
  <si>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</si>
  <si>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</si>
  <si>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</si>
  <si>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</si>
  <si>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</si>
  <si>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</si>
  <si>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</si>
  <si>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</si>
  <si>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</si>
  <si>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</si>
  <si>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</si>
  <si>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</si>
  <si>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</si>
  <si>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</si>
  <si>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</si>
  <si>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</si>
  <si>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</si>
  <si>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</si>
  <si>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</si>
  <si>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12_機能・仕様誤り</t>
  </si>
  <si>
    <t xml:space="preserve">_x000D_
機能・仕様誤りの指摘例（カテゴリd）。_x000D_
</t>
  </si>
  <si>
    <t>21_設計・ドキュメント規約違反</t>
  </si>
  <si>
    <t xml:space="preserve">_x000D_
設計・ドキュメント規約違反の指摘例（カテゴリe）。_x000D_
</t>
  </si>
  <si>
    <t>22_記述誤り</t>
  </si>
  <si>
    <t xml:space="preserve">_x000D_
記述誤りの指摘例（カテゴリf）。_x000D_
</t>
  </si>
  <si>
    <t>91_疑問点、確認</t>
  </si>
  <si>
    <t xml:space="preserve">_x000D_
疑問点・確認の指摘例（カテゴリg）。_x000D_
</t>
  </si>
  <si>
    <t xml:space="preserve">_x000D_
改善要望の指摘例（カテゴリh）。_x000D_
</t>
  </si>
  <si>
    <t>93_仕様変更</t>
  </si>
  <si>
    <t xml:space="preserve">_x000D_
仕様変更の指摘例（カテゴリi）。_x000D_
</t>
  </si>
  <si>
    <t>94_テスト項目漏れ</t>
  </si>
  <si>
    <t xml:space="preserve">_x000D_
テスト項目漏れの指摘例（カテゴリj）。_x000D_
</t>
  </si>
  <si>
    <t>95_テスト漏れ</t>
  </si>
  <si>
    <t xml:space="preserve">_x000D_
テスト漏れの指摘例（カテゴリk）。_x000D_
</t>
  </si>
  <si>
    <t>96_その他</t>
  </si>
  <si>
    <t xml:space="preserve">_x000D_
その他の指摘例（カテゴリl）。_x000D_
</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</si>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</sst>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222</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COUNTA(レビュー指摘一覧!H5:H10002)</f>
        <v>12</v>
      </c>
      <c r="E7" s="161"/>
      <c r="F7" s="76" t="s">
        <v>155</v>
      </c>
      <c r="G7" s="156"/>
      <c r="H7" s="157"/>
      <c r="I7" s="85">
        <f>COUNTIF(レビュー指摘一覧!K5:K10002,"01_要")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8"/>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47.25">
      <c r="A8" s="67">
        <f>ROW()-4</f>
        <v>4</v>
      </c>
      <c r="B8" s="24">
        <v>1</v>
      </c>
      <c r="C8" s="25" t="s">
        <v>205</v>
      </c>
      <c r="D8" s="26"/>
      <c r="E8" s="26"/>
      <c r="F8" s="26"/>
      <c r="G8" s="26"/>
      <c r="H8" s="27" t="s">
        <v>206</v>
      </c>
      <c r="I8" s="28" t="s">
        <v>193</v>
      </c>
      <c r="J8" s="27" t="s">
        <v>196</v>
      </c>
      <c r="K8" s="26"/>
      <c r="L8" s="28"/>
      <c r="M8" s="28" t="s">
        <v>197</v>
      </c>
      <c r="N8" s="30"/>
      <c r="O8" s="31"/>
    </row>
    <row r="9" spans="1:15" ht="63">
      <c r="A9" s="67">
        <f>ROW()-4</f>
        <v>5</v>
      </c>
      <c r="B9" s="24">
        <v>1</v>
      </c>
      <c r="C9" s="25" t="s">
        <v>207</v>
      </c>
      <c r="D9" s="26"/>
      <c r="E9" s="26"/>
      <c r="F9" s="26"/>
      <c r="G9" s="26"/>
      <c r="H9" s="27" t="s">
        <v>208</v>
      </c>
      <c r="I9" s="28" t="s">
        <v>193</v>
      </c>
      <c r="J9" s="27" t="s">
        <v>196</v>
      </c>
      <c r="K9" s="26"/>
      <c r="L9" s="28"/>
      <c r="M9" s="28" t="s">
        <v>197</v>
      </c>
      <c r="N9" s="30"/>
      <c r="O9" s="31"/>
    </row>
    <row r="10" spans="1:15" ht="47.25">
      <c r="A10" s="67">
        <f>ROW()-4</f>
        <v>6</v>
      </c>
      <c r="B10" s="24">
        <v>1</v>
      </c>
      <c r="C10" s="25" t="s">
        <v>209</v>
      </c>
      <c r="D10" s="26"/>
      <c r="E10" s="26"/>
      <c r="F10" s="26"/>
      <c r="G10" s="26"/>
      <c r="H10" s="27" t="s">
        <v>210</v>
      </c>
      <c r="I10" s="28" t="s">
        <v>193</v>
      </c>
      <c r="J10" s="27" t="s">
        <v>196</v>
      </c>
      <c r="K10" s="26"/>
      <c r="L10" s="28"/>
      <c r="M10" s="28" t="s">
        <v>197</v>
      </c>
      <c r="N10" s="30"/>
      <c r="O10" s="31"/>
    </row>
    <row r="11" spans="1:15" ht="47.25">
      <c r="A11" s="67">
        <f>ROW()-4</f>
        <v>7</v>
      </c>
      <c r="B11" s="24">
        <v>1</v>
      </c>
      <c r="C11" s="25" t="s">
        <v>211</v>
      </c>
      <c r="D11" s="26"/>
      <c r="E11" s="26"/>
      <c r="F11" s="26"/>
      <c r="G11" s="26"/>
      <c r="H11" s="27" t="s">
        <v>212</v>
      </c>
      <c r="I11" s="28" t="s">
        <v>193</v>
      </c>
      <c r="J11" s="27" t="s">
        <v>196</v>
      </c>
      <c r="K11" s="26"/>
      <c r="L11" s="28"/>
      <c r="M11" s="28" t="s">
        <v>197</v>
      </c>
      <c r="N11" s="30"/>
      <c r="O11" s="31"/>
    </row>
    <row r="12" spans="1:15" ht="47.25">
      <c r="A12" s="67">
        <f>ROW()-4</f>
        <v>8</v>
      </c>
      <c r="B12" s="24">
        <v>1</v>
      </c>
      <c r="C12" s="25" t="s">
        <v>70</v>
      </c>
      <c r="D12" s="26"/>
      <c r="E12" s="26"/>
      <c r="F12" s="26"/>
      <c r="G12" s="26"/>
      <c r="H12" s="27" t="s">
        <v>213</v>
      </c>
      <c r="I12" s="28" t="s">
        <v>193</v>
      </c>
      <c r="J12" s="27" t="s">
        <v>196</v>
      </c>
      <c r="K12" s="26"/>
      <c r="L12" s="28"/>
      <c r="M12" s="28" t="s">
        <v>197</v>
      </c>
      <c r="N12" s="30"/>
      <c r="O12" s="31"/>
    </row>
    <row r="13" spans="1:15" ht="47.25">
      <c r="A13" s="67">
        <f>ROW()-4</f>
        <v>9</v>
      </c>
      <c r="B13" s="24">
        <v>1</v>
      </c>
      <c r="C13" s="25" t="s">
        <v>214</v>
      </c>
      <c r="D13" s="26"/>
      <c r="E13" s="26"/>
      <c r="F13" s="26"/>
      <c r="G13" s="26"/>
      <c r="H13" s="27" t="s">
        <v>215</v>
      </c>
      <c r="I13" s="28" t="s">
        <v>193</v>
      </c>
      <c r="J13" s="27" t="s">
        <v>196</v>
      </c>
      <c r="K13" s="26"/>
      <c r="L13" s="28"/>
      <c r="M13" s="28" t="s">
        <v>197</v>
      </c>
      <c r="N13" s="30"/>
      <c r="O13" s="31"/>
    </row>
    <row r="14" spans="1:15" ht="47.25">
      <c r="A14" s="67">
        <f>ROW()-4</f>
        <v>10</v>
      </c>
      <c r="B14" s="24">
        <v>1</v>
      </c>
      <c r="C14" s="25" t="s">
        <v>216</v>
      </c>
      <c r="D14" s="26"/>
      <c r="E14" s="26"/>
      <c r="F14" s="26"/>
      <c r="G14" s="26"/>
      <c r="H14" s="27" t="s">
        <v>217</v>
      </c>
      <c r="I14" s="28" t="s">
        <v>193</v>
      </c>
      <c r="J14" s="27" t="s">
        <v>196</v>
      </c>
      <c r="K14" s="26"/>
      <c r="L14" s="28"/>
      <c r="M14" s="28" t="s">
        <v>197</v>
      </c>
      <c r="N14" s="30"/>
      <c r="O14" s="31"/>
    </row>
    <row r="15" spans="1:15" ht="47.25">
      <c r="A15" s="67">
        <f>ROW()-4</f>
        <v>11</v>
      </c>
      <c r="B15" s="24">
        <v>1</v>
      </c>
      <c r="C15" s="25" t="s">
        <v>218</v>
      </c>
      <c r="D15" s="26"/>
      <c r="E15" s="26"/>
      <c r="F15" s="26"/>
      <c r="G15" s="26"/>
      <c r="H15" s="27" t="s">
        <v>219</v>
      </c>
      <c r="I15" s="28" t="s">
        <v>193</v>
      </c>
      <c r="J15" s="27" t="s">
        <v>196</v>
      </c>
      <c r="K15" s="26"/>
      <c r="L15" s="28"/>
      <c r="M15" s="28" t="s">
        <v>197</v>
      </c>
      <c r="N15" s="30"/>
      <c r="O15" s="31"/>
    </row>
    <row r="16" spans="1:15" ht="47.25">
      <c r="A16" s="67">
        <f>ROW()-4</f>
        <v>12</v>
      </c>
      <c r="B16" s="24">
        <v>1</v>
      </c>
      <c r="C16" s="25" t="s">
        <v>220</v>
      </c>
      <c r="D16" s="26"/>
      <c r="E16" s="26"/>
      <c r="F16" s="26"/>
      <c r="G16" s="26"/>
      <c r="H16" s="27" t="s">
        <v>221</v>
      </c>
      <c r="I16" s="28" t="s">
        <v>193</v>
      </c>
      <c r="J16" s="27" t="s">
        <v>196</v>
      </c>
      <c r="K16" s="26"/>
      <c r="L16" s="28"/>
      <c r="M16" s="28" t="s">
        <v>197</v>
      </c>
      <c r="N16" s="30"/>
      <c r="O16" s="31"/>
    </row>
    <row r="17" spans="1:15" ht="60" customHeight="1">
      <c r="A17" s="67">
        <f>ROW()-4</f>
        <v>13</v>
      </c>
      <c r="B17" s="24"/>
      <c r="C17" s="25"/>
      <c r="D17" s="26"/>
      <c r="E17" s="26"/>
      <c r="F17" s="26"/>
      <c r="G17" s="26"/>
      <c r="H17" s="27"/>
      <c r="I17" s="28"/>
      <c r="J17" s="29"/>
      <c r="K17" s="26"/>
      <c r="L17" s="28"/>
      <c r="M17" s="28"/>
      <c r="N17" s="30"/>
      <c r="O17" s="31"/>
    </row>
    <row r="18" spans="1:15">
      <c r="A18" s="51" t="s">
        <v>144</v>
      </c>
      <c r="B18" s="59" t="s">
        <v>145</v>
      </c>
      <c r="C18" s="52"/>
      <c r="D18" s="53"/>
      <c r="E18" s="53"/>
      <c r="F18" s="54"/>
      <c r="G18" s="55"/>
      <c r="H18" s="56"/>
      <c r="I18" s="52"/>
      <c r="J18" s="52"/>
      <c r="K18" s="56"/>
      <c r="L18" s="52"/>
      <c r="M18" s="52"/>
      <c r="N18" s="52"/>
      <c r="O18"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7" xr:uid="{00000000-0002-0000-0100-000000000000}">
      <formula1>"〇"</formula1>
    </dataValidation>
    <dataValidation type="list" allowBlank="1" showErrorMessage="1" sqref="C5:C17" xr:uid="{00000000-0002-0000-0100-000001000000}">
      <formula1>指摘分類</formula1>
    </dataValidation>
    <dataValidation type="list" allowBlank="1" showInputMessage="1" showErrorMessage="1" sqref="F5:F17"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7" xr:uid="{00000000-0002-0000-0100-000003000000}">
      <formula1>影響度</formula1>
    </dataValidation>
    <dataValidation allowBlank="1" showErrorMessage="1" sqref="B5:B17" xr:uid="{00000000-0002-0000-0100-000004000000}"/>
    <dataValidation type="list" allowBlank="1" showInputMessage="1" showErrorMessage="1" promptTitle="対処要否を選択してください。" prompt="01_要_x000a_02_不要_x000a_03_重複_x000a_99_判断できず（TL判断要）" sqref="K5:K17" xr:uid="{00000000-0002-0000-0100-000005000000}">
      <formula1>対処要否</formula1>
    </dataValidation>
    <dataValidation type="list" allowBlank="1" showErrorMessage="1" sqref="D5:D17"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7"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2026-03-12T02:43:46Z</dcterms:modified>
</cp:coreProperties>
</file>