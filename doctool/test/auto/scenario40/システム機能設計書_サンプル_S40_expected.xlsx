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temp_dir\scenario40\"/>
    </mc:Choice>
  </mc:AlternateContent>
  <xr:revisionPtr revIDLastSave="0" documentId="13_ncr:1_{CCBE67C5-1A7F-4939-98E0-877101920B71}" xr6:coauthVersionLast="47" xr6:coauthVersionMax="47" xr10:uidLastSave="{00000000-0000-0000-0000-000000000000}"/>
  <bookViews>
    <workbookView xWindow="9885" yWindow="2775" windowWidth="38700" windowHeight="15345" tabRatio="822" xr2:uid="{00000000-000D-0000-FFFF-FFFF00000000}"/>
  </bookViews>
  <sheets>
    <sheet name="レビュー結果1回目" sheetId="9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レビュー結果1回目!$A$1:$N$15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5" i="9" l="1"/>
  <c r="Z15" i="9"/>
  <c r="Y15" i="9"/>
  <c r="X15" i="9"/>
  <c r="W15" i="9"/>
  <c r="V15" i="9"/>
  <c r="U15" i="9"/>
  <c r="T15" i="9"/>
  <c r="S15" i="9"/>
  <c r="R15" i="9"/>
  <c r="Q15" i="9"/>
  <c r="P15" i="9"/>
  <c r="O15" i="9"/>
  <c r="M10" i="9"/>
  <c r="L10" i="9"/>
  <c r="K10" i="9"/>
  <c r="J10" i="9"/>
  <c r="I10" i="9"/>
  <c r="H10" i="9"/>
  <c r="G10" i="9"/>
  <c r="F10" i="9"/>
  <c r="E10" i="9"/>
  <c r="D10" i="9"/>
  <c r="C10" i="9"/>
  <c r="B10" i="9"/>
  <c r="M9" i="9"/>
  <c r="M11" i="9" s="1"/>
  <c r="L9" i="9"/>
  <c r="L11" i="9" s="1"/>
  <c r="K9" i="9"/>
  <c r="K11" i="9" s="1"/>
  <c r="J9" i="9"/>
  <c r="J11" i="9" s="1"/>
  <c r="I9" i="9"/>
  <c r="I11" i="9" s="1"/>
  <c r="H9" i="9"/>
  <c r="G9" i="9"/>
  <c r="G11" i="9" s="1"/>
  <c r="F9" i="9"/>
  <c r="E9" i="9"/>
  <c r="E11" i="9" s="1"/>
  <c r="D9" i="9"/>
  <c r="D11" i="9" s="1"/>
  <c r="C9" i="9"/>
  <c r="B9" i="9"/>
  <c r="B11" i="9" s="1"/>
  <c r="H11" i="9" l="1"/>
  <c r="N10" i="9"/>
  <c r="F11" i="9"/>
  <c r="C11" i="9"/>
  <c r="N11" i="9"/>
  <c r="N9" i="9"/>
  <c r="AG2" i="2" l="1"/>
  <c r="AG1" i="2"/>
  <c r="AC1" i="2"/>
  <c r="AG3" i="7"/>
  <c r="E3" i="6"/>
  <c r="S1" i="3"/>
  <c r="AC3" i="7"/>
  <c r="AG2" i="6"/>
  <c r="E2" i="5"/>
  <c r="AC1" i="4"/>
  <c r="S1" i="5"/>
  <c r="E3" i="7"/>
  <c r="AG2" i="7"/>
  <c r="E2" i="6"/>
  <c r="AG1" i="6"/>
  <c r="E2" i="7"/>
  <c r="AC1" i="6"/>
  <c r="E1" i="5"/>
  <c r="AC3" i="3"/>
  <c r="AG1" i="7"/>
  <c r="S1" i="6"/>
  <c r="AG3" i="4"/>
  <c r="E3" i="3"/>
  <c r="I25" i="1"/>
  <c r="AG2" i="3"/>
  <c r="AG2" i="4"/>
  <c r="AC1" i="5"/>
  <c r="AG3" i="3"/>
  <c r="AC1" i="7"/>
  <c r="E1" i="6"/>
  <c r="AC3" i="4"/>
  <c r="S1" i="7"/>
  <c r="AG3" i="5"/>
  <c r="E3" i="4"/>
  <c r="AC2" i="2"/>
  <c r="E1" i="7"/>
  <c r="AC3" i="5"/>
  <c r="E2" i="3"/>
  <c r="E1" i="4"/>
  <c r="AG3" i="6"/>
  <c r="E3" i="5"/>
  <c r="AC2" i="4"/>
  <c r="AG1" i="3"/>
  <c r="AC2" i="5"/>
  <c r="AG1" i="4"/>
  <c r="E1" i="3"/>
  <c r="AG1" i="5"/>
  <c r="S1" i="4"/>
  <c r="AC3" i="6"/>
  <c r="AG2" i="5"/>
  <c r="E2" i="4"/>
  <c r="AC1" i="3"/>
  <c r="AC2" i="3"/>
  <c r="AC2" i="7"/>
  <c r="AC2" i="6"/>
</calcChain>
</file>

<file path=xl/sharedStrings.xml><?xml version="1.0" encoding="utf-8"?>
<sst xmlns="http://schemas.openxmlformats.org/spreadsheetml/2006/main" count="836" uniqueCount="314">
  <si>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</si>
  <si>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</si>
  <si>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</si>
  <si>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</si>
  <si>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</si>
  <si>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</si>
  <si>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</si>
  <si>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</si>
  <si>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</si>
  <si>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</si>
  <si>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</si>
  <si>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</si>
  <si>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</si>
  <si>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</si>
  <si>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</si>
  <si>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</si>
  <si>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</si>
  <si>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</si>
  <si>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</si>
  <si>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</si>
  <si>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</si>
  <si>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</si>
  <si>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</si>
  <si>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</si>
  <si>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</si>
  <si>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</si>
  <si>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</si>
  <si>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</si>
  <si>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</si>
  <si>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</si>
  <si>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</si>
  <si>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</si>
  <si>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</si>
  <si>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</si>
  <si>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</si>
  <si>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</si>
  <si>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</si>
  <si>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</si>
  <si>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</si>
  <si>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</si>
  <si>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</si>
  <si>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</si>
  <si>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</si>
  <si>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</si>
  <si>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</si>
  <si>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</si>
  <si>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</si>
  <si>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</si>
  <si>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</si>
  <si>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</si>
  <si>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</si>
  <si>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</si>
  <si>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</si>
  <si>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</si>
  <si>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</si>
  <si>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</si>
  <si>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</si>
  <si>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</si>
  <si>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</si>
  <si>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</si>
  <si>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</si>
  <si>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</si>
  <si>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</si>
  <si>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</si>
  <si>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</si>
  <si>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</si>
  <si>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</si>
  <si>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</si>
  <si>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</si>
  <si>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</si>
  <si>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</si>
  <si>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</si>
  <si>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</si>
  <si>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</si>
  <si>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</si>
  <si>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</si>
  <si>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</si>
  <si>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</si>
  <si>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</si>
  <si>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</si>
  <si>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</si>
  <si>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</si>
  <si>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</si>
  <si>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</si>
  <si>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</si>
  <si>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</si>
  <si>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</si>
  <si>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</si>
  <si>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</si>
  <si>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</si>
  <si>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</si>
  <si>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</si>
  <si>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</si>
  <si>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</si>
  <si>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</si>
  <si>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</si>
  <si>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</si>
  <si>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</si>
  <si>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</si>
  <si>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</si>
  <si>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</si>
  <si>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</si>
  <si>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</si>
  <si>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</si>
  <si>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</si>
  <si>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</si>
  <si>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</si>
  <si>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</si>
  <si>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</si>
  <si>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</si>
  <si>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</si>
  <si>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</si>
  <si>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</si>
  <si>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</si>
  <si>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</si>
  <si>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</si>
  <si>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</si>
  <si>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</si>
  <si>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</si>
  <si>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</si>
  <si>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</si>
  <si>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</si>
  <si>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</si>
  <si>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</si>
  <si>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</si>
  <si>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</si>
  <si>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</si>
  <si>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</si>
  <si>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</si>
  <si>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</si>
  <si>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</si>
  <si>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</si>
  <si>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</si>
  <si>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</si>
  <si>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</si>
  <si>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</si>
  <si>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</si>
  <si>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</si>
  <si>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</si>
  <si>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</si>
  <si>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</si>
  <si>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</si>
  <si>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</si>
  <si>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</si>
  <si>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</si>
  <si>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</si>
  <si>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</si>
  <si>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</si>
  <si>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</si>
  <si>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</si>
  <si>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</si>
  <si>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</si>
  <si>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</si>
  <si>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</si>
  <si>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</si>
  <si>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</si>
  <si>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</si>
  <si>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</si>
  <si>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</si>
  <si>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</si>
  <si>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</si>
  <si>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</si>
  <si>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</si>
  <si>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</si>
  <si>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</si>
  <si>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</si>
  <si>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</si>
  <si>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</si>
  <si>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</si>
  <si>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</si>
  <si>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</si>
  <si>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</si>
  <si>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</si>
  <si>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</si>
  <si>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</si>
  <si>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</si>
  <si>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</si>
  <si>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</si>
  <si>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</si>
  <si>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</si>
  <si>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</si>
  <si>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</si>
  <si>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</si>
  <si>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</si>
  <si>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</si>
  <si>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</si>
  <si>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</si>
  <si>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</si>
  <si>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</si>
  <si>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</si>
  <si>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</si>
  <si>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</si>
  <si>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</si>
  <si>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</si>
  <si>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</si>
  <si>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</si>
  <si>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</si>
  <si>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</si>
  <si>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</si>
  <si>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</si>
  <si>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</si>
  <si>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</si>
  <si>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</si>
  <si>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</si>
  <si>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</si>
  <si>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</si>
  <si>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</si>
  <si>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</si>
  <si>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</si>
  <si>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</si>
  <si>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</si>
  <si>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</si>
  <si>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</si>
  <si>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</si>
  <si>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</si>
  <si>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</si>
  <si>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</si>
  <si>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</si>
  <si>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</si>
  <si>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</si>
  <si>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</si>
  <si>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</si>
  <si>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</si>
  <si>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</si>
  <si>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</si>
  <si>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</si>
  <si>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</si>
  <si>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</si>
  <si>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</si>
  <si>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</si>
  <si>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</si>
  <si>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</si>
  <si>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</si>
  <si>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</si>
  <si>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</si>
  <si>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</si>
  <si>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</si>
  <si>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</si>
  <si>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</si>
  <si>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</si>
  <si>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</si>
  <si>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</si>
  <si>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</si>
  <si>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</si>
  <si>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</si>
  <si>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</si>
  <si>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</si>
  <si>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</si>
  <si>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</si>
  <si>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</si>
  <si>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</si>
  <si>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</si>
  <si>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</si>
  <si>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</si>
  <si>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</si>
  <si>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</si>
  <si>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</si>
  <si>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</si>
  <si>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</si>
  <si>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</si>
  <si>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</si>
  <si>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</si>
  <si>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</si>
  <si>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</si>
  <si>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</si>
  <si>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</si>
  <si>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</si>
  <si>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</si>
  <si>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</si>
  <si>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</si>
  <si>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</si>
  <si>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</si>
  <si>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</si>
  <si>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</si>
  <si>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</si>
  <si>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</si>
  <si>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</si>
  <si>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</si>
  <si>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</si>
  <si>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</si>
  <si>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</si>
  <si>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</si>
  <si>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</si>
  <si>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</si>
  <si>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</si>
  <si>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</si>
  <si>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j</t>
    <phoneticPr fontId="13"/>
  </si>
  <si>
    <t>k</t>
    <phoneticPr fontId="13"/>
  </si>
  <si>
    <t>l</t>
    <phoneticPr fontId="13"/>
  </si>
  <si>
    <t>対応状況</t>
    <rPh sb="0" eb="2">
      <t>タイオウ</t>
    </rPh>
    <rPh sb="2" eb="4">
      <t>ジョウキョウ</t>
    </rPh>
    <phoneticPr fontId="13"/>
  </si>
  <si>
    <t>分類001_a</t>
    <phoneticPr fontId="13"/>
  </si>
  <si>
    <t>分類002_b</t>
    <phoneticPr fontId="13"/>
  </si>
  <si>
    <t>分類003_c</t>
    <phoneticPr fontId="13"/>
  </si>
  <si>
    <t>分類004_d</t>
    <phoneticPr fontId="13"/>
  </si>
  <si>
    <t>分類005_e</t>
    <phoneticPr fontId="13"/>
  </si>
  <si>
    <t>分類006_f</t>
    <phoneticPr fontId="13"/>
  </si>
  <si>
    <t>分類007_g</t>
    <phoneticPr fontId="13"/>
  </si>
  <si>
    <t>分類008_h</t>
    <phoneticPr fontId="13"/>
  </si>
  <si>
    <t>分類009_i</t>
    <phoneticPr fontId="13"/>
  </si>
  <si>
    <t>分類010_j</t>
    <phoneticPr fontId="13"/>
  </si>
  <si>
    <t>分類011_k</t>
    <phoneticPr fontId="13"/>
  </si>
  <si>
    <t>分類012_l</t>
    <phoneticPr fontId="13"/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</si>
  <si>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</si>
  <si>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</si>
  <si>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</si>
  <si>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</si>
  <si>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</si>
  <si>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</si>
  <si>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</si>
  <si>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</si>
  <si>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</si>
  <si>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</si>
  <si>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D00001</t>
  </si>
  <si>
    <t>システム機能設計書_サンプル_S40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</si>
</sst>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30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8" borderId="0" xfId="11" applyFont="1" applyFill="1" applyAlignment="1">
      <alignment vertical="center" wrapText="1"/>
    </xf>
    <xf numFmtId="0" fontId="26" fillId="0" borderId="0" xfId="11" applyFont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178" fontId="22" fillId="9" borderId="0" xfId="11" applyNumberFormat="1" applyFont="1" applyFill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9" borderId="0" xfId="11" applyNumberFormat="1" applyFont="1" applyFill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F520-A649-4CB5-9978-D4159D221C45}">
  <sheetPr codeName="SheetTemplate">
    <tabColor indexed="44"/>
    <pageSetUpPr fitToPage="1"/>
  </sheetPr>
  <dimension ref="A1:AC15"/>
  <sheetViews>
    <sheetView showGridLines="0" tabSelected="1" view="pageBreakPreview" zoomScale="75" zoomScaleNormal="75" zoomScaleSheetLayoutView="75" workbookViewId="0">
      <pane ySplit="14" topLeftCell="A15" activePane="bottomLeft" state="frozen"/>
      <selection pane="bottomLeft" activeCell="Z14" sqref="Z14:Z16"/>
    </sheetView>
  </sheetViews>
  <sheetFormatPr defaultRowHeight="13.5" x14ac:dyDescent="0.15"/>
  <cols>
    <col min="1" max="1" width="9.33203125" style="262"/>
    <col min="2" max="14" width="17.6640625" style="262" customWidth="1"/>
    <col min="15" max="26" width="4.5" style="262" customWidth="1"/>
    <col min="27" max="27" width="98.1640625" style="262" customWidth="1"/>
    <col min="28" max="16384" width="9.33203125" style="262"/>
  </cols>
  <sheetData>
    <row r="1" spans="1:29" x14ac:dyDescent="0.15">
      <c r="A1" s="261" t="s">
        <v>265</v>
      </c>
      <c r="O1" s="263"/>
      <c r="AA1" s="264" t="s">
        <v>266</v>
      </c>
    </row>
    <row r="2" spans="1:29" x14ac:dyDescent="0.15">
      <c r="A2" s="262" t="s">
        <v>267</v>
      </c>
      <c r="B2" s="262" t="s">
        <v>312</v>
      </c>
      <c r="E2" s="265" t="s">
        <v>268</v>
      </c>
      <c r="F2" s="266"/>
      <c r="G2" s="266"/>
      <c r="H2" s="266"/>
      <c r="I2" s="267"/>
      <c r="O2" s="263"/>
    </row>
    <row r="3" spans="1:29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9" x14ac:dyDescent="0.15">
      <c r="A4" s="271" t="s">
        <v>313</v>
      </c>
      <c r="B4" s="271"/>
      <c r="C4" s="272">
        <v>1</v>
      </c>
      <c r="E4" s="273"/>
      <c r="F4" s="274"/>
      <c r="G4" s="275" t="s">
        <v>275</v>
      </c>
      <c r="H4" s="274"/>
      <c r="I4" s="272"/>
    </row>
    <row r="6" spans="1:29" x14ac:dyDescent="0.15">
      <c r="A6" s="261" t="s">
        <v>276</v>
      </c>
    </row>
    <row r="7" spans="1:29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  <c r="K7" s="270" t="s">
        <v>286</v>
      </c>
      <c r="L7" s="270" t="s">
        <v>287</v>
      </c>
      <c r="M7" s="270" t="s">
        <v>288</v>
      </c>
    </row>
    <row r="8" spans="1:29" x14ac:dyDescent="0.15">
      <c r="A8" s="269" t="s">
        <v>289</v>
      </c>
      <c r="B8" s="277" t="s">
        <v>290</v>
      </c>
      <c r="C8" s="277" t="s">
        <v>291</v>
      </c>
      <c r="D8" s="277" t="s">
        <v>292</v>
      </c>
      <c r="E8" s="278" t="s">
        <v>293</v>
      </c>
      <c r="F8" s="277" t="s">
        <v>294</v>
      </c>
      <c r="G8" s="277" t="s">
        <v>295</v>
      </c>
      <c r="H8" s="277" t="s">
        <v>296</v>
      </c>
      <c r="I8" s="277" t="s">
        <v>297</v>
      </c>
      <c r="J8" s="278" t="s">
        <v>298</v>
      </c>
      <c r="K8" s="278" t="s">
        <v>299</v>
      </c>
      <c r="L8" s="278" t="s">
        <v>300</v>
      </c>
      <c r="M8" s="278" t="s">
        <v>301</v>
      </c>
      <c r="N8" s="279" t="s">
        <v>302</v>
      </c>
      <c r="O8" s="280"/>
      <c r="P8" s="280"/>
      <c r="Q8" s="280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  <c r="AC8" s="281"/>
    </row>
    <row r="9" spans="1:29" x14ac:dyDescent="0.15">
      <c r="A9" s="269" t="s">
        <v>303</v>
      </c>
      <c r="B9" s="282" t="str">
        <f>IF(SUMIF($K15:$K15,$A9,O15:O15)=0,"",SUMIF($K15:$K15,$A9,O15:O15))</f>
        <v/>
      </c>
      <c r="C9" s="282" t="str">
        <f>IF(SUMIF($K15:$K15,$A9,P15:P15)=0,"",SUMIF($K15:$K15,$A9,P15:P15))</f>
        <v/>
      </c>
      <c r="D9" s="282" t="str">
        <f>IF(SUMIF($K15:$K15,$A9,Q15:Q15)=0,"",SUMIF($K15:$K15,$A9,Q15:Q15))</f>
        <v/>
      </c>
      <c r="E9" s="282" t="str">
        <f>IF(SUMIF($K15:$K15,$A9,R15:R15)=0,"",SUMIF($K15:$K15,$A9,R15:R15))</f>
        <v/>
      </c>
      <c r="F9" s="282" t="str">
        <f>IF(SUMIF($K15:$K15,$A9,S15:S15)=0,"",SUMIF($K15:$K15,$A9,S15:S15))</f>
        <v/>
      </c>
      <c r="G9" s="282" t="str">
        <f>IF(SUMIF($K15:$K15,$A9,T15:T15)=0,"",SUMIF($K15:$K15,$A9,T15:T15))</f>
        <v/>
      </c>
      <c r="H9" s="282" t="str">
        <f>IF(SUMIF($K15:$K15,$A9,U15:U15)=0,"",SUMIF($K15:$K15,$A9,U15:U15))</f>
        <v/>
      </c>
      <c r="I9" s="282" t="str">
        <f>IF(SUMIF($K15:$K15,$A9,V15:V15)=0,"",SUMIF($K15:$K15,$A9,V15:V15))</f>
        <v/>
      </c>
      <c r="J9" s="282" t="str">
        <f>IF(SUMIF($K15:$K15,$A9,W15:W15)=0,"",SUMIF($K15:$K15,$A9,W15:W15))</f>
        <v/>
      </c>
      <c r="K9" s="282" t="str">
        <f>IF(SUMIF($K15:$K15,$A9,X15:X15)=0,"",SUMIF($K15:$K15,$A9,X15:X15))</f>
        <v/>
      </c>
      <c r="L9" s="282" t="str">
        <f>IF(SUMIF($K15:$K15,$A9,Y15:Y15)=0,"",SUMIF($K15:$K15,$A9,Y15:Y15))</f>
        <v/>
      </c>
      <c r="M9" s="282" t="str">
        <f>IF(SUMIF($K15:$K15,$A9,Z15:Z15)=0,"",SUMIF($K15:$K15,$A9,Z15:Z15))</f>
        <v/>
      </c>
      <c r="N9" s="283">
        <f>SUM(B9:M9)</f>
        <v>0</v>
      </c>
      <c r="O9" s="284"/>
      <c r="P9" s="284"/>
      <c r="Q9" s="284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</row>
    <row r="10" spans="1:29" x14ac:dyDescent="0.15">
      <c r="A10" s="269" t="s">
        <v>304</v>
      </c>
      <c r="B10" s="282" t="str">
        <f>IF(SUMIF($K15:$K15,$A10,O15:O15)=0,"",SUMIF($K15:$K15,$A10,O15:O15))</f>
        <v/>
      </c>
      <c r="C10" s="282" t="str">
        <f>IF(SUMIF($K15:$K15,$A10,P15:P15)=0,"",SUMIF($K15:$K15,$A10,P15:P15))</f>
        <v/>
      </c>
      <c r="D10" s="282" t="str">
        <f>IF(SUMIF($K15:$K15,$A10,Q15:Q15)=0,"",SUMIF($K15:$K15,$A10,Q15:Q15))</f>
        <v/>
      </c>
      <c r="E10" s="282" t="str">
        <f>IF(SUMIF($K15:$K15,$A10,R15:R15)=0,"",SUMIF($K15:$K15,$A10,R15:R15))</f>
        <v/>
      </c>
      <c r="F10" s="282" t="str">
        <f>IF(SUMIF($K15:$K15,$A10,S15:S15)=0,"",SUMIF($K15:$K15,$A10,S15:S15))</f>
        <v/>
      </c>
      <c r="G10" s="282" t="str">
        <f>IF(SUMIF($K15:$K15,$A10,T15:T15)=0,"",SUMIF($K15:$K15,$A10,T15:T15))</f>
        <v/>
      </c>
      <c r="H10" s="282" t="str">
        <f>IF(SUMIF($K15:$K15,$A10,U15:U15)=0,"",SUMIF($K15:$K15,$A10,U15:U15))</f>
        <v/>
      </c>
      <c r="I10" s="282" t="str">
        <f>IF(SUMIF($K15:$K15,$A10,V15:V15)=0,"",SUMIF($K15:$K15,$A10,V15:V15))</f>
        <v/>
      </c>
      <c r="J10" s="282" t="str">
        <f>IF(SUMIF($K15:$K15,$A10,W15:W15)=0,"",SUMIF($K15:$K15,$A10,W15:W15))</f>
        <v/>
      </c>
      <c r="K10" s="282" t="str">
        <f>IF(SUMIF($K15:$K15,$A10,X15:X15)=0,"",SUMIF($K15:$K15,$A10,X15:X15))</f>
        <v/>
      </c>
      <c r="L10" s="282" t="str">
        <f>IF(SUMIF($K15:$K15,$A10,Y15:Y15)=0,"",SUMIF($K15:$K15,$A10,Y15:Y15))</f>
        <v/>
      </c>
      <c r="M10" s="282" t="str">
        <f>IF(SUMIF($K15:$K15,$A10,Z15:Z15)=0,"",SUMIF($K15:$K15,$A10,Z15:Z15))</f>
        <v/>
      </c>
      <c r="N10" s="283">
        <f>SUM(B10:M10)</f>
        <v>0</v>
      </c>
      <c r="O10" s="284"/>
      <c r="P10" s="284"/>
      <c r="Q10" s="284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</row>
    <row r="11" spans="1:29" x14ac:dyDescent="0.15">
      <c r="A11" s="285" t="s">
        <v>302</v>
      </c>
      <c r="B11" s="286">
        <f>SUM(B9:B10)</f>
        <v>0</v>
      </c>
      <c r="C11" s="286">
        <f t="shared" ref="C11:M11" si="0">SUM(C9:C10)</f>
        <v>0</v>
      </c>
      <c r="D11" s="286">
        <f t="shared" si="0"/>
        <v>0</v>
      </c>
      <c r="E11" s="286">
        <f t="shared" si="0"/>
        <v>0</v>
      </c>
      <c r="F11" s="286">
        <f t="shared" si="0"/>
        <v>0</v>
      </c>
      <c r="G11" s="286">
        <f t="shared" si="0"/>
        <v>0</v>
      </c>
      <c r="H11" s="286">
        <f t="shared" si="0"/>
        <v>0</v>
      </c>
      <c r="I11" s="286">
        <f t="shared" si="0"/>
        <v>0</v>
      </c>
      <c r="J11" s="286">
        <f t="shared" si="0"/>
        <v>0</v>
      </c>
      <c r="K11" s="286">
        <f t="shared" si="0"/>
        <v>0</v>
      </c>
      <c r="L11" s="286">
        <f t="shared" si="0"/>
        <v>0</v>
      </c>
      <c r="M11" s="286">
        <f t="shared" si="0"/>
        <v>0</v>
      </c>
      <c r="N11" s="286">
        <f>SUM(B11:M11)</f>
        <v>0</v>
      </c>
      <c r="O11" s="287"/>
      <c r="P11" s="287"/>
      <c r="Q11" s="287"/>
    </row>
    <row r="12" spans="1:29" x14ac:dyDescent="0.15">
      <c r="A12" s="261"/>
      <c r="B12" s="288"/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88"/>
      <c r="N12" s="288"/>
    </row>
    <row r="13" spans="1:29" x14ac:dyDescent="0.15">
      <c r="A13" s="289" t="s">
        <v>305</v>
      </c>
      <c r="B13" s="290"/>
      <c r="C13" s="290"/>
      <c r="D13" s="290"/>
      <c r="F13" s="290"/>
      <c r="O13" s="263" t="s">
        <v>306</v>
      </c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</row>
    <row r="14" spans="1:29" x14ac:dyDescent="0.15">
      <c r="A14" s="291" t="s">
        <v>307</v>
      </c>
      <c r="B14" s="291" t="s">
        <v>308</v>
      </c>
      <c r="C14" s="291" t="s">
        <v>309</v>
      </c>
      <c r="D14" s="291" t="s">
        <v>310</v>
      </c>
      <c r="E14" s="292" t="s">
        <v>311</v>
      </c>
      <c r="F14" s="293"/>
      <c r="G14" s="294"/>
      <c r="H14" s="294"/>
      <c r="I14" s="294"/>
      <c r="J14" s="295"/>
      <c r="K14" s="296" t="s">
        <v>289</v>
      </c>
      <c r="O14" s="297" t="s">
        <v>277</v>
      </c>
      <c r="P14" s="297" t="s">
        <v>278</v>
      </c>
      <c r="Q14" s="297" t="s">
        <v>279</v>
      </c>
      <c r="R14" s="297" t="s">
        <v>280</v>
      </c>
      <c r="S14" s="297" t="s">
        <v>281</v>
      </c>
      <c r="T14" s="297" t="s">
        <v>282</v>
      </c>
      <c r="U14" s="297" t="s">
        <v>283</v>
      </c>
      <c r="V14" s="297" t="s">
        <v>284</v>
      </c>
      <c r="W14" s="297" t="s">
        <v>285</v>
      </c>
      <c r="X14" s="297" t="s">
        <v>286</v>
      </c>
      <c r="Y14" s="297" t="s">
        <v>287</v>
      </c>
      <c r="Z14" s="297" t="s">
        <v>288</v>
      </c>
    </row>
    <row r="15" spans="1:29" x14ac:dyDescent="0.15">
      <c r="A15" s="272"/>
      <c r="B15" s="272"/>
      <c r="C15" s="272"/>
      <c r="D15" s="272"/>
      <c r="E15" s="271"/>
      <c r="F15" s="271"/>
      <c r="G15" s="271"/>
      <c r="H15" s="271"/>
      <c r="I15" s="271"/>
      <c r="J15" s="271"/>
      <c r="K15" s="272"/>
      <c r="O15" s="298">
        <f t="shared" ref="O15:Z15" si="1">IF($D15=O$14,1,0)</f>
        <v>0</v>
      </c>
      <c r="P15" s="298">
        <f t="shared" si="1"/>
        <v>0</v>
      </c>
      <c r="Q15" s="298">
        <f t="shared" si="1"/>
        <v>0</v>
      </c>
      <c r="R15" s="298">
        <f t="shared" si="1"/>
        <v>0</v>
      </c>
      <c r="S15" s="298">
        <f t="shared" si="1"/>
        <v>0</v>
      </c>
      <c r="T15" s="298">
        <f t="shared" si="1"/>
        <v>0</v>
      </c>
      <c r="U15" s="298">
        <f t="shared" si="1"/>
        <v>0</v>
      </c>
      <c r="V15" s="298">
        <f t="shared" si="1"/>
        <v>0</v>
      </c>
      <c r="W15" s="298">
        <f t="shared" si="1"/>
        <v>0</v>
      </c>
      <c r="X15" s="298">
        <f t="shared" si="1"/>
        <v>0</v>
      </c>
      <c r="Y15" s="298">
        <f t="shared" si="1"/>
        <v>0</v>
      </c>
      <c r="Z15" s="298">
        <f t="shared" si="1"/>
        <v>0</v>
      </c>
      <c r="AA15" s="299" t="str">
        <f>IF(E15&lt;&gt;"",E15,"")</f>
        <v/>
      </c>
    </row>
  </sheetData>
  <mergeCells count="3">
    <mergeCell ref="A3:B3"/>
    <mergeCell ref="A4:B4"/>
    <mergeCell ref="E15:J15"/>
  </mergeCells>
  <phoneticPr fontId="10"/>
  <conditionalFormatting sqref="A15:K15">
    <cfRule type="expression" dxfId="0" priority="1" stopIfTrue="1">
      <formula>$K15="済"</formula>
    </cfRule>
  </conditionalFormatting>
  <dataValidations count="1">
    <dataValidation type="list" allowBlank="1" showInputMessage="1" showErrorMessage="1" sqref="K15:N15" xr:uid="{9D1B8855-22A8-42BF-949F-B42DE1260811}">
      <formula1>"未,済"</formula1>
    </dataValidation>
  </dataValidations>
  <pageMargins left="0.75" right="0.75" top="1" bottom="1" header="0.51200000000000001" footer="0.51200000000000001"/>
  <pageSetup paperSize="9" scale="67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8" spans="1:35" ht="11.25" x14ac:dyDescent="0.15"/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/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3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3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3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3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3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3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3:48" x14ac:dyDescent="0.15"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3:48" ht="11.25" customHeight="1" x14ac:dyDescent="0.15"/>
    <row r="73" spans="3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3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3:48" ht="11.25" customHeight="1" x14ac:dyDescent="0.15">
      <c r="AI75" s="96"/>
      <c r="AJ75" s="96"/>
    </row>
    <row r="76" spans="3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3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3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3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3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熊野　吾郎</cp:lastModifiedBy>
  <dcterms:created xsi:type="dcterms:W3CDTF">2022-09-22T01:54:30Z</dcterms:created>
  <dcterms:modified xsi:type="dcterms:W3CDTF">2026-03-16T06:02:13Z</dcterms:modified>
</cp:coreProperties>
</file>