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15\"/>
    </mc:Choice>
  </mc:AlternateContent>
  <xr:revisionPtr revIDLastSave="0" documentId="13_ncr:1_{01A1C329-FFB0-4A1A-90E4-D6C4E8001D4E}" xr6:coauthVersionLast="47" xr6:coauthVersionMax="47" xr10:uidLastSave="{00000000-0000-0000-0000-000000000000}"/>
  <bookViews>
    <workbookView xWindow="-120" yWindow="-120" windowWidth="51840" windowHeight="21120" tabRatio="822" xr2:uid="{00000000-000D-0000-FFFF-FFFF00000000}"/>
  </bookViews>
  <sheets>
    <sheet name="エラーシート" sheetId="13" r:id="rId1"/>
    <sheet name="レビュー結果1回目" sheetId="12" r:id="rId2"/>
    <sheet name="表紙" sheetId="1" r:id="rId3"/>
    <sheet name="変更履歴" sheetId="2" r:id="rId4"/>
    <sheet name="目次" sheetId="3" r:id="rId5"/>
    <sheet name="1.  画面取引定義" sheetId="4" r:id="rId6"/>
    <sheet name="2. WA1020101(プロジェクト登録画面)" sheetId="5" r:id="rId7"/>
    <sheet name="3. WA1020102(プロジェクト登録確認画面)" sheetId="6" r:id="rId8"/>
    <sheet name="4. WA1020103(プロジェクト登録完了画面)" sheetId="7" r:id="rId9"/>
    <sheet name="データ" sheetId="8" state="hidden" r:id="rId10"/>
  </sheets>
  <definedNames>
    <definedName name="_Toc46209822" localSheetId="5">'1.  画面取引定義'!$B$5</definedName>
    <definedName name="_xlnm.Print_Area" localSheetId="5">'1.  画面取引定義'!$A$1:$AI$21</definedName>
    <definedName name="_xlnm.Print_Area" localSheetId="6">'2. WA1020101(プロジェクト登録画面)'!$A$1:$AI$180</definedName>
    <definedName name="_xlnm.Print_Area" localSheetId="7">'3. WA1020102(プロジェクト登録確認画面)'!$A$1:$AI$136</definedName>
    <definedName name="_xlnm.Print_Area" localSheetId="8">'4. WA1020103(プロジェクト登録完了画面)'!$A$1:$AI$68</definedName>
    <definedName name="_xlnm.Print_Area" localSheetId="9">データ!$A$1:$E$15</definedName>
    <definedName name="_xlnm.Print_Area" localSheetId="1">レビュー結果1回目!$A$1:$K$23</definedName>
    <definedName name="_xlnm.Print_Area" localSheetId="2">表紙!$A$1:$S$39</definedName>
    <definedName name="_xlnm.Print_Area" localSheetId="3">変更履歴!$A$1:$AI$34</definedName>
    <definedName name="_xlnm.Print_Area" localSheetId="4">目次!$A$1:$AI$33</definedName>
    <definedName name="_xlnm.Print_Titles" localSheetId="5">'1.  画面取引定義'!$1:$4</definedName>
    <definedName name="_xlnm.Print_Titles" localSheetId="6">'2. WA1020101(プロジェクト登録画面)'!$1:$4</definedName>
    <definedName name="_xlnm.Print_Titles" localSheetId="7">'3. WA1020102(プロジェクト登録確認画面)'!$1:$4</definedName>
    <definedName name="_xlnm.Print_Titles" localSheetId="8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12" l="1"/>
  <c r="S23" i="12"/>
  <c r="R23" i="12"/>
  <c r="Q23" i="12"/>
  <c r="P23" i="12"/>
  <c r="O23" i="12"/>
  <c r="N23" i="12"/>
  <c r="M23" i="12"/>
  <c r="L23" i="12"/>
  <c r="T22" i="12"/>
  <c r="S22" i="12"/>
  <c r="R22" i="12"/>
  <c r="Q22" i="12"/>
  <c r="P22" i="12"/>
  <c r="O22" i="12"/>
  <c r="N22" i="12"/>
  <c r="M22" i="12"/>
  <c r="L22" i="12"/>
  <c r="T21" i="12"/>
  <c r="S21" i="12"/>
  <c r="R21" i="12"/>
  <c r="Q21" i="12"/>
  <c r="P21" i="12"/>
  <c r="O21" i="12"/>
  <c r="N21" i="12"/>
  <c r="M21" i="12"/>
  <c r="L21" i="12"/>
  <c r="T20" i="12"/>
  <c r="S20" i="12"/>
  <c r="R20" i="12"/>
  <c r="Q20" i="12"/>
  <c r="P20" i="12"/>
  <c r="O20" i="12"/>
  <c r="N20" i="12"/>
  <c r="M20" i="12"/>
  <c r="L20" i="12"/>
  <c r="T19" i="12"/>
  <c r="S19" i="12"/>
  <c r="R19" i="12"/>
  <c r="Q19" i="12"/>
  <c r="P19" i="12"/>
  <c r="O19" i="12"/>
  <c r="N19" i="12"/>
  <c r="M19" i="12"/>
  <c r="L19" i="12"/>
  <c r="T18" i="12"/>
  <c r="S18" i="12"/>
  <c r="R18" i="12"/>
  <c r="Q18" i="12"/>
  <c r="P18" i="12"/>
  <c r="O18" i="12"/>
  <c r="N18" i="12"/>
  <c r="M18" i="12"/>
  <c r="L18" i="12"/>
  <c r="T17" i="12"/>
  <c r="S17" i="12"/>
  <c r="R17" i="12"/>
  <c r="H9" i="12" s="1"/>
  <c r="Q17" i="12"/>
  <c r="G9" i="12" s="1"/>
  <c r="P17" i="12"/>
  <c r="F9" i="12" s="1"/>
  <c r="O17" i="12"/>
  <c r="E9" i="12" s="1"/>
  <c r="N17" i="12"/>
  <c r="D9" i="12" s="1"/>
  <c r="M17" i="12"/>
  <c r="C9" i="12" s="1"/>
  <c r="L17" i="12"/>
  <c r="T16" i="12"/>
  <c r="S16" i="12"/>
  <c r="R16" i="12"/>
  <c r="Q16" i="12"/>
  <c r="P16" i="12"/>
  <c r="O16" i="12"/>
  <c r="N16" i="12"/>
  <c r="M16" i="12"/>
  <c r="L16" i="12"/>
  <c r="T15" i="12"/>
  <c r="S15" i="12"/>
  <c r="R15" i="12"/>
  <c r="Q15" i="12"/>
  <c r="G10" i="12" s="1"/>
  <c r="P15" i="12"/>
  <c r="O15" i="12"/>
  <c r="N15" i="12"/>
  <c r="M15" i="12"/>
  <c r="L15" i="12"/>
  <c r="I9" i="12"/>
  <c r="B9" i="12"/>
  <c r="D10" i="12" l="1"/>
  <c r="D11" i="12" s="1"/>
  <c r="B10" i="12"/>
  <c r="B11" i="12" s="1"/>
  <c r="C10" i="12"/>
  <c r="C11" i="12" s="1"/>
  <c r="E10" i="12"/>
  <c r="E11" i="12" s="1"/>
  <c r="F10" i="12"/>
  <c r="F11" i="12" s="1"/>
  <c r="H10" i="12"/>
  <c r="I10" i="12"/>
  <c r="I11" i="12" s="1"/>
  <c r="G11" i="12"/>
  <c r="J9" i="12"/>
  <c r="J10" i="12" l="1"/>
  <c r="H11" i="12"/>
  <c r="J11" i="12" s="1"/>
  <c r="AG2" i="2" l="1"/>
  <c r="AG1" i="2"/>
  <c r="AC1" i="2"/>
  <c r="AG3" i="7"/>
  <c r="E3" i="6"/>
  <c r="AG1" i="4"/>
  <c r="S1" i="3"/>
  <c r="AG2" i="6"/>
  <c r="E2" i="5"/>
  <c r="AC1" i="4"/>
  <c r="E1" i="3"/>
  <c r="AG1" i="5"/>
  <c r="S1" i="4"/>
  <c r="AC3" i="7"/>
  <c r="E3" i="7"/>
  <c r="AG2" i="7"/>
  <c r="E2" i="6"/>
  <c r="AC1" i="5"/>
  <c r="E1" i="4"/>
  <c r="AC2" i="2"/>
  <c r="AC2" i="7"/>
  <c r="AG3" i="4"/>
  <c r="E2" i="7"/>
  <c r="AG1" i="7"/>
  <c r="AC1" i="7"/>
  <c r="S1" i="7"/>
  <c r="AG3" i="5"/>
  <c r="E3" i="4"/>
  <c r="AC2" i="3"/>
  <c r="E1" i="7"/>
  <c r="AC3" i="5"/>
  <c r="AG2" i="4"/>
  <c r="E2" i="3"/>
  <c r="E3" i="5"/>
  <c r="AG1" i="3"/>
  <c r="AG1" i="6"/>
  <c r="S1" i="5"/>
  <c r="I25" i="1"/>
  <c r="AC3" i="4"/>
  <c r="AG2" i="3"/>
  <c r="AG3" i="6"/>
  <c r="AC2" i="4"/>
  <c r="AC1" i="3"/>
  <c r="AG3" i="3"/>
  <c r="AC1" i="6"/>
  <c r="AC3" i="3"/>
  <c r="AC3" i="6"/>
  <c r="AG2" i="5"/>
  <c r="E2" i="4"/>
  <c r="E1" i="5"/>
  <c r="S1" i="6"/>
  <c r="E3" i="3"/>
  <c r="E1" i="6"/>
  <c r="AC2" i="6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E66" authorId="1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太郎:g
疑問点・確認の指摘例（カテゴリg）。</t>
        </r>
      </text>
    </comment>
    <comment ref="E67" authorId="1" shapeId="0" xr:uid="{00000000-0006-0000-0400-000009000000}">
      <text>
        <r>
          <rPr>
            <sz val="9"/>
            <rFont val="ＭＳ 明朝"/>
            <family val="1"/>
            <charset val="128"/>
          </rPr>
          <t>山田　太郎:h
改善要望の指摘例（カテゴリh）。</t>
        </r>
      </text>
    </comment>
    <comment ref="E68" authorId="1" shapeId="0" xr:uid="{00000000-0006-0000-0400-00000A000000}">
      <text>
        <r>
          <rPr>
            <sz val="9"/>
            <rFont val="ＭＳ 明朝"/>
            <family val="1"/>
            <charset val="128"/>
          </rPr>
          <t>山田　太郎:i
仕様変更の指摘例（カテゴリi）。</t>
        </r>
      </text>
    </comment>
    <comment ref="E69" authorId="1" shapeId="0" xr:uid="{00000000-0006-0000-0400-00000B000000}">
      <text>
        <r>
          <rPr>
            <sz val="9"/>
            <rFont val="ＭＳ 明朝"/>
            <family val="1"/>
            <charset val="128"/>
          </rPr>
          <t>山田　太郎:j
テスト項目漏れの指摘例（カテゴリj）。</t>
        </r>
      </text>
    </comment>
    <comment ref="E70" authorId="1" shapeId="0" xr:uid="{00000000-0006-0000-0400-00000C000000}">
      <text>
        <r>
          <rPr>
            <sz val="9"/>
            <rFont val="ＭＳ 明朝"/>
            <family val="1"/>
            <charset val="128"/>
          </rPr>
          <t>山田　太郎:k
テスト漏れの指摘例（カテゴリk）。</t>
        </r>
      </text>
    </comment>
    <comment ref="A71" authorId="0" shapeId="0" xr:uid="{00000000-0006-0000-0400-00000D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  <comment ref="E71" authorId="1" shapeId="0" xr:uid="{00000000-0006-0000-0400-00000E000000}">
      <text>
        <r>
          <rPr>
            <sz val="9"/>
            <rFont val="ＭＳ 明朝"/>
            <family val="1"/>
            <charset val="128"/>
          </rPr>
          <t>山田　太郎:l
その他の指摘例（カテゴリl）。</t>
        </r>
      </text>
    </comment>
  </commentList>
</comments>
</file>

<file path=xl/sharedStrings.xml><?xml version="1.0" encoding="utf-8"?>
<sst xmlns="http://schemas.openxmlformats.org/spreadsheetml/2006/main" count="882" uniqueCount="342">
  <si>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</si>
  <si>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</si>
  <si>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</si>
  <si>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</si>
  <si>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</si>
  <si>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</si>
  <si>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</si>
  <si>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</si>
  <si>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</si>
  <si>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</si>
  <si>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</si>
  <si>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</si>
  <si>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</si>
  <si>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</si>
  <si>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</si>
  <si>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</si>
  <si>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</si>
  <si>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</si>
  <si>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</si>
  <si>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</si>
  <si>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</si>
  <si>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</si>
  <si>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</si>
  <si>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</si>
  <si>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</si>
  <si>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</si>
  <si>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</si>
  <si>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</si>
  <si>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</si>
  <si>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</si>
  <si>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</si>
  <si>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</si>
  <si>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</si>
  <si>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</si>
  <si>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</si>
  <si>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</si>
  <si>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</si>
  <si>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</si>
  <si>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</si>
  <si>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</si>
  <si>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</si>
  <si>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</si>
  <si>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</si>
  <si>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</si>
  <si>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</si>
  <si>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</si>
  <si>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</si>
  <si>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</si>
  <si>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</si>
  <si>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</si>
  <si>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</si>
  <si>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</si>
  <si>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</si>
  <si>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</si>
  <si>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</si>
  <si>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</si>
  <si>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</si>
  <si>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</si>
  <si>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</si>
  <si>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</si>
  <si>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</si>
  <si>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</si>
  <si>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</si>
  <si>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</si>
  <si>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</si>
  <si>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</si>
  <si>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</si>
  <si>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</si>
  <si>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</si>
  <si>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</si>
  <si>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</si>
  <si>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</si>
  <si>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</si>
  <si>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</si>
  <si>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</si>
  <si>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</si>
  <si>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</si>
  <si>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</si>
  <si>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</si>
  <si>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</si>
  <si>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</si>
  <si>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</si>
  <si>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</si>
  <si>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</si>
  <si>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</si>
  <si>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</si>
  <si>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</si>
  <si>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</si>
  <si>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</si>
  <si>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</si>
  <si>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</si>
  <si>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</si>
  <si>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</si>
  <si>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</si>
  <si>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</si>
  <si>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</si>
  <si>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</si>
  <si>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</si>
  <si>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</si>
  <si>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</si>
  <si>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</si>
  <si>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</si>
  <si>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</si>
  <si>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</si>
  <si>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</si>
  <si>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</si>
  <si>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</si>
  <si>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</si>
  <si>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</si>
  <si>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</si>
  <si>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</si>
  <si>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</si>
  <si>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</si>
  <si>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</si>
  <si>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</si>
  <si>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</si>
  <si>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</si>
  <si>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</si>
  <si>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</si>
  <si>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</si>
  <si>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</si>
  <si>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</si>
  <si>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</si>
  <si>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</si>
  <si>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</si>
  <si>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</si>
  <si>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</si>
  <si>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</si>
  <si>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</si>
  <si>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</si>
  <si>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</si>
  <si>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</si>
  <si>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</si>
  <si>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</si>
  <si>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</si>
  <si>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</si>
  <si>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</si>
  <si>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</si>
  <si>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</si>
  <si>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</si>
  <si>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</si>
  <si>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</si>
  <si>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</si>
  <si>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</si>
  <si>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</si>
  <si>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</si>
  <si>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</si>
  <si>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</si>
  <si>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</si>
  <si>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</si>
  <si>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</si>
  <si>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</si>
  <si>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</si>
  <si>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</si>
  <si>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</si>
  <si>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</si>
  <si>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</si>
  <si>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</si>
  <si>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</si>
  <si>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</si>
  <si>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</si>
  <si>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</si>
  <si>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</si>
  <si>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</si>
  <si>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</si>
  <si>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</si>
  <si>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</si>
  <si>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</si>
  <si>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</si>
  <si>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</si>
  <si>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</si>
  <si>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</si>
  <si>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</si>
  <si>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</si>
  <si>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</si>
  <si>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</si>
  <si>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</si>
  <si>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</si>
  <si>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</si>
  <si>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</si>
  <si>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</si>
  <si>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</si>
  <si>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</si>
  <si>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</si>
  <si>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</si>
  <si>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</si>
  <si>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</si>
  <si>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</si>
  <si>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</si>
  <si>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</si>
  <si>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</si>
  <si>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</si>
  <si>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</si>
  <si>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</si>
  <si>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</si>
  <si>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</si>
  <si>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</si>
  <si>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</si>
  <si>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</si>
  <si>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</si>
  <si>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</si>
  <si>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</si>
  <si>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</si>
  <si>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</si>
  <si>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</si>
  <si>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</si>
  <si>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</si>
  <si>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</si>
  <si>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</si>
  <si>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</si>
  <si>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</si>
  <si>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</si>
  <si>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</si>
  <si>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</si>
  <si>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</si>
  <si>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</si>
  <si>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</si>
  <si>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</si>
  <si>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</si>
  <si>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</si>
  <si>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</si>
  <si>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</si>
  <si>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</si>
  <si>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</si>
  <si>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</si>
  <si>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</si>
  <si>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</si>
  <si>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</si>
  <si>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</si>
  <si>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</si>
  <si>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</si>
  <si>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</si>
  <si>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</si>
  <si>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</si>
  <si>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</si>
  <si>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</si>
  <si>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</si>
  <si>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</si>
  <si>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</si>
  <si>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</si>
  <si>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</si>
  <si>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</si>
  <si>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</si>
  <si>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</si>
  <si>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</si>
  <si>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</si>
  <si>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</si>
  <si>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</si>
  <si>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</si>
  <si>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</si>
  <si>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</si>
  <si>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</si>
  <si>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</si>
  <si>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</si>
  <si>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</si>
  <si>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</si>
  <si>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</si>
  <si>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</si>
  <si>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</si>
  <si>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</si>
  <si>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</si>
  <si>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</si>
  <si>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</si>
  <si>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</si>
  <si>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</si>
  <si>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</si>
  <si>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</si>
  <si>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</si>
  <si>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</si>
  <si>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</si>
  <si>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</si>
  <si>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</si>
  <si>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</si>
  <si>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</si>
  <si>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</si>
  <si>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</si>
  <si>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</si>
  <si>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</si>
  <si>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</si>
  <si>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</si>
  <si>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</si>
  <si>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</si>
  <si>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</si>
  <si>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</si>
  <si>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</si>
  <si>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</si>
  <si>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</si>
  <si>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</si>
  <si>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</si>
  <si>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</si>
  <si>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</si>
  <si>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</si>
  <si>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</si>
  <si>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</si>
  <si>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</si>
  <si>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</si>
  <si>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</si>
  <si>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</si>
  <si>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</si>
  <si>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</si>
  <si>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システム機能設計書_サンプル_S15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</si>
  <si>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</si>
  <si>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</si>
  <si>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</si>
  <si>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</si>
  <si>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</si>
  <si>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</si>
  <si>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</si>
  <si>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</si>
  <si>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</si>
  <si>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</si>
  <si>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</si>
  <si>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</si>
  <si>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</si>
  <si>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</si>
  <si>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</si>
  <si>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</si>
  <si>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</si>
  <si>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</si>
  <si>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E65</t>
  </si>
  <si>
    <t>f</t>
  </si>
  <si>
    <t>記述誤りの指摘例（カテゴリf）。</t>
  </si>
  <si>
    <t>＜エラー＞</t>
    <phoneticPr fontId="13"/>
  </si>
  <si>
    <t>エラー内容</t>
    <rPh sb="3" eb="5">
      <t>ナイヨウ</t>
    </rPh>
    <phoneticPr fontId="13"/>
  </si>
  <si>
    <t>未登録の指摘分類エイリアスが記入されています: i</t>
  </si>
  <si>
    <t>2. WA1020101(プロジェクト登録画面)'!$E$68</t>
  </si>
  <si>
    <t>未登録の指摘分類エイリアスが記入されています: j</t>
  </si>
  <si>
    <t>2. WA1020101(プロジェクト登録画面)'!$E$69</t>
  </si>
  <si>
    <t>未登録の指摘分類エイリアスが記入されています: k</t>
  </si>
  <si>
    <t>2. WA1020101(プロジェクト登録画面)'!$E$70</t>
  </si>
  <si>
    <t>未登録の指摘分類エイリアスが記入されています: l</t>
  </si>
  <si>
    <t>2. WA1020101(プロジェクト登録画面)'!$E$71</t>
  </si>
  <si>
    <t>g</t>
    <phoneticPr fontId="13"/>
  </si>
  <si>
    <t>h</t>
    <phoneticPr fontId="13"/>
  </si>
  <si>
    <t>91_疑問点、確認</t>
    <phoneticPr fontId="13"/>
  </si>
  <si>
    <t>92_改善要望</t>
    <phoneticPr fontId="13"/>
  </si>
  <si>
    <t>E66</t>
  </si>
  <si>
    <t>g</t>
  </si>
  <si>
    <t>疑問点・確認の指摘例（カテゴリg）。</t>
  </si>
  <si>
    <t>E67</t>
  </si>
  <si>
    <t>h</t>
  </si>
  <si>
    <t>改善要望の指摘例（カテゴリh）。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</si>
</sst>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  <xf numFmtId="0" fontId="17" fillId="0" borderId="0" xfId="5" quotePrefix="1">
      <alignment vertical="top"/>
      <protection locked="0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8285-4E32-426B-BD85-0DFDD90BC7E8}">
  <sheetPr codeName="ErrorSheetTemplate">
    <tabColor theme="3" tint="0.59999389629810485"/>
  </sheetPr>
  <dimension ref="A1:B6"/>
  <sheetViews>
    <sheetView tabSelected="1" workbookViewId="0"/>
  </sheetViews>
  <sheetFormatPr defaultRowHeight="13.5" x14ac:dyDescent="0.15"/>
  <cols>
    <col min="1" max="1" width="105.1640625" style="287" customWidth="1"/>
    <col min="2" max="2" width="42.1640625" style="262" customWidth="1"/>
    <col min="3" max="16384" width="9.33203125" style="262"/>
  </cols>
  <sheetData>
    <row r="1" spans="1:2" x14ac:dyDescent="0.15">
      <c r="A1" s="286" t="s">
        <v>322</v>
      </c>
    </row>
    <row r="2" spans="1:2" x14ac:dyDescent="0.15">
      <c r="A2" s="287" t="s">
        <v>323</v>
      </c>
      <c r="B2" s="262" t="s">
        <v>296</v>
      </c>
    </row>
    <row r="3" spans="1:2" x14ac:dyDescent="0.15">
      <c r="A3" s="287" t="s">
        <v>324</v>
      </c>
      <c r="B3" s="299" t="s">
        <v>325</v>
      </c>
    </row>
    <row r="4" spans="1:2" x14ac:dyDescent="0.15">
      <c r="A4" s="287" t="s">
        <v>326</v>
      </c>
      <c r="B4" s="299" t="s">
        <v>327</v>
      </c>
    </row>
    <row r="5" spans="1:2" x14ac:dyDescent="0.15">
      <c r="A5" s="287" t="s">
        <v>328</v>
      </c>
      <c r="B5" s="299" t="s">
        <v>329</v>
      </c>
    </row>
    <row r="6" spans="1:2" x14ac:dyDescent="0.15">
      <c r="A6" s="287" t="s">
        <v>330</v>
      </c>
      <c r="B6" s="299" t="s">
        <v>331</v>
      </c>
    </row>
  </sheetData>
  <phoneticPr fontId="10"/>
  <hyperlinks>
    <hyperlink ref="B3" location="'2. WA1020101(プロジェクト登録画面)'!$E$68" display="'2. WA1020101(プロジェクト登録画面)'!$E$68" xr:uid="{74692CB8-035E-42DD-9C57-6A9AA12E4DF7}"/>
    <hyperlink ref="B4" location="'2. WA1020101(プロジェクト登録画面)'!$E$69" display="'2. WA1020101(プロジェクト登録画面)'!$E$69" xr:uid="{CA9809D3-E479-4E09-BEF0-4B11BACDE3FD}"/>
    <hyperlink ref="B5" location="'2. WA1020101(プロジェクト登録画面)'!$E$70" display="'2. WA1020101(プロジェクト登録画面)'!$E$70" xr:uid="{94060CBD-89A8-422C-994C-EF150894B934}"/>
    <hyperlink ref="B6" location="'2. WA1020101(プロジェクト登録画面)'!$E$71" display="'2. WA1020101(プロジェクト登録画面)'!$E$71" xr:uid="{C2FD615F-FBEA-4ED2-8012-8A1CF01B7B95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09A5-97B6-495F-9A0C-B4E2A4176C9A}">
  <sheetPr codeName="SheetTemplate">
    <tabColor indexed="44"/>
    <pageSetUpPr fitToPage="1"/>
  </sheetPr>
  <dimension ref="A1:U23"/>
  <sheetViews>
    <sheetView showGridLines="0" zoomScale="75" zoomScaleNormal="75" zoomScaleSheetLayoutView="75" workbookViewId="0">
      <pane ySplit="14" topLeftCell="A15" activePane="bottomLeft" state="frozen"/>
      <selection pane="bottomLeft" activeCell="AC14" sqref="AC14:AC16"/>
    </sheetView>
  </sheetViews>
  <sheetFormatPr defaultRowHeight="13.5" x14ac:dyDescent="0.15"/>
  <cols>
    <col min="1" max="1" width="9.33203125" style="262"/>
    <col min="2" max="11" width="17.6640625" style="262" customWidth="1"/>
    <col min="12" max="19" width="4.5" style="262" customWidth="1"/>
    <col min="20" max="20" width="98.1640625" style="262" customWidth="1"/>
    <col min="21" max="26" width="4.5" style="262" customWidth="1"/>
    <col min="27" max="27" width="98.1640625" style="262" customWidth="1"/>
    <col min="28" max="16384" width="9.33203125" style="262"/>
  </cols>
  <sheetData>
    <row r="1" spans="1:21" x14ac:dyDescent="0.15">
      <c r="A1" s="261" t="s">
        <v>265</v>
      </c>
      <c r="L1" s="263"/>
      <c r="T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300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332</v>
      </c>
      <c r="I7" s="270" t="s">
        <v>333</v>
      </c>
    </row>
    <row r="8" spans="1:21" ht="27" x14ac:dyDescent="0.15">
      <c r="A8" s="269" t="s">
        <v>283</v>
      </c>
      <c r="B8" s="277" t="s">
        <v>284</v>
      </c>
      <c r="C8" s="277" t="s">
        <v>285</v>
      </c>
      <c r="D8" s="277" t="s">
        <v>286</v>
      </c>
      <c r="E8" s="278" t="s">
        <v>287</v>
      </c>
      <c r="F8" s="277" t="s">
        <v>288</v>
      </c>
      <c r="G8" s="277" t="s">
        <v>289</v>
      </c>
      <c r="H8" s="277" t="s">
        <v>334</v>
      </c>
      <c r="I8" s="277" t="s">
        <v>335</v>
      </c>
      <c r="J8" s="279" t="s">
        <v>290</v>
      </c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</row>
    <row r="9" spans="1:21" x14ac:dyDescent="0.15">
      <c r="A9" s="269" t="s">
        <v>291</v>
      </c>
      <c r="B9" s="281" t="str">
        <f>IF(SUMIF($K15:$K23,$A9,L15:L23)=0,"",SUMIF($K15:$K23,$A9,L15:L23))</f>
        <v/>
      </c>
      <c r="C9" s="281" t="str">
        <f>IF(SUMIF($K15:$K23,$A9,M15:M23)=0,"",SUMIF($K15:$K23,$A9,M15:M23))</f>
        <v/>
      </c>
      <c r="D9" s="281">
        <f>IF(SUMIF($K15:$K23,$A9,N15:N23)=0,"",SUMIF($K15:$K23,$A9,N15:N23))</f>
        <v>1</v>
      </c>
      <c r="E9" s="281" t="str">
        <f>IF(SUMIF($K15:$K23,$A9,O15:O23)=0,"",SUMIF($K15:$K23,$A9,O15:O23))</f>
        <v/>
      </c>
      <c r="F9" s="281" t="str">
        <f>IF(SUMIF($K15:$K23,$A9,P15:P23)=0,"",SUMIF($K15:$K23,$A9,P15:P23))</f>
        <v/>
      </c>
      <c r="G9" s="281" t="str">
        <f>IF(SUMIF($K15:$K23,$A9,Q15:Q23)=0,"",SUMIF($K15:$K23,$A9,Q15:Q23))</f>
        <v/>
      </c>
      <c r="H9" s="281" t="str">
        <f>IF(SUMIF($K15:$K23,$A9,R15:R23)=0,"",SUMIF($K15:$K23,$A9,R15:R23))</f>
        <v/>
      </c>
      <c r="I9" s="281" t="str">
        <f>IF(SUMIF($K15:$K23,$A9,S15:S23)=0,"",SUMIF($K15:$K23,$A9,S15:S23))</f>
        <v/>
      </c>
      <c r="J9" s="282">
        <f>SUM(B9:I9)</f>
        <v>1</v>
      </c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</row>
    <row r="10" spans="1:21" x14ac:dyDescent="0.15">
      <c r="A10" s="269" t="s">
        <v>292</v>
      </c>
      <c r="B10" s="281">
        <f>IF(SUMIF($K15:$K23,$A10,L15:L23)=0,"",SUMIF($K15:$K23,$A10,L15:L23))</f>
        <v>1</v>
      </c>
      <c r="C10" s="281">
        <f>IF(SUMIF($K15:$K23,$A10,M15:M23)=0,"",SUMIF($K15:$K23,$A10,M15:M23))</f>
        <v>1</v>
      </c>
      <c r="D10" s="281" t="str">
        <f>IF(SUMIF($K15:$K23,$A10,N15:N23)=0,"",SUMIF($K15:$K23,$A10,N15:N23))</f>
        <v/>
      </c>
      <c r="E10" s="281">
        <f>IF(SUMIF($K15:$K23,$A10,O15:O23)=0,"",SUMIF($K15:$K23,$A10,O15:O23))</f>
        <v>1</v>
      </c>
      <c r="F10" s="281">
        <f>IF(SUMIF($K15:$K23,$A10,P15:P23)=0,"",SUMIF($K15:$K23,$A10,P15:P23))</f>
        <v>1</v>
      </c>
      <c r="G10" s="281">
        <f>IF(SUMIF($K15:$K23,$A10,Q15:Q23)=0,"",SUMIF($K15:$K23,$A10,Q15:Q23))</f>
        <v>1</v>
      </c>
      <c r="H10" s="281">
        <f>IF(SUMIF($K15:$K23,$A10,R15:R23)=0,"",SUMIF($K15:$K23,$A10,R15:R23))</f>
        <v>1</v>
      </c>
      <c r="I10" s="281">
        <f>IF(SUMIF($K15:$K23,$A10,S15:S23)=0,"",SUMIF($K15:$K23,$A10,S15:S23))</f>
        <v>1</v>
      </c>
      <c r="J10" s="282">
        <f>SUM(B10:I10)</f>
        <v>7</v>
      </c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</row>
    <row r="11" spans="1:21" x14ac:dyDescent="0.15">
      <c r="A11" s="283" t="s">
        <v>290</v>
      </c>
      <c r="B11" s="284">
        <f>SUM(B9:B10)</f>
        <v>1</v>
      </c>
      <c r="C11" s="284">
        <f t="shared" ref="C11:I11" si="0">SUM(C9:C10)</f>
        <v>1</v>
      </c>
      <c r="D11" s="284">
        <f t="shared" si="0"/>
        <v>1</v>
      </c>
      <c r="E11" s="284">
        <f t="shared" si="0"/>
        <v>1</v>
      </c>
      <c r="F11" s="284">
        <f t="shared" si="0"/>
        <v>1</v>
      </c>
      <c r="G11" s="284">
        <f t="shared" si="0"/>
        <v>1</v>
      </c>
      <c r="H11" s="284">
        <f t="shared" si="0"/>
        <v>1</v>
      </c>
      <c r="I11" s="284">
        <f t="shared" si="0"/>
        <v>1</v>
      </c>
      <c r="J11" s="284">
        <f>SUM(B11:I11)</f>
        <v>8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293</v>
      </c>
      <c r="B13" s="287"/>
      <c r="C13" s="287"/>
      <c r="D13" s="287"/>
      <c r="F13" s="287"/>
      <c r="L13" s="263" t="s">
        <v>294</v>
      </c>
      <c r="M13" s="263"/>
      <c r="N13" s="263"/>
      <c r="O13" s="263"/>
      <c r="P13" s="263"/>
      <c r="Q13" s="263"/>
      <c r="R13" s="263"/>
      <c r="S13" s="263"/>
    </row>
    <row r="14" spans="1:21" x14ac:dyDescent="0.15">
      <c r="A14" s="288" t="s">
        <v>295</v>
      </c>
      <c r="B14" s="288" t="s">
        <v>296</v>
      </c>
      <c r="C14" s="288" t="s">
        <v>297</v>
      </c>
      <c r="D14" s="288" t="s">
        <v>298</v>
      </c>
      <c r="E14" s="289" t="s">
        <v>299</v>
      </c>
      <c r="F14" s="290"/>
      <c r="G14" s="291"/>
      <c r="H14" s="291"/>
      <c r="I14" s="291"/>
      <c r="J14" s="292"/>
      <c r="K14" s="293" t="s">
        <v>283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332</v>
      </c>
      <c r="S14" s="294" t="s">
        <v>333</v>
      </c>
    </row>
    <row r="15" spans="1:21" ht="40.5" x14ac:dyDescent="0.15">
      <c r="A15" s="272" t="s">
        <v>38</v>
      </c>
      <c r="B15" s="297" t="s">
        <v>301</v>
      </c>
      <c r="C15" s="272" t="s">
        <v>302</v>
      </c>
      <c r="D15" s="272" t="s">
        <v>303</v>
      </c>
      <c r="E15" s="298" t="s">
        <v>304</v>
      </c>
      <c r="F15" s="271"/>
      <c r="G15" s="271"/>
      <c r="H15" s="271"/>
      <c r="I15" s="271"/>
      <c r="J15" s="271"/>
      <c r="K15" s="272" t="s">
        <v>305</v>
      </c>
      <c r="L15" s="295">
        <f t="shared" ref="L15:S23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306</v>
      </c>
      <c r="C16" s="272" t="s">
        <v>302</v>
      </c>
      <c r="D16" s="272" t="s">
        <v>307</v>
      </c>
      <c r="E16" s="298" t="s">
        <v>308</v>
      </c>
      <c r="F16" s="271"/>
      <c r="G16" s="271"/>
      <c r="H16" s="271"/>
      <c r="I16" s="271"/>
      <c r="J16" s="271"/>
      <c r="K16" s="272" t="s">
        <v>305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6" t="str">
        <f>IF(E16&lt;&gt;"",E16,"")</f>
        <v>対応内容の例。
---
対応内容はデリミタ（---）の後に記入する。</v>
      </c>
    </row>
    <row r="17" spans="1:20" ht="67.5" x14ac:dyDescent="0.15">
      <c r="A17" s="272" t="s">
        <v>38</v>
      </c>
      <c r="B17" s="297" t="s">
        <v>309</v>
      </c>
      <c r="C17" s="272" t="s">
        <v>302</v>
      </c>
      <c r="D17" s="272" t="s">
        <v>310</v>
      </c>
      <c r="E17" s="298" t="s">
        <v>311</v>
      </c>
      <c r="F17" s="271"/>
      <c r="G17" s="271"/>
      <c r="H17" s="271"/>
      <c r="I17" s="271"/>
      <c r="J17" s="271"/>
      <c r="K17" s="272" t="s">
        <v>312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0" x14ac:dyDescent="0.15">
      <c r="A18" s="272" t="s">
        <v>38</v>
      </c>
      <c r="B18" s="297" t="s">
        <v>313</v>
      </c>
      <c r="C18" s="272" t="s">
        <v>302</v>
      </c>
      <c r="D18" s="272" t="s">
        <v>314</v>
      </c>
      <c r="E18" s="271" t="s">
        <v>315</v>
      </c>
      <c r="F18" s="271"/>
      <c r="G18" s="271"/>
      <c r="H18" s="271"/>
      <c r="I18" s="271"/>
      <c r="J18" s="271"/>
      <c r="K18" s="272" t="s">
        <v>305</v>
      </c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1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6" t="str">
        <f>IF(E18&lt;&gt;"",E18,"")</f>
        <v>機能・仕様誤りの指摘例（カテゴリd）。</v>
      </c>
    </row>
    <row r="19" spans="1:20" x14ac:dyDescent="0.15">
      <c r="A19" s="272" t="s">
        <v>38</v>
      </c>
      <c r="B19" s="297" t="s">
        <v>316</v>
      </c>
      <c r="C19" s="272" t="s">
        <v>302</v>
      </c>
      <c r="D19" s="272" t="s">
        <v>317</v>
      </c>
      <c r="E19" s="271" t="s">
        <v>318</v>
      </c>
      <c r="F19" s="271"/>
      <c r="G19" s="271"/>
      <c r="H19" s="271"/>
      <c r="I19" s="271"/>
      <c r="J19" s="271"/>
      <c r="K19" s="272" t="s">
        <v>305</v>
      </c>
      <c r="L19" s="295">
        <f t="shared" si="1"/>
        <v>0</v>
      </c>
      <c r="M19" s="295">
        <f t="shared" si="1"/>
        <v>0</v>
      </c>
      <c r="N19" s="295">
        <f t="shared" si="1"/>
        <v>0</v>
      </c>
      <c r="O19" s="295">
        <f t="shared" si="1"/>
        <v>0</v>
      </c>
      <c r="P19" s="295">
        <f t="shared" si="1"/>
        <v>1</v>
      </c>
      <c r="Q19" s="295">
        <f t="shared" si="1"/>
        <v>0</v>
      </c>
      <c r="R19" s="295">
        <f t="shared" si="1"/>
        <v>0</v>
      </c>
      <c r="S19" s="295">
        <f t="shared" si="1"/>
        <v>0</v>
      </c>
      <c r="T19" s="296" t="str">
        <f>IF(E19&lt;&gt;"",E19,"")</f>
        <v>設計・ドキュメント規約違反の指摘例（カテゴリe）。</v>
      </c>
    </row>
    <row r="20" spans="1:20" x14ac:dyDescent="0.15">
      <c r="A20" s="272" t="s">
        <v>38</v>
      </c>
      <c r="B20" s="297" t="s">
        <v>319</v>
      </c>
      <c r="C20" s="272" t="s">
        <v>302</v>
      </c>
      <c r="D20" s="272" t="s">
        <v>320</v>
      </c>
      <c r="E20" s="271" t="s">
        <v>321</v>
      </c>
      <c r="F20" s="271"/>
      <c r="G20" s="271"/>
      <c r="H20" s="271"/>
      <c r="I20" s="271"/>
      <c r="J20" s="271"/>
      <c r="K20" s="272" t="s">
        <v>305</v>
      </c>
      <c r="L20" s="295">
        <f t="shared" si="1"/>
        <v>0</v>
      </c>
      <c r="M20" s="295">
        <f t="shared" si="1"/>
        <v>0</v>
      </c>
      <c r="N20" s="295">
        <f t="shared" si="1"/>
        <v>0</v>
      </c>
      <c r="O20" s="295">
        <f t="shared" si="1"/>
        <v>0</v>
      </c>
      <c r="P20" s="295">
        <f t="shared" si="1"/>
        <v>0</v>
      </c>
      <c r="Q20" s="295">
        <f t="shared" si="1"/>
        <v>1</v>
      </c>
      <c r="R20" s="295">
        <f t="shared" si="1"/>
        <v>0</v>
      </c>
      <c r="S20" s="295">
        <f t="shared" si="1"/>
        <v>0</v>
      </c>
      <c r="T20" s="296" t="str">
        <f>IF(E20&lt;&gt;"",E20,"")</f>
        <v>記述誤りの指摘例（カテゴリf）。</v>
      </c>
    </row>
    <row r="21" spans="1:20" x14ac:dyDescent="0.15">
      <c r="A21" s="272" t="s">
        <v>38</v>
      </c>
      <c r="B21" s="297" t="s">
        <v>336</v>
      </c>
      <c r="C21" s="272" t="s">
        <v>302</v>
      </c>
      <c r="D21" s="272" t="s">
        <v>337</v>
      </c>
      <c r="E21" s="271" t="s">
        <v>338</v>
      </c>
      <c r="F21" s="271"/>
      <c r="G21" s="271"/>
      <c r="H21" s="271"/>
      <c r="I21" s="271"/>
      <c r="J21" s="271"/>
      <c r="K21" s="272" t="s">
        <v>305</v>
      </c>
      <c r="L21" s="295">
        <f t="shared" si="1"/>
        <v>0</v>
      </c>
      <c r="M21" s="295">
        <f t="shared" si="1"/>
        <v>0</v>
      </c>
      <c r="N21" s="295">
        <f t="shared" si="1"/>
        <v>0</v>
      </c>
      <c r="O21" s="295">
        <f t="shared" si="1"/>
        <v>0</v>
      </c>
      <c r="P21" s="295">
        <f t="shared" si="1"/>
        <v>0</v>
      </c>
      <c r="Q21" s="295">
        <f t="shared" si="1"/>
        <v>0</v>
      </c>
      <c r="R21" s="295">
        <f t="shared" si="1"/>
        <v>1</v>
      </c>
      <c r="S21" s="295">
        <f t="shared" si="1"/>
        <v>0</v>
      </c>
      <c r="T21" s="296" t="str">
        <f>IF(E21&lt;&gt;"",E21,"")</f>
        <v>疑問点・確認の指摘例（カテゴリg）。</v>
      </c>
    </row>
    <row r="22" spans="1:20" x14ac:dyDescent="0.15">
      <c r="A22" s="272" t="s">
        <v>38</v>
      </c>
      <c r="B22" s="297" t="s">
        <v>339</v>
      </c>
      <c r="C22" s="272" t="s">
        <v>302</v>
      </c>
      <c r="D22" s="272" t="s">
        <v>340</v>
      </c>
      <c r="E22" s="271" t="s">
        <v>341</v>
      </c>
      <c r="F22" s="271"/>
      <c r="G22" s="271"/>
      <c r="H22" s="271"/>
      <c r="I22" s="271"/>
      <c r="J22" s="271"/>
      <c r="K22" s="272" t="s">
        <v>305</v>
      </c>
      <c r="L22" s="295">
        <f t="shared" si="1"/>
        <v>0</v>
      </c>
      <c r="M22" s="295">
        <f t="shared" si="1"/>
        <v>0</v>
      </c>
      <c r="N22" s="295">
        <f t="shared" si="1"/>
        <v>0</v>
      </c>
      <c r="O22" s="295">
        <f t="shared" si="1"/>
        <v>0</v>
      </c>
      <c r="P22" s="295">
        <f t="shared" si="1"/>
        <v>0</v>
      </c>
      <c r="Q22" s="295">
        <f t="shared" si="1"/>
        <v>0</v>
      </c>
      <c r="R22" s="295">
        <f t="shared" si="1"/>
        <v>0</v>
      </c>
      <c r="S22" s="295">
        <f t="shared" si="1"/>
        <v>1</v>
      </c>
      <c r="T22" s="296" t="str">
        <f>IF(E22&lt;&gt;"",E22,"")</f>
        <v>改善要望の指摘例（カテゴリh）。</v>
      </c>
    </row>
    <row r="23" spans="1:20" x14ac:dyDescent="0.15">
      <c r="A23" s="272"/>
      <c r="B23" s="272"/>
      <c r="C23" s="272"/>
      <c r="D23" s="272"/>
      <c r="E23" s="271"/>
      <c r="F23" s="271"/>
      <c r="G23" s="271"/>
      <c r="H23" s="271"/>
      <c r="I23" s="271"/>
      <c r="J23" s="271"/>
      <c r="K23" s="272"/>
      <c r="L23" s="295">
        <f t="shared" si="1"/>
        <v>0</v>
      </c>
      <c r="M23" s="295">
        <f t="shared" si="1"/>
        <v>0</v>
      </c>
      <c r="N23" s="295">
        <f t="shared" si="1"/>
        <v>0</v>
      </c>
      <c r="O23" s="295">
        <f t="shared" si="1"/>
        <v>0</v>
      </c>
      <c r="P23" s="295">
        <f t="shared" si="1"/>
        <v>0</v>
      </c>
      <c r="Q23" s="295">
        <f t="shared" si="1"/>
        <v>0</v>
      </c>
      <c r="R23" s="295">
        <f t="shared" si="1"/>
        <v>0</v>
      </c>
      <c r="S23" s="295">
        <f t="shared" si="1"/>
        <v>0</v>
      </c>
      <c r="T23" s="296" t="str">
        <f>IF(E23&lt;&gt;"",E23,"")</f>
        <v/>
      </c>
    </row>
  </sheetData>
  <mergeCells count="11">
    <mergeCell ref="E22:J22"/>
    <mergeCell ref="E23:J23"/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23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23" xr:uid="{742479BF-A721-40D3-90DB-45C757303FF1}">
      <formula1>"未,済"</formula1>
    </dataValidation>
  </dataValidations>
  <hyperlinks>
    <hyperlink ref="B15" location="'2. WA1020101(プロジェクト登録画面)'!$B$5" display="'2. WA1020101(プロジェクト登録画面)'!$B$5" xr:uid="{DDE39580-271C-4A07-861B-C36A48F5A1FD}"/>
    <hyperlink ref="B16" location="'2. WA1020101(プロジェクト登録画面)'!$E$60" display="'2. WA1020101(プロジェクト登録画面)'!$E$60" xr:uid="{1A0DD86C-AE30-45C9-9E8F-974A6699742F}"/>
    <hyperlink ref="B17" location="'2. WA1020101(プロジェクト登録画面)'!$E$62" display="'2. WA1020101(プロジェクト登録画面)'!$E$62" xr:uid="{C0518A99-AE36-4EBF-B699-2B407C028E22}"/>
    <hyperlink ref="B18" location="'2. WA1020101(プロジェクト登録画面)'!$E$63" display="'2. WA1020101(プロジェクト登録画面)'!$E$63" xr:uid="{F4193A14-06DA-497F-A509-8F95730C4CD4}"/>
    <hyperlink ref="B19" location="'2. WA1020101(プロジェクト登録画面)'!$E$64" display="'2. WA1020101(プロジェクト登録画面)'!$E$64" xr:uid="{BC291CC2-EEA0-4BE4-A633-C67F31E25EF5}"/>
    <hyperlink ref="B20" location="'2. WA1020101(プロジェクト登録画面)'!$E$65" display="'2. WA1020101(プロジェクト登録画面)'!$E$65" xr:uid="{228B2C98-64DA-482C-83AA-4401B63EC4C5}"/>
    <hyperlink ref="B21" location="'2. WA1020101(プロジェクト登録画面)'!$E$66" display="'2. WA1020101(プロジェクト登録画面)'!$E$66" xr:uid="{71A3C492-78A0-46BF-BD04-5B2233FEC1E3}"/>
    <hyperlink ref="B22" location="'2. WA1020101(プロジェクト登録画面)'!$E$67" display="'2. WA1020101(プロジェクト登録画面)'!$E$67" xr:uid="{65833FAB-4701-42D2-9D41-F2C880718CF3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エラーシート</vt:lpstr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2026-03-12T07:51:03Z</dcterms:modified>
</cp:coreProperties>
</file>