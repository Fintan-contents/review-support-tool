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6A97370B-883C-4A35-856E-44F40FC7030D}" xr6:coauthVersionLast="47" xr6:coauthVersionMax="47" xr10:uidLastSave="{00000000-0000-0000-0000-000000000000}"/>
  <bookViews>
    <workbookView xWindow="9885" yWindow="2775" windowWidth="38700" windowHeight="15345" activeTab="1"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レビュー指摘一覧!$A$1:$O$18</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1" l="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<sst xmlns="http://schemas.openxmlformats.org/spreadsheetml/2006/main" count="287" uniqueCount="221">
  <si>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</si>
  <si>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</si>
  <si>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</si>
  <si>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</si>
  <si>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</si>
  <si>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</si>
  <si>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</si>
  <si>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</si>
  <si>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</si>
  <si>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</si>
  <si>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</si>
  <si>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</si>
  <si>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</si>
  <si>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</si>
  <si>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</si>
  <si>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</si>
  <si>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</si>
  <si>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</si>
  <si>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</si>
  <si>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</si>
  <si>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</si>
  <si>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</si>
  <si>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</si>
  <si>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</si>
  <si>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</si>
  <si>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</si>
  <si>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</si>
  <si>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</si>
  <si>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</si>
  <si>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</si>
  <si>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</si>
  <si>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</si>
  <si>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</si>
  <si>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</si>
  <si>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</si>
  <si>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</si>
  <si>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</si>
  <si>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</si>
  <si>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</si>
  <si>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</si>
  <si>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</si>
  <si>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</si>
  <si>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</si>
  <si>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</si>
  <si>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</si>
  <si>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</si>
  <si>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</si>
  <si>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</si>
  <si>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</si>
  <si>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</si>
  <si>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</si>
  <si>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</si>
  <si>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</si>
  <si>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</si>
  <si>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</si>
  <si>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</si>
  <si>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</si>
  <si>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</si>
  <si>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</si>
  <si>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</si>
  <si>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</si>
  <si>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</si>
  <si>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</si>
  <si>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</si>
  <si>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</si>
  <si>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</si>
  <si>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</si>
  <si>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</si>
  <si>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</si>
  <si>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</si>
  <si>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</si>
  <si>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</si>
  <si>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</si>
  <si>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</si>
  <si>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</si>
  <si>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</si>
  <si>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</si>
  <si>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</si>
  <si>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</si>
  <si>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</si>
  <si>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</si>
  <si>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</si>
  <si>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</si>
  <si>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</si>
  <si>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</si>
  <si>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</si>
  <si>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</si>
  <si>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</si>
  <si>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</si>
  <si>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</si>
  <si>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</si>
  <si>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</si>
  <si>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</si>
  <si>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</si>
  <si>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</si>
  <si>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</si>
  <si>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</si>
  <si>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</si>
  <si>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</si>
  <si>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</si>
  <si>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</si>
  <si>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</si>
  <si>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</si>
  <si>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</si>
  <si>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</si>
  <si>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</si>
  <si>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</si>
  <si>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</si>
  <si>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</si>
  <si>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</si>
  <si>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</si>
  <si>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</si>
  <si>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</si>
  <si>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</si>
  <si>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</si>
  <si>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</si>
  <si>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</si>
  <si>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</si>
  <si>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</si>
  <si>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</si>
  <si>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</si>
  <si>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</si>
  <si>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</si>
  <si>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</si>
  <si>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</si>
  <si>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</si>
  <si>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</si>
  <si>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</si>
  <si>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</si>
  <si>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</si>
  <si>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</si>
  <si>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</si>
  <si>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</si>
  <si>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</si>
  <si>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</si>
  <si>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</si>
  <si>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</si>
  <si>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</si>
  <si>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</si>
  <si>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</si>
  <si>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</si>
  <si>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</si>
  <si>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</si>
  <si>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</si>
  <si>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</si>
  <si>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</si>
  <si>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</si>
  <si>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</si>
  <si>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</si>
  <si>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</si>
  <si>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</si>
  <si>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</si>
  <si>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</si>
  <si>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</si>
  <si>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</si>
  <si>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</si>
  <si>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</si>
  <si>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</si>
  <si>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</si>
  <si>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</si>
  <si>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</si>
  <si>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</si>
  <si>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</si>
  <si>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</si>
  <si>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</si>
  <si>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</si>
  <si>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</si>
  <si>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</si>
  <si>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</si>
  <si>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</si>
  <si>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</si>
  <si>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</si>
  <si>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</si>
  <si>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</si>
  <si>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</si>
  <si>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</si>
  <si>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</si>
  <si>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</si>
  <si>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</si>
  <si>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</si>
  <si>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</si>
  <si>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</si>
  <si>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</si>
  <si>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</si>
  <si>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</si>
  <si>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</si>
  <si>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</si>
  <si>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</si>
  <si>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</si>
  <si>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</si>
  <si>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</si>
  <si>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</si>
  <si>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</si>
  <si>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</si>
  <si>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分類001_a</t>
  </si>
  <si>
    <t xml:space="preserve">_x000D_
aカテゴリの指摘内容サンプル。_x000D_
</t>
  </si>
  <si>
    <t xml:space="preserve">_x000D_
</t>
  </si>
  <si>
    <t>鈴木　花子</t>
  </si>
  <si>
    <t>分類002_b</t>
  </si>
  <si>
    <t xml:space="preserve">_x000D_
bカテゴリの指摘内容サンプル。_x000D_
</t>
  </si>
  <si>
    <t>分類003_c</t>
  </si>
  <si>
    <t xml:space="preserve">_x000D_
cカテゴリの指摘内容サンプル。_x000D_
</t>
  </si>
  <si>
    <t>分類004_d</t>
  </si>
  <si>
    <t xml:space="preserve">_x000D_
dカテゴリの指摘内容サンプル。_x000D_
</t>
  </si>
  <si>
    <t>分類005_e</t>
  </si>
  <si>
    <t xml:space="preserve">_x000D_
eカテゴリの指摘内容サンプル。_x000D_
</t>
  </si>
  <si>
    <t>分類006_f</t>
  </si>
  <si>
    <t xml:space="preserve">_x000D_
fカテゴリの指摘内容サンプル。_x000D_
</t>
  </si>
  <si>
    <t>分類007_g</t>
  </si>
  <si>
    <t xml:space="preserve">_x000D_
gカテゴリの指摘内容サンプル。_x000D_
</t>
  </si>
  <si>
    <t>分類008_h</t>
  </si>
  <si>
    <t xml:space="preserve">_x000D_
hカテゴリの指摘内容サンプル。_x000D_
</t>
  </si>
  <si>
    <t>分類009_i</t>
  </si>
  <si>
    <t xml:space="preserve">_x000D_
iカテゴリの指摘内容サンプル。_x000D_
</t>
  </si>
  <si>
    <t>分類010_j</t>
  </si>
  <si>
    <t xml:space="preserve">_x000D_
jカテゴリの指摘内容サンプル。_x000D_
</t>
  </si>
  <si>
    <t>分類011_k</t>
  </si>
  <si>
    <t xml:space="preserve">_x000D_
kカテゴリの指摘内容サンプル。_x000D_
</t>
  </si>
  <si>
    <t>分類012_l</t>
  </si>
  <si>
    <t xml:space="preserve">_x000D_
lカテゴリの指摘内容サンプル。_x000D_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</si>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</sst>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5"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6"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7" fillId="0" borderId="4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46" xfId="0" applyFont="1" applyBorder="1" applyAlignment="1">
      <alignment horizontal="center"/>
    </xf>
    <xf numFmtId="0" fontId="7" fillId="0" borderId="8" xfId="0" applyFont="1" applyBorder="1" applyAlignment="1">
      <alignment horizont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5" fillId="4" borderId="30"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5" fillId="4" borderId="12" xfId="0" applyFont="1" applyFill="1" applyBorder="1" applyAlignment="1">
      <alignment horizontal="center" vertical="top" textRotation="255" wrapTex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5" xfId="0" applyFont="1" applyFill="1" applyBorder="1" applyAlignment="1">
      <alignment horizontal="center"/>
    </xf>
    <xf numFmtId="0" fontId="5" fillId="4" borderId="34" xfId="0" applyFont="1" applyFill="1" applyBorder="1" applyAlignment="1">
      <alignment horizontal="center"/>
    </xf>
    <xf numFmtId="0" fontId="5" fillId="4" borderId="34" xfId="0" applyFont="1" applyFill="1" applyBorder="1" applyAlignment="1">
      <alignment horizontal="center" vertical="center"/>
    </xf>
    <xf numFmtId="0" fontId="7" fillId="0" borderId="8" xfId="0" applyFont="1" applyBorder="1" applyAlignment="1">
      <alignment horizontal="center" vertical="center" wrapText="1"/>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0" fillId="0" borderId="8" xfId="0"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40"/>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81" t="s">
        <v>11</v>
      </c>
      <c r="B1" s="142"/>
      <c r="C1" s="89" t="s">
        <v>220</v>
      </c>
      <c r="D1" s="155"/>
      <c r="E1" s="140" t="s">
        <v>156</v>
      </c>
      <c r="F1" s="141"/>
      <c r="G1" s="91"/>
      <c r="H1" s="92"/>
      <c r="I1" s="140" t="s">
        <v>157</v>
      </c>
      <c r="J1" s="141"/>
      <c r="K1" s="91"/>
      <c r="L1" s="92"/>
      <c r="M1" s="81" t="s">
        <v>18</v>
      </c>
      <c r="N1" s="142"/>
      <c r="O1" s="89"/>
      <c r="P1" s="90"/>
      <c r="Q1" s="69" t="s">
        <v>13</v>
      </c>
      <c r="R1" s="49" t="s">
        <v>8</v>
      </c>
      <c r="S1" s="50" t="s">
        <v>14</v>
      </c>
    </row>
    <row r="2" spans="1:21" ht="15" customHeight="1">
      <c r="A2" s="81" t="s">
        <v>10</v>
      </c>
      <c r="B2" s="142"/>
      <c r="C2" s="89"/>
      <c r="D2" s="155"/>
      <c r="E2" s="81" t="s">
        <v>141</v>
      </c>
      <c r="F2" s="142"/>
      <c r="G2" s="89"/>
      <c r="H2" s="143"/>
      <c r="I2" s="140" t="s">
        <v>158</v>
      </c>
      <c r="J2" s="141"/>
      <c r="K2" s="91"/>
      <c r="L2" s="92"/>
      <c r="M2" s="140" t="s">
        <v>159</v>
      </c>
      <c r="N2" s="141"/>
      <c r="O2" s="91"/>
      <c r="P2" s="92"/>
      <c r="Q2" s="122"/>
      <c r="R2" s="120"/>
      <c r="S2" s="118"/>
    </row>
    <row r="3" spans="1:21" ht="15" customHeight="1">
      <c r="A3" s="81" t="s">
        <v>0</v>
      </c>
      <c r="B3" s="142"/>
      <c r="C3" s="89"/>
      <c r="D3" s="90"/>
      <c r="E3" s="90"/>
      <c r="F3" s="90"/>
      <c r="G3" s="90"/>
      <c r="H3" s="143"/>
      <c r="I3" s="151" t="s">
        <v>9</v>
      </c>
      <c r="J3" s="152"/>
      <c r="K3" s="156"/>
      <c r="L3" s="157"/>
      <c r="M3" s="157"/>
      <c r="N3" s="158"/>
      <c r="O3" s="70" t="s">
        <v>153</v>
      </c>
      <c r="P3" s="75">
        <v>16</v>
      </c>
      <c r="Q3" s="123"/>
      <c r="R3" s="121"/>
      <c r="S3" s="119"/>
    </row>
    <row r="4" spans="1:21" ht="15" customHeight="1">
      <c r="A4" s="81" t="s">
        <v>12</v>
      </c>
      <c r="B4" s="142"/>
      <c r="C4" s="89"/>
      <c r="D4" s="90"/>
      <c r="E4" s="90"/>
      <c r="F4" s="90"/>
      <c r="G4" s="90"/>
      <c r="H4" s="143"/>
      <c r="I4" s="153"/>
      <c r="J4" s="154"/>
      <c r="K4" s="159"/>
      <c r="L4" s="160"/>
      <c r="M4" s="160"/>
      <c r="N4" s="161"/>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81" t="s">
        <v>21</v>
      </c>
      <c r="B6" s="82"/>
      <c r="C6" s="83"/>
      <c r="D6" s="84">
        <f>SUM(レビュー時間)</f>
        <v>120</v>
      </c>
      <c r="E6" s="85"/>
      <c r="F6" s="81" t="s">
        <v>139</v>
      </c>
      <c r="G6" s="82"/>
      <c r="H6" s="83"/>
      <c r="I6" s="149">
        <f>SUM(レビュー工数__H)</f>
        <v>0</v>
      </c>
      <c r="J6" s="150"/>
      <c r="K6" s="115" t="s">
        <v>22</v>
      </c>
      <c r="L6" s="116"/>
      <c r="M6" s="117"/>
      <c r="N6" s="8"/>
    </row>
    <row r="7" spans="1:21" ht="21" customHeight="1" outlineLevel="1">
      <c r="A7" s="81" t="s">
        <v>99</v>
      </c>
      <c r="B7" s="82"/>
      <c r="C7" s="83"/>
      <c r="D7" s="87">
        <f>COUNTA(レビュー指摘一覧!H5:H10002)</f>
        <v>12</v>
      </c>
      <c r="E7" s="88"/>
      <c r="F7" s="81" t="s">
        <v>155</v>
      </c>
      <c r="G7" s="82"/>
      <c r="H7" s="83"/>
      <c r="I7" s="87">
        <f>COUNTIF(レビュー指摘一覧!K5:K10002,"01_要")</f>
        <v>0</v>
      </c>
      <c r="J7" s="150"/>
      <c r="K7" s="146"/>
      <c r="L7" s="147"/>
      <c r="M7" s="148"/>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97" t="s">
        <v>23</v>
      </c>
      <c r="B9" s="98"/>
      <c r="C9" s="105" t="s">
        <v>134</v>
      </c>
      <c r="D9" s="106"/>
      <c r="E9" s="86" t="str">
        <f>IF(ISERROR(I7/I6)," ",I7/I6)</f>
        <v xml:space="preserve"> </v>
      </c>
      <c r="F9" s="86"/>
      <c r="G9" s="131" t="s">
        <v>26</v>
      </c>
      <c r="H9" s="132"/>
      <c r="I9" s="97" t="s">
        <v>100</v>
      </c>
      <c r="J9" s="98"/>
      <c r="K9" s="48" t="s">
        <v>105</v>
      </c>
      <c r="L9" s="48" t="s">
        <v>107</v>
      </c>
      <c r="M9" s="48" t="s">
        <v>106</v>
      </c>
      <c r="N9" s="127"/>
      <c r="O9" s="128"/>
    </row>
    <row r="10" spans="1:21" ht="21" customHeight="1" outlineLevel="1">
      <c r="A10" s="99"/>
      <c r="B10" s="100"/>
      <c r="C10" s="79" t="s">
        <v>135</v>
      </c>
      <c r="D10" s="80"/>
      <c r="E10" s="76" t="str">
        <f>IF(ISERROR(I6/(P4/10))," ",I6/(P4/10))</f>
        <v xml:space="preserve"> </v>
      </c>
      <c r="F10" s="76"/>
      <c r="G10" s="77" t="s">
        <v>24</v>
      </c>
      <c r="H10" s="78"/>
      <c r="I10" s="138" t="s">
        <v>135</v>
      </c>
      <c r="J10" s="139"/>
      <c r="K10" s="13">
        <f>設定値!B4</f>
        <v>1.18</v>
      </c>
      <c r="L10" s="13">
        <f>設定値!C4</f>
        <v>2.67</v>
      </c>
      <c r="M10" s="13">
        <f>設定値!D4</f>
        <v>5.37</v>
      </c>
      <c r="N10" s="129" t="s">
        <v>24</v>
      </c>
      <c r="O10" s="130"/>
    </row>
    <row r="11" spans="1:21" ht="21" customHeight="1" outlineLevel="1">
      <c r="A11" s="101"/>
      <c r="B11" s="102"/>
      <c r="C11" s="103" t="s">
        <v>136</v>
      </c>
      <c r="D11" s="104"/>
      <c r="E11" s="112" t="str">
        <f>IF(ISERROR(I7/(P4/10))," ",I7/(P4/10))</f>
        <v xml:space="preserve"> </v>
      </c>
      <c r="F11" s="112"/>
      <c r="G11" s="133" t="s">
        <v>25</v>
      </c>
      <c r="H11" s="134"/>
      <c r="I11" s="113" t="s">
        <v>136</v>
      </c>
      <c r="J11" s="114"/>
      <c r="K11" s="14">
        <f>設定値!E4</f>
        <v>2</v>
      </c>
      <c r="L11" s="14">
        <f>設定値!F4</f>
        <v>4.4400000000000004</v>
      </c>
      <c r="M11" s="14">
        <f>設定値!G4</f>
        <v>9.19</v>
      </c>
      <c r="N11" s="125" t="s">
        <v>25</v>
      </c>
      <c r="O11" s="126"/>
    </row>
    <row r="12" spans="1:21">
      <c r="B12" s="2"/>
      <c r="C12" s="2"/>
      <c r="D12" s="2"/>
      <c r="E12" s="2"/>
    </row>
    <row r="13" spans="1:21" ht="53.25" customHeight="1">
      <c r="A13" s="109" t="s">
        <v>6</v>
      </c>
      <c r="B13" s="93" t="s">
        <v>140</v>
      </c>
      <c r="C13" s="107" t="s">
        <v>44</v>
      </c>
      <c r="D13" s="93" t="s">
        <v>31</v>
      </c>
      <c r="E13" s="93" t="s">
        <v>32</v>
      </c>
      <c r="F13" s="93" t="s">
        <v>29</v>
      </c>
      <c r="G13" s="107" t="s">
        <v>126</v>
      </c>
      <c r="H13" s="135" t="s">
        <v>30</v>
      </c>
      <c r="I13" s="136"/>
      <c r="J13" s="137"/>
      <c r="K13" s="98" t="s">
        <v>27</v>
      </c>
      <c r="L13" s="98"/>
      <c r="M13" s="98"/>
      <c r="N13" s="93" t="s">
        <v>28</v>
      </c>
      <c r="O13" s="93" t="s">
        <v>137</v>
      </c>
      <c r="P13" s="93" t="s">
        <v>133</v>
      </c>
      <c r="Q13" s="93" t="s">
        <v>102</v>
      </c>
      <c r="R13" s="95" t="s">
        <v>103</v>
      </c>
      <c r="S13" s="144" t="s">
        <v>179</v>
      </c>
    </row>
    <row r="14" spans="1:21" ht="99.75" customHeight="1">
      <c r="A14" s="110"/>
      <c r="B14" s="94"/>
      <c r="C14" s="108"/>
      <c r="D14" s="94"/>
      <c r="E14" s="94"/>
      <c r="F14" s="111"/>
      <c r="G14" s="124"/>
      <c r="H14" s="47" t="s">
        <v>130</v>
      </c>
      <c r="I14" s="47" t="s">
        <v>131</v>
      </c>
      <c r="J14" s="47" t="s">
        <v>132</v>
      </c>
      <c r="K14" s="47" t="s">
        <v>130</v>
      </c>
      <c r="L14" s="47" t="s">
        <v>131</v>
      </c>
      <c r="M14" s="47" t="s">
        <v>132</v>
      </c>
      <c r="N14" s="94"/>
      <c r="O14" s="94"/>
      <c r="P14" s="94"/>
      <c r="Q14" s="94"/>
      <c r="R14" s="96"/>
      <c r="S14" s="145"/>
    </row>
    <row r="15" spans="1:21" ht="30.75" customHeight="1">
      <c r="A15" s="60">
        <v>1</v>
      </c>
      <c r="B15" s="15"/>
      <c r="C15" s="15"/>
      <c r="D15" s="16">
        <v>45139.375</v>
      </c>
      <c r="E15" s="16">
        <v>45139.458333333336</v>
      </c>
      <c r="F15" s="17">
        <v>120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 ref="I1:J1"/>
    <mergeCell ref="I2:J2"/>
    <mergeCell ref="E1:F1"/>
    <mergeCell ref="E2:F2"/>
    <mergeCell ref="K1:L1"/>
    <mergeCell ref="K2:L2"/>
    <mergeCell ref="G1:H1"/>
    <mergeCell ref="G2:H2"/>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E10:F10"/>
    <mergeCell ref="G10:H10"/>
    <mergeCell ref="C10:D10"/>
    <mergeCell ref="A6:C6"/>
    <mergeCell ref="A7:C7"/>
    <mergeCell ref="F6:H6"/>
    <mergeCell ref="F7:H7"/>
    <mergeCell ref="D6:E6"/>
    <mergeCell ref="E9:F9"/>
    <mergeCell ref="D7:E7"/>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8"/>
  <sheetViews>
    <sheetView tabSelected="1" zoomScaleNormal="100" zoomScaleSheetLayoutView="100" workbookViewId="0">
      <pane xSplit="1" ySplit="4" topLeftCell="B12"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152" t="s">
        <v>6</v>
      </c>
      <c r="C3" s="167" t="s">
        <v>20</v>
      </c>
      <c r="D3" s="152" t="s">
        <v>15</v>
      </c>
      <c r="E3" s="152" t="s">
        <v>16</v>
      </c>
      <c r="F3" s="163" t="s">
        <v>128</v>
      </c>
      <c r="G3" s="167" t="s">
        <v>129</v>
      </c>
      <c r="H3" s="152" t="s">
        <v>7</v>
      </c>
      <c r="I3" s="163" t="s">
        <v>17</v>
      </c>
      <c r="J3" s="163" t="s">
        <v>2</v>
      </c>
      <c r="K3" s="163" t="s">
        <v>19</v>
      </c>
      <c r="L3" s="152" t="s">
        <v>3</v>
      </c>
      <c r="M3" s="152" t="s">
        <v>127</v>
      </c>
      <c r="N3" s="152"/>
      <c r="O3" s="162"/>
    </row>
    <row r="4" spans="1:15">
      <c r="A4" s="166"/>
      <c r="B4" s="154"/>
      <c r="C4" s="168"/>
      <c r="D4" s="154"/>
      <c r="E4" s="154"/>
      <c r="F4" s="164"/>
      <c r="G4" s="168"/>
      <c r="H4" s="154"/>
      <c r="I4" s="154"/>
      <c r="J4" s="164"/>
      <c r="K4" s="164"/>
      <c r="L4" s="154"/>
      <c r="M4" s="62" t="s">
        <v>138</v>
      </c>
      <c r="N4" s="62" t="s">
        <v>4</v>
      </c>
      <c r="O4" s="63" t="s">
        <v>5</v>
      </c>
    </row>
    <row r="5" spans="1:15" ht="47.25">
      <c r="A5" s="67">
        <f t="shared" ref="A5:A17" si="0">ROW()-4</f>
        <v>1</v>
      </c>
      <c r="B5" s="24">
        <v>1</v>
      </c>
      <c r="C5" s="25" t="s">
        <v>194</v>
      </c>
      <c r="D5" s="26"/>
      <c r="E5" s="26"/>
      <c r="F5" s="26"/>
      <c r="G5" s="26"/>
      <c r="H5" s="27" t="s">
        <v>195</v>
      </c>
      <c r="I5" s="28" t="s">
        <v>193</v>
      </c>
      <c r="J5" s="27" t="s">
        <v>196</v>
      </c>
      <c r="K5" s="26"/>
      <c r="L5" s="28"/>
      <c r="M5" s="28" t="s">
        <v>197</v>
      </c>
      <c r="N5" s="30"/>
      <c r="O5" s="31"/>
    </row>
    <row r="6" spans="1:15" ht="47.25">
      <c r="A6" s="67">
        <f t="shared" si="0"/>
        <v>2</v>
      </c>
      <c r="B6" s="24">
        <v>1</v>
      </c>
      <c r="C6" s="25" t="s">
        <v>198</v>
      </c>
      <c r="D6" s="26"/>
      <c r="E6" s="26"/>
      <c r="F6" s="26"/>
      <c r="G6" s="26"/>
      <c r="H6" s="27" t="s">
        <v>199</v>
      </c>
      <c r="I6" s="28" t="s">
        <v>193</v>
      </c>
      <c r="J6" s="27" t="s">
        <v>196</v>
      </c>
      <c r="K6" s="26"/>
      <c r="L6" s="28"/>
      <c r="M6" s="28" t="s">
        <v>197</v>
      </c>
      <c r="N6" s="30"/>
      <c r="O6" s="31"/>
    </row>
    <row r="7" spans="1:15" ht="47.25">
      <c r="A7" s="67">
        <f t="shared" si="0"/>
        <v>3</v>
      </c>
      <c r="B7" s="24">
        <v>1</v>
      </c>
      <c r="C7" s="25" t="s">
        <v>200</v>
      </c>
      <c r="D7" s="26"/>
      <c r="E7" s="26"/>
      <c r="F7" s="26"/>
      <c r="G7" s="26"/>
      <c r="H7" s="27" t="s">
        <v>201</v>
      </c>
      <c r="I7" s="28" t="s">
        <v>193</v>
      </c>
      <c r="J7" s="27" t="s">
        <v>196</v>
      </c>
      <c r="K7" s="26"/>
      <c r="L7" s="28"/>
      <c r="M7" s="28" t="s">
        <v>197</v>
      </c>
      <c r="N7" s="30"/>
      <c r="O7" s="31"/>
    </row>
    <row r="8" spans="1:15" ht="47.25">
      <c r="A8" s="67">
        <f t="shared" si="0"/>
        <v>4</v>
      </c>
      <c r="B8" s="24">
        <v>1</v>
      </c>
      <c r="C8" s="25" t="s">
        <v>202</v>
      </c>
      <c r="D8" s="26"/>
      <c r="E8" s="26"/>
      <c r="F8" s="26"/>
      <c r="G8" s="26"/>
      <c r="H8" s="27" t="s">
        <v>203</v>
      </c>
      <c r="I8" s="28" t="s">
        <v>193</v>
      </c>
      <c r="J8" s="27" t="s">
        <v>196</v>
      </c>
      <c r="K8" s="26"/>
      <c r="L8" s="28"/>
      <c r="M8" s="28" t="s">
        <v>197</v>
      </c>
      <c r="N8" s="30"/>
      <c r="O8" s="31"/>
    </row>
    <row r="9" spans="1:15" ht="47.25">
      <c r="A9" s="67">
        <f t="shared" si="0"/>
        <v>5</v>
      </c>
      <c r="B9" s="24">
        <v>1</v>
      </c>
      <c r="C9" s="25" t="s">
        <v>204</v>
      </c>
      <c r="D9" s="26"/>
      <c r="E9" s="26"/>
      <c r="F9" s="26"/>
      <c r="G9" s="26"/>
      <c r="H9" s="27" t="s">
        <v>205</v>
      </c>
      <c r="I9" s="28" t="s">
        <v>193</v>
      </c>
      <c r="J9" s="27" t="s">
        <v>196</v>
      </c>
      <c r="K9" s="26"/>
      <c r="L9" s="28"/>
      <c r="M9" s="28" t="s">
        <v>197</v>
      </c>
      <c r="N9" s="30"/>
      <c r="O9" s="31"/>
    </row>
    <row r="10" spans="1:15" ht="47.25">
      <c r="A10" s="67">
        <f t="shared" si="0"/>
        <v>6</v>
      </c>
      <c r="B10" s="24">
        <v>1</v>
      </c>
      <c r="C10" s="25" t="s">
        <v>206</v>
      </c>
      <c r="D10" s="26"/>
      <c r="E10" s="26"/>
      <c r="F10" s="26"/>
      <c r="G10" s="26"/>
      <c r="H10" s="27" t="s">
        <v>207</v>
      </c>
      <c r="I10" s="28" t="s">
        <v>193</v>
      </c>
      <c r="J10" s="27" t="s">
        <v>196</v>
      </c>
      <c r="K10" s="26"/>
      <c r="L10" s="28"/>
      <c r="M10" s="28" t="s">
        <v>197</v>
      </c>
      <c r="N10" s="30"/>
      <c r="O10" s="31"/>
    </row>
    <row r="11" spans="1:15" ht="47.25">
      <c r="A11" s="67">
        <f t="shared" si="0"/>
        <v>7</v>
      </c>
      <c r="B11" s="24">
        <v>1</v>
      </c>
      <c r="C11" s="25" t="s">
        <v>208</v>
      </c>
      <c r="D11" s="26"/>
      <c r="E11" s="26"/>
      <c r="F11" s="26"/>
      <c r="G11" s="26"/>
      <c r="H11" s="27" t="s">
        <v>209</v>
      </c>
      <c r="I11" s="28" t="s">
        <v>193</v>
      </c>
      <c r="J11" s="27" t="s">
        <v>196</v>
      </c>
      <c r="K11" s="26"/>
      <c r="L11" s="28"/>
      <c r="M11" s="28" t="s">
        <v>197</v>
      </c>
      <c r="N11" s="30"/>
      <c r="O11" s="31"/>
    </row>
    <row r="12" spans="1:15" ht="47.25">
      <c r="A12" s="67">
        <f t="shared" si="0"/>
        <v>8</v>
      </c>
      <c r="B12" s="24">
        <v>1</v>
      </c>
      <c r="C12" s="25" t="s">
        <v>210</v>
      </c>
      <c r="D12" s="26"/>
      <c r="E12" s="26"/>
      <c r="F12" s="26"/>
      <c r="G12" s="26"/>
      <c r="H12" s="27" t="s">
        <v>211</v>
      </c>
      <c r="I12" s="28" t="s">
        <v>193</v>
      </c>
      <c r="J12" s="27" t="s">
        <v>196</v>
      </c>
      <c r="K12" s="26"/>
      <c r="L12" s="28"/>
      <c r="M12" s="28" t="s">
        <v>197</v>
      </c>
      <c r="N12" s="30"/>
      <c r="O12" s="31"/>
    </row>
    <row r="13" spans="1:15" ht="47.25">
      <c r="A13" s="67">
        <f t="shared" si="0"/>
        <v>9</v>
      </c>
      <c r="B13" s="24">
        <v>1</v>
      </c>
      <c r="C13" s="25" t="s">
        <v>212</v>
      </c>
      <c r="D13" s="26"/>
      <c r="E13" s="26"/>
      <c r="F13" s="26"/>
      <c r="G13" s="26"/>
      <c r="H13" s="27" t="s">
        <v>213</v>
      </c>
      <c r="I13" s="28" t="s">
        <v>193</v>
      </c>
      <c r="J13" s="27" t="s">
        <v>196</v>
      </c>
      <c r="K13" s="26"/>
      <c r="L13" s="28"/>
      <c r="M13" s="28" t="s">
        <v>197</v>
      </c>
      <c r="N13" s="30"/>
      <c r="O13" s="31"/>
    </row>
    <row r="14" spans="1:15" ht="47.25">
      <c r="A14" s="67">
        <f t="shared" si="0"/>
        <v>10</v>
      </c>
      <c r="B14" s="24">
        <v>1</v>
      </c>
      <c r="C14" s="25" t="s">
        <v>214</v>
      </c>
      <c r="D14" s="26"/>
      <c r="E14" s="26"/>
      <c r="F14" s="26"/>
      <c r="G14" s="26"/>
      <c r="H14" s="27" t="s">
        <v>215</v>
      </c>
      <c r="I14" s="28" t="s">
        <v>193</v>
      </c>
      <c r="J14" s="27" t="s">
        <v>196</v>
      </c>
      <c r="K14" s="26"/>
      <c r="L14" s="28"/>
      <c r="M14" s="28" t="s">
        <v>197</v>
      </c>
      <c r="N14" s="30"/>
      <c r="O14" s="31"/>
    </row>
    <row r="15" spans="1:15" ht="47.25">
      <c r="A15" s="67">
        <f t="shared" si="0"/>
        <v>11</v>
      </c>
      <c r="B15" s="24">
        <v>1</v>
      </c>
      <c r="C15" s="25" t="s">
        <v>216</v>
      </c>
      <c r="D15" s="26"/>
      <c r="E15" s="26"/>
      <c r="F15" s="26"/>
      <c r="G15" s="26"/>
      <c r="H15" s="27" t="s">
        <v>217</v>
      </c>
      <c r="I15" s="28" t="s">
        <v>193</v>
      </c>
      <c r="J15" s="27" t="s">
        <v>196</v>
      </c>
      <c r="K15" s="26"/>
      <c r="L15" s="28"/>
      <c r="M15" s="28" t="s">
        <v>197</v>
      </c>
      <c r="N15" s="30"/>
      <c r="O15" s="31"/>
    </row>
    <row r="16" spans="1:15" ht="47.25">
      <c r="A16" s="67">
        <f t="shared" si="0"/>
        <v>12</v>
      </c>
      <c r="B16" s="24">
        <v>1</v>
      </c>
      <c r="C16" s="25" t="s">
        <v>218</v>
      </c>
      <c r="D16" s="26"/>
      <c r="E16" s="26"/>
      <c r="F16" s="26"/>
      <c r="G16" s="26"/>
      <c r="H16" s="27" t="s">
        <v>219</v>
      </c>
      <c r="I16" s="28" t="s">
        <v>193</v>
      </c>
      <c r="J16" s="27" t="s">
        <v>196</v>
      </c>
      <c r="K16" s="26"/>
      <c r="L16" s="28"/>
      <c r="M16" s="28" t="s">
        <v>197</v>
      </c>
      <c r="N16" s="30"/>
      <c r="O16" s="31"/>
    </row>
    <row r="17" spans="1:15" ht="60" customHeight="1">
      <c r="A17" s="67">
        <f t="shared" si="0"/>
        <v>13</v>
      </c>
      <c r="B17" s="24"/>
      <c r="C17" s="25"/>
      <c r="D17" s="26"/>
      <c r="E17" s="26"/>
      <c r="F17" s="26"/>
      <c r="G17" s="26"/>
      <c r="H17" s="27"/>
      <c r="I17" s="28"/>
      <c r="J17" s="29"/>
      <c r="K17" s="26"/>
      <c r="L17" s="28"/>
      <c r="M17" s="28"/>
      <c r="N17" s="30"/>
      <c r="O17" s="31"/>
    </row>
    <row r="18" spans="1:15">
      <c r="A18" s="51" t="s">
        <v>144</v>
      </c>
      <c r="B18" s="59" t="s">
        <v>145</v>
      </c>
      <c r="C18" s="52"/>
      <c r="D18" s="53"/>
      <c r="E18" s="53"/>
      <c r="F18" s="54"/>
      <c r="G18" s="55"/>
      <c r="H18" s="56"/>
      <c r="I18" s="52"/>
      <c r="J18" s="52"/>
      <c r="K18" s="56"/>
      <c r="L18" s="52"/>
      <c r="M18" s="52"/>
      <c r="N18" s="52"/>
      <c r="O18"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7" xr:uid="{00000000-0002-0000-0100-000000000000}">
      <formula1>"〇"</formula1>
    </dataValidation>
    <dataValidation type="list" allowBlank="1" showErrorMessage="1" sqref="C5:C17" xr:uid="{00000000-0002-0000-0100-000001000000}">
      <formula1>指摘分類</formula1>
    </dataValidation>
    <dataValidation type="list" allowBlank="1" showInputMessage="1" showErrorMessage="1" sqref="F5:F17"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7" xr:uid="{00000000-0002-0000-0100-000003000000}">
      <formula1>影響度</formula1>
    </dataValidation>
    <dataValidation allowBlank="1" showErrorMessage="1" sqref="B5:B17" xr:uid="{00000000-0002-0000-0100-000004000000}"/>
    <dataValidation type="list" allowBlank="1" showInputMessage="1" showErrorMessage="1" promptTitle="対処要否を選択してください。" prompt="01_要_x000a_02_不要_x000a_03_重複_x000a_99_判断できず（TL判断要）" sqref="K5:K17" xr:uid="{00000000-0002-0000-0100-000005000000}">
      <formula1>対処要否</formula1>
    </dataValidation>
    <dataValidation type="list" allowBlank="1" showErrorMessage="1" sqref="D5:D17"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7"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2026-03-16T05:08:24Z</dcterms:modified>
</cp:coreProperties>
</file>