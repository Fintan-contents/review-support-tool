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25\"/>
    </mc:Choice>
  </mc:AlternateContent>
  <xr:revisionPtr revIDLastSave="0" documentId="13_ncr:1_{71DD04EC-7594-45E0-97A2-A6FB3EBFEB99}" xr6:coauthVersionLast="47" xr6:coauthVersionMax="47" xr10:uidLastSave="{00000000-0000-0000-0000-000000000000}"/>
  <bookViews>
    <workbookView xWindow="-120" yWindow="-120" windowWidth="51840" windowHeight="21120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レビュー結果1回目!$A$1:$K$21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9" l="1"/>
  <c r="Q21" i="9"/>
  <c r="P21" i="9"/>
  <c r="O21" i="9"/>
  <c r="N21" i="9"/>
  <c r="M21" i="9"/>
  <c r="L21" i="9"/>
  <c r="R20" i="9"/>
  <c r="Q20" i="9"/>
  <c r="P20" i="9"/>
  <c r="O20" i="9"/>
  <c r="N20" i="9"/>
  <c r="M20" i="9"/>
  <c r="L20" i="9"/>
  <c r="R19" i="9"/>
  <c r="Q19" i="9"/>
  <c r="P19" i="9"/>
  <c r="O19" i="9"/>
  <c r="N19" i="9"/>
  <c r="M19" i="9"/>
  <c r="L19" i="9"/>
  <c r="R18" i="9"/>
  <c r="Q18" i="9"/>
  <c r="P18" i="9"/>
  <c r="O18" i="9"/>
  <c r="N18" i="9"/>
  <c r="M18" i="9"/>
  <c r="L18" i="9"/>
  <c r="R17" i="9"/>
  <c r="Q17" i="9"/>
  <c r="G9" i="9" s="1"/>
  <c r="P17" i="9"/>
  <c r="F9" i="9" s="1"/>
  <c r="O17" i="9"/>
  <c r="E9" i="9" s="1"/>
  <c r="N17" i="9"/>
  <c r="D9" i="9" s="1"/>
  <c r="M17" i="9"/>
  <c r="C9" i="9" s="1"/>
  <c r="L17" i="9"/>
  <c r="B9" i="9" s="1"/>
  <c r="R16" i="9"/>
  <c r="Q16" i="9"/>
  <c r="P16" i="9"/>
  <c r="O16" i="9"/>
  <c r="N16" i="9"/>
  <c r="M16" i="9"/>
  <c r="L16" i="9"/>
  <c r="R15" i="9"/>
  <c r="Q15" i="9"/>
  <c r="P15" i="9"/>
  <c r="O15" i="9"/>
  <c r="N15" i="9"/>
  <c r="M15" i="9"/>
  <c r="L15" i="9"/>
  <c r="E10" i="9" l="1"/>
  <c r="E11" i="9" s="1"/>
  <c r="G10" i="9"/>
  <c r="G11" i="9" s="1"/>
  <c r="F10" i="9"/>
  <c r="F11" i="9" s="1"/>
  <c r="C10" i="9"/>
  <c r="C11" i="9" s="1"/>
  <c r="B10" i="9"/>
  <c r="D10" i="9"/>
  <c r="D11" i="9" s="1"/>
  <c r="H9" i="9"/>
  <c r="H10" i="9" l="1"/>
  <c r="B11" i="9"/>
  <c r="H11" i="9" s="1"/>
  <c r="AG2" i="2" l="1"/>
  <c r="AG1" i="2"/>
  <c r="AC1" i="2"/>
  <c r="AG3" i="7"/>
  <c r="E3" i="6"/>
  <c r="AG1" i="4"/>
  <c r="S1" i="3"/>
  <c r="AG2" i="6"/>
  <c r="E2" i="5"/>
  <c r="AC1" i="4"/>
  <c r="E1" i="3"/>
  <c r="AC2" i="2"/>
  <c r="AC2" i="5" s="1"/>
  <c r="AC3" i="7"/>
  <c r="E1" i="4"/>
  <c r="I25" i="1"/>
  <c r="E1" i="6"/>
  <c r="AG2" i="3"/>
  <c r="AG3" i="5"/>
  <c r="AC2" i="3"/>
  <c r="E2" i="3"/>
  <c r="E3" i="5"/>
  <c r="AG2" i="5"/>
  <c r="E3" i="7"/>
  <c r="AC2" i="6"/>
  <c r="AG1" i="5"/>
  <c r="S1" i="4"/>
  <c r="AG2" i="7"/>
  <c r="E2" i="6"/>
  <c r="AC1" i="5"/>
  <c r="AC2" i="7"/>
  <c r="AG1" i="6"/>
  <c r="S1" i="5"/>
  <c r="AG3" i="3"/>
  <c r="AC3" i="5"/>
  <c r="AG3" i="6"/>
  <c r="AG1" i="3"/>
  <c r="E2" i="4"/>
  <c r="E2" i="7"/>
  <c r="AC1" i="6"/>
  <c r="E1" i="5"/>
  <c r="AC3" i="3"/>
  <c r="AG1" i="7"/>
  <c r="S1" i="6"/>
  <c r="AG3" i="4"/>
  <c r="E3" i="3"/>
  <c r="AC1" i="7"/>
  <c r="AC3" i="4"/>
  <c r="S1" i="7"/>
  <c r="E3" i="4"/>
  <c r="E1" i="7"/>
  <c r="AG2" i="4"/>
  <c r="AC2" i="4"/>
  <c r="AC3" i="6"/>
  <c r="AC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  <author>山田　太郎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E63" authorId="1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太郎:d
機能・仕様誤りの指摘例（カテゴリd）。</t>
        </r>
      </text>
    </comment>
    <comment ref="E64" authorId="1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太郎:e
設計・ドキュメント規約違反の指摘例（カテゴリe）。</t>
        </r>
      </text>
    </comment>
    <comment ref="E65" authorId="1" shapeId="0" xr:uid="{00000000-0006-0000-0400-000007000000}">
      <text>
        <r>
          <rPr>
            <sz val="9"/>
            <rFont val="ＭＳ 明朝"/>
            <family val="1"/>
            <charset val="128"/>
          </rPr>
          <t>山田　太郎:f
記述誤りの指摘例（カテゴリf）。</t>
        </r>
      </text>
    </comment>
    <comment ref="A71" authorId="0" shapeId="0" xr:uid="{00000000-0006-0000-0400-000008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<sst xmlns="http://schemas.openxmlformats.org/spreadsheetml/2006/main" count="853" uniqueCount="322">
  <si>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</si>
  <si>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</si>
  <si>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</si>
  <si>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</si>
  <si>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</si>
  <si>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</si>
  <si>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</si>
  <si>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</si>
  <si>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</si>
  <si>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</si>
  <si>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</si>
  <si>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</si>
  <si>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</si>
  <si>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</si>
  <si>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</si>
  <si>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</si>
  <si>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</si>
  <si>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</si>
  <si>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</si>
  <si>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</si>
  <si>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</si>
  <si>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</si>
  <si>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</si>
  <si>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</si>
  <si>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</si>
  <si>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</si>
  <si>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</si>
  <si>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</si>
  <si>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</si>
  <si>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</si>
  <si>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</si>
  <si>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</si>
  <si>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</si>
  <si>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</si>
  <si>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</si>
  <si>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</si>
  <si>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</si>
  <si>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</si>
  <si>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</si>
  <si>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</si>
  <si>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</si>
  <si>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</si>
  <si>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</si>
  <si>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</si>
  <si>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</si>
  <si>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</si>
  <si>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</si>
  <si>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</si>
  <si>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</si>
  <si>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</si>
  <si>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</si>
  <si>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</si>
  <si>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</si>
  <si>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</si>
  <si>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</si>
  <si>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</si>
  <si>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</si>
  <si>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</si>
  <si>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</si>
  <si>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</si>
  <si>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</si>
  <si>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</si>
  <si>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</si>
  <si>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</si>
  <si>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</si>
  <si>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</si>
  <si>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</si>
  <si>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</si>
  <si>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</si>
  <si>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</si>
  <si>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</si>
  <si>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</si>
  <si>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</si>
  <si>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</si>
  <si>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</si>
  <si>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</si>
  <si>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</si>
  <si>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</si>
  <si>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</si>
  <si>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</si>
  <si>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</si>
  <si>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</si>
  <si>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</si>
  <si>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</si>
  <si>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</si>
  <si>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</si>
  <si>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</si>
  <si>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</si>
  <si>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</si>
  <si>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</si>
  <si>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</si>
  <si>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</si>
  <si>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</si>
  <si>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</si>
  <si>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</si>
  <si>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</si>
  <si>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</si>
  <si>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</si>
  <si>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</si>
  <si>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</si>
  <si>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</si>
  <si>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</si>
  <si>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</si>
  <si>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</si>
  <si>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</si>
  <si>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</si>
  <si>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</si>
  <si>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</si>
  <si>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</si>
  <si>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</si>
  <si>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</si>
  <si>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</si>
  <si>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</si>
  <si>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</si>
  <si>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</si>
  <si>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</si>
  <si>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</si>
  <si>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</si>
  <si>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</si>
  <si>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</si>
  <si>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</si>
  <si>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</si>
  <si>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</si>
  <si>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</si>
  <si>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</si>
  <si>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</si>
  <si>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</si>
  <si>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</si>
  <si>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</si>
  <si>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</si>
  <si>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</si>
  <si>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</si>
  <si>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</si>
  <si>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</si>
  <si>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</si>
  <si>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</si>
  <si>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</si>
  <si>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</si>
  <si>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</si>
  <si>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</si>
  <si>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</si>
  <si>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</si>
  <si>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</si>
  <si>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</si>
  <si>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</si>
  <si>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</si>
  <si>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</si>
  <si>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</si>
  <si>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</si>
  <si>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</si>
  <si>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</si>
  <si>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</si>
  <si>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</si>
  <si>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</si>
  <si>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</si>
  <si>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</si>
  <si>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</si>
  <si>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</si>
  <si>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</si>
  <si>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</si>
  <si>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</si>
  <si>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</si>
  <si>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</si>
  <si>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</si>
  <si>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</si>
  <si>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</si>
  <si>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</si>
  <si>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</si>
  <si>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</si>
  <si>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</si>
  <si>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</si>
  <si>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</si>
  <si>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</si>
  <si>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</si>
  <si>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</si>
  <si>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</si>
  <si>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</si>
  <si>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</si>
  <si>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</si>
  <si>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</si>
  <si>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</si>
  <si>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</si>
  <si>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</si>
  <si>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</si>
  <si>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</si>
  <si>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</si>
  <si>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</si>
  <si>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</si>
  <si>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</si>
  <si>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</si>
  <si>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</si>
  <si>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</si>
  <si>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</si>
  <si>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</si>
  <si>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</si>
  <si>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</si>
  <si>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</si>
  <si>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</si>
  <si>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</si>
  <si>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</si>
  <si>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</si>
  <si>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</si>
  <si>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</si>
  <si>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</si>
  <si>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</si>
  <si>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</si>
  <si>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</si>
  <si>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</si>
  <si>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</si>
  <si>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</si>
  <si>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</si>
  <si>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</si>
  <si>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</si>
  <si>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</si>
  <si>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</si>
  <si>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</si>
  <si>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</si>
  <si>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</si>
  <si>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</si>
  <si>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</si>
  <si>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</si>
  <si>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</si>
  <si>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</si>
  <si>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</si>
  <si>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</si>
  <si>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</si>
  <si>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</si>
  <si>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</si>
  <si>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</si>
  <si>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</si>
  <si>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</si>
  <si>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</si>
  <si>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</si>
  <si>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</si>
  <si>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</si>
  <si>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</si>
  <si>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</si>
  <si>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</si>
  <si>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</si>
  <si>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</si>
  <si>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</si>
  <si>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</si>
  <si>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</si>
  <si>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</si>
  <si>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</si>
  <si>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</si>
  <si>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</si>
  <si>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</si>
  <si>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</si>
  <si>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</si>
  <si>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</si>
  <si>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</si>
  <si>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</si>
  <si>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</si>
  <si>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</si>
  <si>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</si>
  <si>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</si>
  <si>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</si>
  <si>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</si>
  <si>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</si>
  <si>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</si>
  <si>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</si>
  <si>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</si>
  <si>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</si>
  <si>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</si>
  <si>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</si>
  <si>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</si>
  <si>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</si>
  <si>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</si>
  <si>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</si>
  <si>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</si>
  <si>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</si>
  <si>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</si>
  <si>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</si>
  <si>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</si>
  <si>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</si>
  <si>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</si>
  <si>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</si>
  <si>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</si>
  <si>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</si>
  <si>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</si>
  <si>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</si>
  <si>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</si>
  <si>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</si>
  <si>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</si>
  <si>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</si>
  <si>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</si>
  <si>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</si>
  <si>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</si>
  <si>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22_記述誤り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</si>
  <si>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</si>
  <si>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</si>
  <si>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</si>
  <si>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</si>
  <si>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</si>
  <si>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</si>
  <si>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</si>
  <si>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</si>
  <si>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</si>
  <si>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</si>
  <si>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システム機能設計書_サンプル_S25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</si>
  <si>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</si>
  <si>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</si>
  <si>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</si>
  <si>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</si>
  <si>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</si>
  <si>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</si>
  <si>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</si>
  <si>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</si>
  <si>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</si>
  <si>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</si>
  <si>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</si>
  <si>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</si>
  <si>
    <t>E63</t>
  </si>
  <si>
    <t>d</t>
  </si>
  <si>
    <t>機能・仕様誤りの指摘例（カテゴリd）。</t>
  </si>
  <si>
    <t>E64</t>
  </si>
  <si>
    <t>e</t>
  </si>
  <si>
    <t>設計・ドキュメント規約違反の指摘例（カテゴリe）。</t>
  </si>
  <si>
    <t>E65</t>
  </si>
  <si>
    <t>f</t>
  </si>
  <si>
    <t>記述誤りの指摘例（カテゴリf）。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</si>
</sst>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C151-6765-4840-8E68-6EF745E84406}">
  <sheetPr codeName="SheetTemplate">
    <tabColor indexed="44"/>
    <pageSetUpPr fitToPage="1"/>
  </sheetPr>
  <dimension ref="A1:R21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A15" sqref="A15"/>
    </sheetView>
  </sheetViews>
  <sheetFormatPr defaultRowHeight="13.5" x14ac:dyDescent="0.15"/>
  <cols>
    <col min="1" max="1" width="9.33203125" style="262"/>
    <col min="2" max="11" width="17.6640625" style="262" customWidth="1"/>
    <col min="12" max="17" width="4.5" style="262" customWidth="1"/>
    <col min="18" max="18" width="98.1640625" style="262" customWidth="1"/>
    <col min="19" max="20" width="4.5" style="262" customWidth="1"/>
    <col min="21" max="21" width="98.1640625" style="262" customWidth="1"/>
    <col min="22" max="16384" width="9.33203125" style="262"/>
  </cols>
  <sheetData>
    <row r="1" spans="1:18" x14ac:dyDescent="0.15">
      <c r="A1" s="261" t="s">
        <v>265</v>
      </c>
      <c r="L1" s="263"/>
      <c r="R1" s="264" t="s">
        <v>266</v>
      </c>
    </row>
    <row r="2" spans="1:18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18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18" x14ac:dyDescent="0.15">
      <c r="A4" s="271" t="s">
        <v>300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18" x14ac:dyDescent="0.15">
      <c r="A6" s="261" t="s">
        <v>276</v>
      </c>
    </row>
    <row r="7" spans="1:18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</row>
    <row r="8" spans="1:18" ht="27" x14ac:dyDescent="0.15">
      <c r="A8" s="269" t="s">
        <v>283</v>
      </c>
      <c r="B8" s="277" t="s">
        <v>284</v>
      </c>
      <c r="C8" s="277" t="s">
        <v>285</v>
      </c>
      <c r="D8" s="277" t="s">
        <v>286</v>
      </c>
      <c r="E8" s="278" t="s">
        <v>287</v>
      </c>
      <c r="F8" s="277" t="s">
        <v>288</v>
      </c>
      <c r="G8" s="277" t="s">
        <v>289</v>
      </c>
      <c r="H8" s="279" t="s">
        <v>290</v>
      </c>
      <c r="I8" s="280"/>
      <c r="J8" s="280"/>
      <c r="K8" s="280"/>
      <c r="L8" s="280"/>
      <c r="M8" s="280"/>
      <c r="N8" s="280"/>
      <c r="O8" s="280"/>
      <c r="P8" s="280"/>
      <c r="Q8" s="280"/>
    </row>
    <row r="9" spans="1:18" x14ac:dyDescent="0.15">
      <c r="A9" s="269" t="s">
        <v>291</v>
      </c>
      <c r="B9" s="281" t="str">
        <f>IF(SUMIF($K15:$K21,$A9,L15:L21)=0,"",SUMIF($K15:$K21,$A9,L15:L21))</f>
        <v/>
      </c>
      <c r="C9" s="281" t="str">
        <f>IF(SUMIF($K15:$K21,$A9,M15:M21)=0,"",SUMIF($K15:$K21,$A9,M15:M21))</f>
        <v/>
      </c>
      <c r="D9" s="281">
        <f>IF(SUMIF($K15:$K21,$A9,N15:N21)=0,"",SUMIF($K15:$K21,$A9,N15:N21))</f>
        <v>1</v>
      </c>
      <c r="E9" s="281" t="str">
        <f>IF(SUMIF($K15:$K21,$A9,O15:O21)=0,"",SUMIF($K15:$K21,$A9,O15:O21))</f>
        <v/>
      </c>
      <c r="F9" s="281" t="str">
        <f>IF(SUMIF($K15:$K21,$A9,P15:P21)=0,"",SUMIF($K15:$K21,$A9,P15:P21))</f>
        <v/>
      </c>
      <c r="G9" s="281" t="str">
        <f>IF(SUMIF($K15:$K21,$A9,Q15:Q21)=0,"",SUMIF($K15:$K21,$A9,Q15:Q21))</f>
        <v/>
      </c>
      <c r="H9" s="282">
        <f>SUM(B9:G9)</f>
        <v>1</v>
      </c>
      <c r="I9" s="261"/>
      <c r="J9" s="261"/>
      <c r="K9" s="261"/>
      <c r="L9" s="261"/>
      <c r="M9" s="261"/>
      <c r="N9" s="261"/>
      <c r="O9" s="261"/>
      <c r="P9" s="261"/>
      <c r="Q9" s="261"/>
    </row>
    <row r="10" spans="1:18" x14ac:dyDescent="0.15">
      <c r="A10" s="269" t="s">
        <v>292</v>
      </c>
      <c r="B10" s="281">
        <f>IF(SUMIF($K15:$K21,$A10,L15:L21)=0,"",SUMIF($K15:$K21,$A10,L15:L21))</f>
        <v>1</v>
      </c>
      <c r="C10" s="281">
        <f>IF(SUMIF($K15:$K21,$A10,M15:M21)=0,"",SUMIF($K15:$K21,$A10,M15:M21))</f>
        <v>1</v>
      </c>
      <c r="D10" s="281" t="str">
        <f>IF(SUMIF($K15:$K21,$A10,N15:N21)=0,"",SUMIF($K15:$K21,$A10,N15:N21))</f>
        <v/>
      </c>
      <c r="E10" s="281">
        <f>IF(SUMIF($K15:$K21,$A10,O15:O21)=0,"",SUMIF($K15:$K21,$A10,O15:O21))</f>
        <v>1</v>
      </c>
      <c r="F10" s="281">
        <f>IF(SUMIF($K15:$K21,$A10,P15:P21)=0,"",SUMIF($K15:$K21,$A10,P15:P21))</f>
        <v>1</v>
      </c>
      <c r="G10" s="281">
        <f>IF(SUMIF($K15:$K21,$A10,Q15:Q21)=0,"",SUMIF($K15:$K21,$A10,Q15:Q21))</f>
        <v>1</v>
      </c>
      <c r="H10" s="282">
        <f>SUM(B10:G10)</f>
        <v>5</v>
      </c>
      <c r="I10" s="261"/>
      <c r="J10" s="261"/>
      <c r="K10" s="261"/>
      <c r="L10" s="261"/>
      <c r="M10" s="261"/>
      <c r="N10" s="261"/>
      <c r="O10" s="261"/>
      <c r="P10" s="261"/>
      <c r="Q10" s="261"/>
    </row>
    <row r="11" spans="1:18" x14ac:dyDescent="0.15">
      <c r="A11" s="283" t="s">
        <v>290</v>
      </c>
      <c r="B11" s="284">
        <f>SUM(B9:B10)</f>
        <v>1</v>
      </c>
      <c r="C11" s="284">
        <f t="shared" ref="C11:G11" si="0">SUM(C9:C10)</f>
        <v>1</v>
      </c>
      <c r="D11" s="284">
        <f t="shared" si="0"/>
        <v>1</v>
      </c>
      <c r="E11" s="284">
        <f t="shared" si="0"/>
        <v>1</v>
      </c>
      <c r="F11" s="284">
        <f t="shared" si="0"/>
        <v>1</v>
      </c>
      <c r="G11" s="284">
        <f t="shared" si="0"/>
        <v>1</v>
      </c>
      <c r="H11" s="284">
        <f>SUM(B11:G11)</f>
        <v>6</v>
      </c>
    </row>
    <row r="12" spans="1:18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18" x14ac:dyDescent="0.15">
      <c r="A13" s="286" t="s">
        <v>293</v>
      </c>
      <c r="B13" s="287"/>
      <c r="C13" s="287"/>
      <c r="D13" s="287"/>
      <c r="F13" s="287"/>
      <c r="L13" s="263" t="s">
        <v>294</v>
      </c>
      <c r="M13" s="263"/>
      <c r="N13" s="263"/>
      <c r="O13" s="263"/>
      <c r="P13" s="263"/>
      <c r="Q13" s="263"/>
    </row>
    <row r="14" spans="1:18" x14ac:dyDescent="0.15">
      <c r="A14" s="288" t="s">
        <v>295</v>
      </c>
      <c r="B14" s="288" t="s">
        <v>296</v>
      </c>
      <c r="C14" s="288" t="s">
        <v>297</v>
      </c>
      <c r="D14" s="288" t="s">
        <v>298</v>
      </c>
      <c r="E14" s="289" t="s">
        <v>299</v>
      </c>
      <c r="F14" s="290"/>
      <c r="G14" s="291"/>
      <c r="H14" s="291"/>
      <c r="I14" s="291"/>
      <c r="J14" s="292"/>
      <c r="K14" s="293" t="s">
        <v>283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</row>
    <row r="15" spans="1:18" ht="40.5" x14ac:dyDescent="0.15">
      <c r="A15" s="272" t="s">
        <v>38</v>
      </c>
      <c r="B15" s="297" t="s">
        <v>301</v>
      </c>
      <c r="C15" s="272" t="s">
        <v>302</v>
      </c>
      <c r="D15" s="272" t="s">
        <v>303</v>
      </c>
      <c r="E15" s="298" t="s">
        <v>304</v>
      </c>
      <c r="F15" s="271"/>
      <c r="G15" s="271"/>
      <c r="H15" s="271"/>
      <c r="I15" s="271"/>
      <c r="J15" s="271"/>
      <c r="K15" s="272" t="s">
        <v>305</v>
      </c>
      <c r="L15" s="295">
        <f t="shared" ref="L15:Q21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18" ht="40.5" x14ac:dyDescent="0.15">
      <c r="A16" s="272" t="s">
        <v>38</v>
      </c>
      <c r="B16" s="297" t="s">
        <v>306</v>
      </c>
      <c r="C16" s="272" t="s">
        <v>302</v>
      </c>
      <c r="D16" s="272" t="s">
        <v>307</v>
      </c>
      <c r="E16" s="298" t="s">
        <v>308</v>
      </c>
      <c r="F16" s="271"/>
      <c r="G16" s="271"/>
      <c r="H16" s="271"/>
      <c r="I16" s="271"/>
      <c r="J16" s="271"/>
      <c r="K16" s="272" t="s">
        <v>305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6" t="str">
        <f>IF(E16&lt;&gt;"",E16,"")</f>
        <v>対応内容の例。
---
対応内容はデリミタ（---）の後に記入する。</v>
      </c>
    </row>
    <row r="17" spans="1:18" ht="67.5" x14ac:dyDescent="0.15">
      <c r="A17" s="272" t="s">
        <v>38</v>
      </c>
      <c r="B17" s="297" t="s">
        <v>309</v>
      </c>
      <c r="C17" s="272" t="s">
        <v>302</v>
      </c>
      <c r="D17" s="272" t="s">
        <v>310</v>
      </c>
      <c r="E17" s="298" t="s">
        <v>311</v>
      </c>
      <c r="F17" s="271"/>
      <c r="G17" s="271"/>
      <c r="H17" s="271"/>
      <c r="I17" s="271"/>
      <c r="J17" s="271"/>
      <c r="K17" s="272" t="s">
        <v>312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18" x14ac:dyDescent="0.15">
      <c r="A18" s="272" t="s">
        <v>38</v>
      </c>
      <c r="B18" s="297" t="s">
        <v>313</v>
      </c>
      <c r="C18" s="272" t="s">
        <v>302</v>
      </c>
      <c r="D18" s="272" t="s">
        <v>314</v>
      </c>
      <c r="E18" s="271" t="s">
        <v>315</v>
      </c>
      <c r="F18" s="271"/>
      <c r="G18" s="271"/>
      <c r="H18" s="271"/>
      <c r="I18" s="271"/>
      <c r="J18" s="271"/>
      <c r="K18" s="272" t="s">
        <v>305</v>
      </c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1</v>
      </c>
      <c r="P18" s="295">
        <f t="shared" si="1"/>
        <v>0</v>
      </c>
      <c r="Q18" s="295">
        <f t="shared" si="1"/>
        <v>0</v>
      </c>
      <c r="R18" s="296" t="str">
        <f>IF(E18&lt;&gt;"",E18,"")</f>
        <v>機能・仕様誤りの指摘例（カテゴリd）。</v>
      </c>
    </row>
    <row r="19" spans="1:18" x14ac:dyDescent="0.15">
      <c r="A19" s="272" t="s">
        <v>38</v>
      </c>
      <c r="B19" s="297" t="s">
        <v>316</v>
      </c>
      <c r="C19" s="272" t="s">
        <v>302</v>
      </c>
      <c r="D19" s="272" t="s">
        <v>317</v>
      </c>
      <c r="E19" s="271" t="s">
        <v>318</v>
      </c>
      <c r="F19" s="271"/>
      <c r="G19" s="271"/>
      <c r="H19" s="271"/>
      <c r="I19" s="271"/>
      <c r="J19" s="271"/>
      <c r="K19" s="272" t="s">
        <v>305</v>
      </c>
      <c r="L19" s="295">
        <f t="shared" si="1"/>
        <v>0</v>
      </c>
      <c r="M19" s="295">
        <f t="shared" si="1"/>
        <v>0</v>
      </c>
      <c r="N19" s="295">
        <f t="shared" si="1"/>
        <v>0</v>
      </c>
      <c r="O19" s="295">
        <f t="shared" si="1"/>
        <v>0</v>
      </c>
      <c r="P19" s="295">
        <f t="shared" si="1"/>
        <v>1</v>
      </c>
      <c r="Q19" s="295">
        <f t="shared" si="1"/>
        <v>0</v>
      </c>
      <c r="R19" s="296" t="str">
        <f>IF(E19&lt;&gt;"",E19,"")</f>
        <v>設計・ドキュメント規約違反の指摘例（カテゴリe）。</v>
      </c>
    </row>
    <row r="20" spans="1:18" x14ac:dyDescent="0.15">
      <c r="A20" s="272" t="s">
        <v>38</v>
      </c>
      <c r="B20" s="297" t="s">
        <v>319</v>
      </c>
      <c r="C20" s="272" t="s">
        <v>302</v>
      </c>
      <c r="D20" s="272" t="s">
        <v>320</v>
      </c>
      <c r="E20" s="271" t="s">
        <v>321</v>
      </c>
      <c r="F20" s="271"/>
      <c r="G20" s="271"/>
      <c r="H20" s="271"/>
      <c r="I20" s="271"/>
      <c r="J20" s="271"/>
      <c r="K20" s="272" t="s">
        <v>305</v>
      </c>
      <c r="L20" s="295">
        <f t="shared" si="1"/>
        <v>0</v>
      </c>
      <c r="M20" s="295">
        <f t="shared" si="1"/>
        <v>0</v>
      </c>
      <c r="N20" s="295">
        <f t="shared" si="1"/>
        <v>0</v>
      </c>
      <c r="O20" s="295">
        <f t="shared" si="1"/>
        <v>0</v>
      </c>
      <c r="P20" s="295">
        <f t="shared" si="1"/>
        <v>0</v>
      </c>
      <c r="Q20" s="295">
        <f t="shared" si="1"/>
        <v>1</v>
      </c>
      <c r="R20" s="296" t="str">
        <f>IF(E20&lt;&gt;"",E20,"")</f>
        <v>記述誤りの指摘例（カテゴリf）。</v>
      </c>
    </row>
    <row r="21" spans="1:18" x14ac:dyDescent="0.15">
      <c r="A21" s="272"/>
      <c r="B21" s="272"/>
      <c r="C21" s="272"/>
      <c r="D21" s="272"/>
      <c r="E21" s="271"/>
      <c r="F21" s="271"/>
      <c r="G21" s="271"/>
      <c r="H21" s="271"/>
      <c r="I21" s="271"/>
      <c r="J21" s="271"/>
      <c r="K21" s="272"/>
      <c r="L21" s="295">
        <f t="shared" si="1"/>
        <v>0</v>
      </c>
      <c r="M21" s="295">
        <f t="shared" si="1"/>
        <v>0</v>
      </c>
      <c r="N21" s="295">
        <f t="shared" si="1"/>
        <v>0</v>
      </c>
      <c r="O21" s="295">
        <f t="shared" si="1"/>
        <v>0</v>
      </c>
      <c r="P21" s="295">
        <f t="shared" si="1"/>
        <v>0</v>
      </c>
      <c r="Q21" s="295">
        <f t="shared" si="1"/>
        <v>0</v>
      </c>
      <c r="R21" s="296" t="str">
        <f>IF(E21&lt;&gt;"",E21,"")</f>
        <v/>
      </c>
    </row>
  </sheetData>
  <mergeCells count="9">
    <mergeCell ref="A3:B3"/>
    <mergeCell ref="A4:B4"/>
    <mergeCell ref="E15:J15"/>
    <mergeCell ref="E16:J16"/>
    <mergeCell ref="E17:J17"/>
    <mergeCell ref="E18:J18"/>
    <mergeCell ref="E19:J19"/>
    <mergeCell ref="E20:J20"/>
    <mergeCell ref="E21:J21"/>
  </mergeCells>
  <phoneticPr fontId="10"/>
  <conditionalFormatting sqref="A15:K21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21" xr:uid="{6E56FA6A-CA48-4A70-8E37-7684E7188C3C}">
      <formula1>"未,済"</formula1>
    </dataValidation>
  </dataValidations>
  <hyperlinks>
    <hyperlink ref="B15" location="'2. WA1020101(プロジェクト登録画面)'!$B$5" display="'2. WA1020101(プロジェクト登録画面)'!$B$5" xr:uid="{9B74B046-36F0-4244-870F-AA45C50FDBA4}"/>
    <hyperlink ref="B16" location="'2. WA1020101(プロジェクト登録画面)'!$E$60" display="'2. WA1020101(プロジェクト登録画面)'!$E$60" xr:uid="{35ECCE01-B1B4-436C-BBB4-850C2F1820F4}"/>
    <hyperlink ref="B17" location="'2. WA1020101(プロジェクト登録画面)'!$E$62" display="'2. WA1020101(プロジェクト登録画面)'!$E$62" xr:uid="{9697448F-645A-41FB-AA3F-4313B4171D87}"/>
    <hyperlink ref="B18" location="'2. WA1020101(プロジェクト登録画面)'!$E$63" display="'2. WA1020101(プロジェクト登録画面)'!$E$63" xr:uid="{C9647F5F-F163-4499-88A9-FE5C8EC41F54}"/>
    <hyperlink ref="B19" location="'2. WA1020101(プロジェクト登録画面)'!$E$64" display="'2. WA1020101(プロジェクト登録画面)'!$E$64" xr:uid="{446BD414-9F72-4680-85DB-437C59B7F4B8}"/>
    <hyperlink ref="B20" location="'2. WA1020101(プロジェクト登録画面)'!$E$65" display="'2. WA1020101(プロジェクト登録画面)'!$E$65" xr:uid="{6F0B7F15-88AA-41F1-9DA5-B98FEA05983C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2026-03-13T00:18:59Z</dcterms:modified>
</cp:coreProperties>
</file>