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27\"/>
    </mc:Choice>
  </mc:AlternateContent>
  <xr:revisionPtr revIDLastSave="0" documentId="13_ncr:1_{B2F6850B-088C-454C-A31E-73339299A9D4}" xr6:coauthVersionLast="47" xr6:coauthVersionMax="47" xr10:uidLastSave="{00000000-0000-0000-0000-000000000000}"/>
  <bookViews>
    <workbookView xWindow="1560" yWindow="1560" windowWidth="38700" windowHeight="15345" tabRatio="822" xr2:uid="{00000000-000D-0000-FFFF-FFFF00000000}"/>
  </bookViews>
  <sheets>
    <sheet name="レビュー結果1回目" sheetId="11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レビュー結果1回目!$A$1:$N$27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" i="11" l="1"/>
  <c r="Z27" i="11"/>
  <c r="Y27" i="11"/>
  <c r="X27" i="11"/>
  <c r="W27" i="11"/>
  <c r="V27" i="11"/>
  <c r="U27" i="11"/>
  <c r="T27" i="11"/>
  <c r="S27" i="11"/>
  <c r="R27" i="11"/>
  <c r="Q27" i="11"/>
  <c r="P27" i="11"/>
  <c r="O27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AA17" i="11"/>
  <c r="Z17" i="11"/>
  <c r="M9" i="11" s="1"/>
  <c r="Y17" i="11"/>
  <c r="L9" i="11" s="1"/>
  <c r="X17" i="11"/>
  <c r="K9" i="11" s="1"/>
  <c r="W17" i="11"/>
  <c r="J9" i="11" s="1"/>
  <c r="V17" i="11"/>
  <c r="I9" i="11" s="1"/>
  <c r="U17" i="11"/>
  <c r="H9" i="11" s="1"/>
  <c r="T17" i="11"/>
  <c r="G9" i="11" s="1"/>
  <c r="S17" i="11"/>
  <c r="F9" i="11" s="1"/>
  <c r="R17" i="11"/>
  <c r="E9" i="11" s="1"/>
  <c r="Q17" i="11"/>
  <c r="D9" i="11" s="1"/>
  <c r="P17" i="11"/>
  <c r="C9" i="11" s="1"/>
  <c r="O17" i="11"/>
  <c r="B9" i="11" s="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D10" i="11" l="1"/>
  <c r="D11" i="11" s="1"/>
  <c r="M10" i="11"/>
  <c r="M11" i="11" s="1"/>
  <c r="J10" i="11"/>
  <c r="J11" i="11" s="1"/>
  <c r="E10" i="11"/>
  <c r="E11" i="11" s="1"/>
  <c r="C10" i="11"/>
  <c r="C11" i="11" s="1"/>
  <c r="I10" i="11"/>
  <c r="I11" i="11" s="1"/>
  <c r="K10" i="11"/>
  <c r="K11" i="11" s="1"/>
  <c r="F10" i="11"/>
  <c r="F11" i="11" s="1"/>
  <c r="H10" i="11"/>
  <c r="H11" i="11" s="1"/>
  <c r="B10" i="11"/>
  <c r="L10" i="11"/>
  <c r="L11" i="11" s="1"/>
  <c r="G10" i="11"/>
  <c r="G11" i="11" s="1"/>
  <c r="N9" i="11"/>
  <c r="N10" i="11" l="1"/>
  <c r="B11" i="11"/>
  <c r="N11" i="11" s="1"/>
  <c r="AG2" i="2" l="1"/>
  <c r="AG1" i="2"/>
  <c r="AC1" i="2"/>
  <c r="AG3" i="7"/>
  <c r="E3" i="6"/>
  <c r="AG1" i="4"/>
  <c r="S1" i="3"/>
  <c r="AG2" i="7"/>
  <c r="AC1" i="5"/>
  <c r="AC2" i="2"/>
  <c r="AC2" i="5" s="1"/>
  <c r="E2" i="7"/>
  <c r="AC1" i="6"/>
  <c r="E1" i="5"/>
  <c r="AC3" i="3"/>
  <c r="AC3" i="7"/>
  <c r="AG2" i="6"/>
  <c r="E2" i="5"/>
  <c r="AC1" i="4"/>
  <c r="E1" i="3"/>
  <c r="S1" i="4"/>
  <c r="E3" i="7"/>
  <c r="AC2" i="6"/>
  <c r="AG1" i="5"/>
  <c r="E2" i="6"/>
  <c r="E1" i="4"/>
  <c r="AC2" i="7"/>
  <c r="AG1" i="6"/>
  <c r="S1" i="5"/>
  <c r="AG3" i="3"/>
  <c r="AG1" i="7"/>
  <c r="S1" i="6"/>
  <c r="AG3" i="4"/>
  <c r="E3" i="3"/>
  <c r="I25" i="1"/>
  <c r="AC1" i="7"/>
  <c r="E1" i="6"/>
  <c r="AC3" i="4"/>
  <c r="AG2" i="3"/>
  <c r="S1" i="7"/>
  <c r="AG3" i="5"/>
  <c r="E3" i="4"/>
  <c r="AC2" i="3"/>
  <c r="E1" i="7"/>
  <c r="AC3" i="5"/>
  <c r="AG2" i="4"/>
  <c r="E2" i="3"/>
  <c r="AG3" i="6"/>
  <c r="E3" i="5"/>
  <c r="AC2" i="4"/>
  <c r="AG1" i="3"/>
  <c r="AC3" i="6"/>
  <c r="AG2" i="5"/>
  <c r="E2" i="4"/>
  <c r="AC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  <author>山田　太郎</author>
  </authors>
  <commentList>
    <comment ref="A4" authorId="0" shapeId="0" xr:uid="{00000000-0006-0000-04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終了:14:00
レビュー時間:200</t>
        </r>
      </text>
    </comment>
    <comment ref="B5" authorId="0" shapeId="0" xr:uid="{00000000-0006-0000-0400-000002000000}">
      <text>
        <r>
          <rPr>
            <sz val="9"/>
            <rFont val="ＭＳ 明朝"/>
            <family val="1"/>
            <charset val="128"/>
          </rPr>
          <t>山田　太郎:a
レビュー指摘コメントの例。
自動で挿入される名前とコロンの直後に指摘分類をa～iで書く。
※レビュー日時を書く場合はコロンの直後に*を書く。</t>
        </r>
      </text>
    </comment>
    <comment ref="E60" authorId="0" shapeId="0" xr:uid="{00000000-0006-0000-0400-000003000000}">
      <text>
        <r>
          <rPr>
            <sz val="9"/>
            <rFont val="ＭＳ 明朝"/>
            <family val="1"/>
            <charset val="128"/>
          </rPr>
          <t>山田　太郎:b
対応内容の例。
---
対応内容はデリミタ（---）の後に記入する。</t>
        </r>
      </text>
    </comment>
    <comment ref="E62" authorId="0" shapeId="0" xr:uid="{00000000-0006-0000-0400-000004000000}">
      <text>
        <r>
          <rPr>
            <sz val="9"/>
            <rFont val="ＭＳ 明朝"/>
            <family val="1"/>
            <charset val="128"/>
          </rPr>
  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  </r>
      </text>
    </comment>
    <comment ref="E63" authorId="1" shapeId="0" xr:uid="{00000000-0006-0000-0400-000005000000}">
      <text>
        <r>
          <rPr>
            <sz val="9"/>
            <rFont val="ＭＳ 明朝"/>
            <family val="1"/>
            <charset val="128"/>
          </rPr>
          <t>山田　太郎:d
機能・仕様誤りの指摘例（カテゴリd）。</t>
        </r>
      </text>
    </comment>
    <comment ref="E64" authorId="1" shapeId="0" xr:uid="{00000000-0006-0000-0400-000006000000}">
      <text>
        <r>
          <rPr>
            <sz val="9"/>
            <rFont val="ＭＳ 明朝"/>
            <family val="1"/>
            <charset val="128"/>
          </rPr>
          <t>山田　太郎:e
設計・ドキュメント規約違反の指摘例（カテゴリe）。</t>
        </r>
      </text>
    </comment>
    <comment ref="E65" authorId="1" shapeId="0" xr:uid="{00000000-0006-0000-0400-000007000000}">
      <text>
        <r>
          <rPr>
            <sz val="9"/>
            <rFont val="ＭＳ 明朝"/>
            <family val="1"/>
            <charset val="128"/>
          </rPr>
          <t>山田　太郎:f
記述誤りの指摘例（カテゴリf）。</t>
        </r>
      </text>
    </comment>
    <comment ref="E66" authorId="1" shapeId="0" xr:uid="{00000000-0006-0000-0400-000008000000}">
      <text>
        <r>
          <rPr>
            <sz val="9"/>
            <rFont val="ＭＳ 明朝"/>
            <family val="1"/>
            <charset val="128"/>
          </rPr>
          <t>山田　太郎:g
疑問点・確認の指摘例（カテゴリg）。</t>
        </r>
      </text>
    </comment>
    <comment ref="E67" authorId="1" shapeId="0" xr:uid="{00000000-0006-0000-0400-000009000000}">
      <text>
        <r>
          <rPr>
            <sz val="9"/>
            <rFont val="ＭＳ 明朝"/>
            <family val="1"/>
            <charset val="128"/>
          </rPr>
          <t>山田　太郎:h
改善要望の指摘例（カテゴリh）。</t>
        </r>
      </text>
    </comment>
    <comment ref="E68" authorId="1" shapeId="0" xr:uid="{00000000-0006-0000-0400-00000A000000}">
      <text>
        <r>
          <rPr>
            <sz val="9"/>
            <rFont val="ＭＳ 明朝"/>
            <family val="1"/>
            <charset val="128"/>
          </rPr>
          <t>山田　太郎:i
仕様変更の指摘例（カテゴリi）。</t>
        </r>
      </text>
    </comment>
    <comment ref="E69" authorId="1" shapeId="0" xr:uid="{00000000-0006-0000-0400-00000B000000}">
      <text>
        <r>
          <rPr>
            <sz val="9"/>
            <rFont val="ＭＳ 明朝"/>
            <family val="1"/>
            <charset val="128"/>
          </rPr>
          <t>山田　太郎:j
テスト項目漏れの指摘例（カテゴリj）。</t>
        </r>
      </text>
    </comment>
    <comment ref="E70" authorId="1" shapeId="0" xr:uid="{00000000-0006-0000-0400-00000C000000}">
      <text>
        <r>
          <rPr>
            <sz val="9"/>
            <rFont val="ＭＳ 明朝"/>
            <family val="1"/>
            <charset val="128"/>
          </rPr>
          <t>山田　太郎:k
テスト漏れの指摘例（カテゴリk）。</t>
        </r>
      </text>
    </comment>
    <comment ref="A71" authorId="0" shapeId="0" xr:uid="{00000000-0006-0000-0400-00000D000000}">
      <text>
        <r>
          <rPr>
            <sz val="9"/>
            <rFont val="ＭＳ 明朝"/>
            <family val="1"/>
            <charset val="128"/>
          </rPr>
          <t>山田　太郎:
自動で挿入される名前とコロンの直後に何も書かれていない場合、日時コメント・指摘コメントとして扱われない。</t>
        </r>
      </text>
    </comment>
    <comment ref="E71" authorId="1" shapeId="0" xr:uid="{00000000-0006-0000-0400-00000E000000}">
      <text>
        <r>
          <rPr>
            <sz val="9"/>
            <rFont val="ＭＳ 明朝"/>
            <family val="1"/>
            <charset val="128"/>
          </rPr>
          <t>山田　太郎:l
その他の指摘例（カテゴリl）。</t>
        </r>
      </text>
    </comment>
  </commentList>
</comments>
</file>

<file path=xl/sharedStrings.xml><?xml version="1.0" encoding="utf-8"?>
<sst xmlns="http://schemas.openxmlformats.org/spreadsheetml/2006/main" count="907" uniqueCount="352">
  <si>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</si>
  <si>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</si>
  <si>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</si>
  <si>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</si>
  <si>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</si>
  <si>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</si>
  <si>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</si>
  <si>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</si>
  <si>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</si>
  <si>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</si>
  <si>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</si>
  <si>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</si>
  <si>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</si>
  <si>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</si>
  <si>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</si>
  <si>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</si>
  <si>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</si>
  <si>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</si>
  <si>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</si>
  <si>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</si>
  <si>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</si>
  <si>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</si>
  <si>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</si>
  <si>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</si>
  <si>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</si>
  <si>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</si>
  <si>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</si>
  <si>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</si>
  <si>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</si>
  <si>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</si>
  <si>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</si>
  <si>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</si>
  <si>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</si>
  <si>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</si>
  <si>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</si>
  <si>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</si>
  <si>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</si>
  <si>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</si>
  <si>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</si>
  <si>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</si>
  <si>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</si>
  <si>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</si>
  <si>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</si>
  <si>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</si>
  <si>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</si>
  <si>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</si>
  <si>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</si>
  <si>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</si>
  <si>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</si>
  <si>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</si>
  <si>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</si>
  <si>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</si>
  <si>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</si>
  <si>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</si>
  <si>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</si>
  <si>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</si>
  <si>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</si>
  <si>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</si>
  <si>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</si>
  <si>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</si>
  <si>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</si>
  <si>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</si>
  <si>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</si>
  <si>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</si>
  <si>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</si>
  <si>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</si>
  <si>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</si>
  <si>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</si>
  <si>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</si>
  <si>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</si>
  <si>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</si>
  <si>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</si>
  <si>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</si>
  <si>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</si>
  <si>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</si>
  <si>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</si>
  <si>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</si>
  <si>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</si>
  <si>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</si>
  <si>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</si>
  <si>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</si>
  <si>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</si>
  <si>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</si>
  <si>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</si>
  <si>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</si>
  <si>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</si>
  <si>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</si>
  <si>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</si>
  <si>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</si>
  <si>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</si>
  <si>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</si>
  <si>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</si>
  <si>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</si>
  <si>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</si>
  <si>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</si>
  <si>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</si>
  <si>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</si>
  <si>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</si>
  <si>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</si>
  <si>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</si>
  <si>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</si>
  <si>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</si>
  <si>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</si>
  <si>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</si>
  <si>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</si>
  <si>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</si>
  <si>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</si>
  <si>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</si>
  <si>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</si>
  <si>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</si>
  <si>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</si>
  <si>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</si>
  <si>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</si>
  <si>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</si>
  <si>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</si>
  <si>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</si>
  <si>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</si>
  <si>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</si>
  <si>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</si>
  <si>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</si>
  <si>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</si>
  <si>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</si>
  <si>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</si>
  <si>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</si>
  <si>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</si>
  <si>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</si>
  <si>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</si>
  <si>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</si>
  <si>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</si>
  <si>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</si>
  <si>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</si>
  <si>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</si>
  <si>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</si>
  <si>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</si>
  <si>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</si>
  <si>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</si>
  <si>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</si>
  <si>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</si>
  <si>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</si>
  <si>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</si>
  <si>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</si>
  <si>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</si>
  <si>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</si>
  <si>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</si>
  <si>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</si>
  <si>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</si>
  <si>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</si>
  <si>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</si>
  <si>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</si>
  <si>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</si>
  <si>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</si>
  <si>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</si>
  <si>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</si>
  <si>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</si>
  <si>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</si>
  <si>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</si>
  <si>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</si>
  <si>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</si>
  <si>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</si>
  <si>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</si>
  <si>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</si>
  <si>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</si>
  <si>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</si>
  <si>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</si>
  <si>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</si>
  <si>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</si>
  <si>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</si>
  <si>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</si>
  <si>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</si>
  <si>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</si>
  <si>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</si>
  <si>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</si>
  <si>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</si>
  <si>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</si>
  <si>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</si>
  <si>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</si>
  <si>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</si>
  <si>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</si>
  <si>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</si>
  <si>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</si>
  <si>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</si>
  <si>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</si>
  <si>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</si>
  <si>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</si>
  <si>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</si>
  <si>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</si>
  <si>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</si>
  <si>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</si>
  <si>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</si>
  <si>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</si>
  <si>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</si>
  <si>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</si>
  <si>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</si>
  <si>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</si>
  <si>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</si>
  <si>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</si>
  <si>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</si>
  <si>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</si>
  <si>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</si>
  <si>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</si>
  <si>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</si>
  <si>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</si>
  <si>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</si>
  <si>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</si>
  <si>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</si>
  <si>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</si>
  <si>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</si>
  <si>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</si>
  <si>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</si>
  <si>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</si>
  <si>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</si>
  <si>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</si>
  <si>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</si>
  <si>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</si>
  <si>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</si>
  <si>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</si>
  <si>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</si>
  <si>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</si>
  <si>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</si>
  <si>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</si>
  <si>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</si>
  <si>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</si>
  <si>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</si>
  <si>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</si>
  <si>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</si>
  <si>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</si>
  <si>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</si>
  <si>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</si>
  <si>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</si>
  <si>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</si>
  <si>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</si>
  <si>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</si>
  <si>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</si>
  <si>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</si>
  <si>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</si>
  <si>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</si>
  <si>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</si>
  <si>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</si>
  <si>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</si>
  <si>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</si>
  <si>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</si>
  <si>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</si>
  <si>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</si>
  <si>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</si>
  <si>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</si>
  <si>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</si>
  <si>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</si>
  <si>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</si>
  <si>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</si>
  <si>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</si>
  <si>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</si>
  <si>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</si>
  <si>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</si>
  <si>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</si>
  <si>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</si>
  <si>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</si>
  <si>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</si>
  <si>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</si>
  <si>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</si>
  <si>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</si>
  <si>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</si>
  <si>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</si>
  <si>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</si>
  <si>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</si>
  <si>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</si>
  <si>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</si>
  <si>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</si>
  <si>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</si>
  <si>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</si>
  <si>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</si>
  <si>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</si>
  <si>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</si>
  <si>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</si>
  <si>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</si>
  <si>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</si>
  <si>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</si>
  <si>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</si>
  <si>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</si>
  <si>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</si>
  <si>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</si>
  <si>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</si>
  <si>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</si>
  <si>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</si>
  <si>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対応状況</t>
    <rPh sb="0" eb="2">
      <t>タイオウ</t>
    </rPh>
    <rPh sb="2" eb="4">
      <t>ジョウキョウ</t>
    </rPh>
    <phoneticPr fontId="13"/>
  </si>
  <si>
    <t>01_要件漏れ</t>
    <phoneticPr fontId="13"/>
  </si>
  <si>
    <t>02_要件誤り</t>
    <phoneticPr fontId="13"/>
  </si>
  <si>
    <t>11_機能・仕様漏れ</t>
    <phoneticPr fontId="13"/>
  </si>
  <si>
    <t>12_機能・仕様誤り</t>
    <phoneticPr fontId="13"/>
  </si>
  <si>
    <t>21_設計・ドキュメント規約違反</t>
    <phoneticPr fontId="13"/>
  </si>
  <si>
    <t>22_記述誤り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</si>
  <si>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</si>
  <si>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</si>
  <si>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</si>
  <si>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</si>
  <si>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</si>
  <si>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</si>
  <si>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</si>
  <si>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</si>
  <si>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</si>
  <si>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</si>
  <si>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システム機能設計書_サンプル_S27</t>
  </si>
  <si>
    <t>B5</t>
  </si>
  <si>
    <t>山田　太郎</t>
  </si>
  <si>
    <t>a</t>
  </si>
  <si>
    <t>レビュー指摘コメントの例。
自動で挿入される名前とコロンの直後に指摘分類をa～iで書く。
※レビュー日時を書く場合はコロンの直後に*を書く。</t>
  </si>
  <si>
    <t>未</t>
  </si>
  <si>
    <t>E60</t>
  </si>
  <si>
    <t>b</t>
  </si>
  <si>
    <t>対応内容の例。
---
対応内容はデリミタ（---）の後に記入する。</t>
  </si>
  <si>
    <t>E62</t>
  </si>
  <si>
    <t>c</t>
  </si>
  <si>
    <t>対応内容を確認し、指摘をクローズする例。
---
最後の行に「済」と書くと指摘をクローズできる。
「済」の前にスペースを空けて確認日と確認者を書くこともできる。
08/02山田 済</t>
  </si>
  <si>
    <t>済</t>
  </si>
  <si>
    <t>E63</t>
  </si>
  <si>
    <t>d</t>
  </si>
  <si>
    <t>機能・仕様誤りの指摘例（カテゴリd）。</t>
  </si>
  <si>
    <t>E64</t>
  </si>
  <si>
    <t>e</t>
  </si>
  <si>
    <t>設計・ドキュメント規約違反の指摘例（カテゴリe）。</t>
  </si>
  <si>
    <t>E65</t>
  </si>
  <si>
    <t>f</t>
  </si>
  <si>
    <t>記述誤りの指摘例（カテゴリf）。</t>
  </si>
  <si>
    <t>g</t>
    <phoneticPr fontId="13"/>
  </si>
  <si>
    <t>h</t>
    <phoneticPr fontId="13"/>
  </si>
  <si>
    <t>i</t>
    <phoneticPr fontId="13"/>
  </si>
  <si>
    <t>j</t>
    <phoneticPr fontId="13"/>
  </si>
  <si>
    <t>k</t>
    <phoneticPr fontId="13"/>
  </si>
  <si>
    <t>l</t>
    <phoneticPr fontId="13"/>
  </si>
  <si>
    <t>91_疑問点、確認</t>
    <phoneticPr fontId="13"/>
  </si>
  <si>
    <t>92_改善要望</t>
    <phoneticPr fontId="13"/>
  </si>
  <si>
    <t>93_仕様変更</t>
    <phoneticPr fontId="13"/>
  </si>
  <si>
    <t>94_テスト項目漏れ</t>
    <phoneticPr fontId="13"/>
  </si>
  <si>
    <t>95_テスト漏れ</t>
    <phoneticPr fontId="13"/>
  </si>
  <si>
    <t>96_その他</t>
    <phoneticPr fontId="13"/>
  </si>
  <si>
    <t>E66</t>
  </si>
  <si>
    <t>g</t>
  </si>
  <si>
    <t>疑問点・確認の指摘例（カテゴリg）。</t>
  </si>
  <si>
    <t>E67</t>
  </si>
  <si>
    <t>h</t>
  </si>
  <si>
    <t>改善要望の指摘例（カテゴリh）。</t>
  </si>
  <si>
    <t>E68</t>
  </si>
  <si>
    <t>i</t>
  </si>
  <si>
    <t>仕様変更の指摘例（カテゴリi）。</t>
  </si>
  <si>
    <t>E69</t>
  </si>
  <si>
    <t>j</t>
  </si>
  <si>
    <t>テスト項目漏れの指摘例（カテゴリj）。</t>
  </si>
  <si>
    <t>E70</t>
  </si>
  <si>
    <t>k</t>
  </si>
  <si>
    <t>テスト漏れの指摘例（カテゴリk）。</t>
  </si>
  <si>
    <t>E71</t>
  </si>
  <si>
    <t>l</t>
  </si>
  <si>
    <t>その他の指摘例（カテゴリl）。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</si>
</sst>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29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  <xf numFmtId="0" fontId="14" fillId="0" borderId="10" xfId="11" applyBorder="1" applyAlignment="1">
      <alignment vertical="center" wrapText="1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8030-4B40-4E63-8BEA-20DD6C22DF04}">
  <sheetPr codeName="SheetTemplate">
    <tabColor indexed="44"/>
    <pageSetUpPr fitToPage="1"/>
  </sheetPr>
  <dimension ref="A1:AF27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AC14" sqref="AC14:AC16"/>
    </sheetView>
  </sheetViews>
  <sheetFormatPr defaultRowHeight="13.5" x14ac:dyDescent="0.15"/>
  <cols>
    <col min="1" max="1" width="9.33203125" style="262"/>
    <col min="2" max="14" width="17.6640625" style="262" customWidth="1"/>
    <col min="15" max="26" width="4.5" style="262" customWidth="1"/>
    <col min="27" max="27" width="98.1640625" style="262" customWidth="1"/>
    <col min="28" max="16384" width="9.33203125" style="262"/>
  </cols>
  <sheetData>
    <row r="1" spans="1:32" x14ac:dyDescent="0.15">
      <c r="A1" s="261" t="s">
        <v>265</v>
      </c>
      <c r="O1" s="263"/>
      <c r="AA1" s="264" t="s">
        <v>266</v>
      </c>
    </row>
    <row r="2" spans="1:32" x14ac:dyDescent="0.15">
      <c r="A2" s="262" t="s">
        <v>267</v>
      </c>
      <c r="E2" s="265" t="s">
        <v>268</v>
      </c>
      <c r="F2" s="266"/>
      <c r="G2" s="266"/>
      <c r="H2" s="266"/>
      <c r="I2" s="267"/>
      <c r="O2" s="263"/>
    </row>
    <row r="3" spans="1:32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32" x14ac:dyDescent="0.15">
      <c r="A4" s="271" t="s">
        <v>300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0.58333333333333337</v>
      </c>
      <c r="I4" s="272">
        <v>200</v>
      </c>
    </row>
    <row r="6" spans="1:32" x14ac:dyDescent="0.15">
      <c r="A6" s="261" t="s">
        <v>276</v>
      </c>
    </row>
    <row r="7" spans="1:32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322</v>
      </c>
      <c r="I7" s="270" t="s">
        <v>323</v>
      </c>
      <c r="J7" s="270" t="s">
        <v>324</v>
      </c>
      <c r="K7" s="270" t="s">
        <v>325</v>
      </c>
      <c r="L7" s="270" t="s">
        <v>326</v>
      </c>
      <c r="M7" s="270" t="s">
        <v>327</v>
      </c>
    </row>
    <row r="8" spans="1:32" ht="27" x14ac:dyDescent="0.15">
      <c r="A8" s="269" t="s">
        <v>283</v>
      </c>
      <c r="B8" s="277" t="s">
        <v>284</v>
      </c>
      <c r="C8" s="277" t="s">
        <v>285</v>
      </c>
      <c r="D8" s="277" t="s">
        <v>286</v>
      </c>
      <c r="E8" s="278" t="s">
        <v>287</v>
      </c>
      <c r="F8" s="277" t="s">
        <v>288</v>
      </c>
      <c r="G8" s="277" t="s">
        <v>289</v>
      </c>
      <c r="H8" s="277" t="s">
        <v>328</v>
      </c>
      <c r="I8" s="277" t="s">
        <v>329</v>
      </c>
      <c r="J8" s="277" t="s">
        <v>330</v>
      </c>
      <c r="K8" s="277" t="s">
        <v>331</v>
      </c>
      <c r="L8" s="277" t="s">
        <v>332</v>
      </c>
      <c r="M8" s="277" t="s">
        <v>333</v>
      </c>
      <c r="N8" s="279" t="s">
        <v>290</v>
      </c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0"/>
      <c r="Z8" s="280"/>
      <c r="AA8" s="280"/>
      <c r="AB8" s="280"/>
      <c r="AC8" s="280"/>
      <c r="AD8" s="280"/>
      <c r="AE8" s="280"/>
      <c r="AF8" s="280"/>
    </row>
    <row r="9" spans="1:32" x14ac:dyDescent="0.15">
      <c r="A9" s="269" t="s">
        <v>291</v>
      </c>
      <c r="B9" s="281" t="str">
        <f>IF(SUMIF($K15:$K27,$A9,O15:O27)=0,"",SUMIF($K15:$K27,$A9,O15:O27))</f>
        <v/>
      </c>
      <c r="C9" s="281" t="str">
        <f>IF(SUMIF($K15:$K27,$A9,P15:P27)=0,"",SUMIF($K15:$K27,$A9,P15:P27))</f>
        <v/>
      </c>
      <c r="D9" s="281">
        <f>IF(SUMIF($K15:$K27,$A9,Q15:Q27)=0,"",SUMIF($K15:$K27,$A9,Q15:Q27))</f>
        <v>1</v>
      </c>
      <c r="E9" s="281" t="str">
        <f>IF(SUMIF($K15:$K27,$A9,R15:R27)=0,"",SUMIF($K15:$K27,$A9,R15:R27))</f>
        <v/>
      </c>
      <c r="F9" s="281" t="str">
        <f>IF(SUMIF($K15:$K27,$A9,S15:S27)=0,"",SUMIF($K15:$K27,$A9,S15:S27))</f>
        <v/>
      </c>
      <c r="G9" s="281" t="str">
        <f>IF(SUMIF($K15:$K27,$A9,T15:T27)=0,"",SUMIF($K15:$K27,$A9,T15:T27))</f>
        <v/>
      </c>
      <c r="H9" s="281" t="str">
        <f>IF(SUMIF($K15:$K27,$A9,U15:U27)=0,"",SUMIF($K15:$K27,$A9,U15:U27))</f>
        <v/>
      </c>
      <c r="I9" s="281" t="str">
        <f>IF(SUMIF($K15:$K27,$A9,V15:V27)=0,"",SUMIF($K15:$K27,$A9,V15:V27))</f>
        <v/>
      </c>
      <c r="J9" s="281" t="str">
        <f>IF(SUMIF($K15:$K27,$A9,W15:W27)=0,"",SUMIF($K15:$K27,$A9,W15:W27))</f>
        <v/>
      </c>
      <c r="K9" s="281" t="str">
        <f>IF(SUMIF($K15:$K27,$A9,X15:X27)=0,"",SUMIF($K15:$K27,$A9,X15:X27))</f>
        <v/>
      </c>
      <c r="L9" s="281" t="str">
        <f>IF(SUMIF($K15:$K27,$A9,Y15:Y27)=0,"",SUMIF($K15:$K27,$A9,Y15:Y27))</f>
        <v/>
      </c>
      <c r="M9" s="281" t="str">
        <f>IF(SUMIF($K15:$K27,$A9,Z15:Z27)=0,"",SUMIF($K15:$K27,$A9,Z15:Z27))</f>
        <v/>
      </c>
      <c r="N9" s="282">
        <f>SUM(B9:M9)</f>
        <v>1</v>
      </c>
      <c r="O9" s="261"/>
      <c r="P9" s="261"/>
      <c r="Q9" s="261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  <c r="AD9" s="261"/>
      <c r="AE9" s="261"/>
      <c r="AF9" s="261"/>
    </row>
    <row r="10" spans="1:32" x14ac:dyDescent="0.15">
      <c r="A10" s="269" t="s">
        <v>292</v>
      </c>
      <c r="B10" s="281">
        <f>IF(SUMIF($K15:$K27,$A10,O15:O27)=0,"",SUMIF($K15:$K27,$A10,O15:O27))</f>
        <v>1</v>
      </c>
      <c r="C10" s="281">
        <f>IF(SUMIF($K15:$K27,$A10,P15:P27)=0,"",SUMIF($K15:$K27,$A10,P15:P27))</f>
        <v>1</v>
      </c>
      <c r="D10" s="281" t="str">
        <f>IF(SUMIF($K15:$K27,$A10,Q15:Q27)=0,"",SUMIF($K15:$K27,$A10,Q15:Q27))</f>
        <v/>
      </c>
      <c r="E10" s="281">
        <f>IF(SUMIF($K15:$K27,$A10,R15:R27)=0,"",SUMIF($K15:$K27,$A10,R15:R27))</f>
        <v>1</v>
      </c>
      <c r="F10" s="281">
        <f>IF(SUMIF($K15:$K27,$A10,S15:S27)=0,"",SUMIF($K15:$K27,$A10,S15:S27))</f>
        <v>1</v>
      </c>
      <c r="G10" s="281">
        <f>IF(SUMIF($K15:$K27,$A10,T15:T27)=0,"",SUMIF($K15:$K27,$A10,T15:T27))</f>
        <v>1</v>
      </c>
      <c r="H10" s="281">
        <f>IF(SUMIF($K15:$K27,$A10,U15:U27)=0,"",SUMIF($K15:$K27,$A10,U15:U27))</f>
        <v>1</v>
      </c>
      <c r="I10" s="281">
        <f>IF(SUMIF($K15:$K27,$A10,V15:V27)=0,"",SUMIF($K15:$K27,$A10,V15:V27))</f>
        <v>1</v>
      </c>
      <c r="J10" s="281">
        <f>IF(SUMIF($K15:$K27,$A10,W15:W27)=0,"",SUMIF($K15:$K27,$A10,W15:W27))</f>
        <v>1</v>
      </c>
      <c r="K10" s="281">
        <f>IF(SUMIF($K15:$K27,$A10,X15:X27)=0,"",SUMIF($K15:$K27,$A10,X15:X27))</f>
        <v>1</v>
      </c>
      <c r="L10" s="281">
        <f>IF(SUMIF($K15:$K27,$A10,Y15:Y27)=0,"",SUMIF($K15:$K27,$A10,Y15:Y27))</f>
        <v>1</v>
      </c>
      <c r="M10" s="281">
        <f>IF(SUMIF($K15:$K27,$A10,Z15:Z27)=0,"",SUMIF($K15:$K27,$A10,Z15:Z27))</f>
        <v>1</v>
      </c>
      <c r="N10" s="282">
        <f>SUM(B10:M10)</f>
        <v>11</v>
      </c>
      <c r="O10" s="261"/>
      <c r="P10" s="261"/>
      <c r="Q10" s="261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  <c r="AD10" s="261"/>
      <c r="AE10" s="261"/>
      <c r="AF10" s="261"/>
    </row>
    <row r="11" spans="1:32" x14ac:dyDescent="0.15">
      <c r="A11" s="283" t="s">
        <v>290</v>
      </c>
      <c r="B11" s="284">
        <f>SUM(B9:B10)</f>
        <v>1</v>
      </c>
      <c r="C11" s="284">
        <f t="shared" ref="C11:M11" si="0">SUM(C9:C10)</f>
        <v>1</v>
      </c>
      <c r="D11" s="284">
        <f t="shared" si="0"/>
        <v>1</v>
      </c>
      <c r="E11" s="284">
        <f t="shared" si="0"/>
        <v>1</v>
      </c>
      <c r="F11" s="284">
        <f t="shared" si="0"/>
        <v>1</v>
      </c>
      <c r="G11" s="284">
        <f t="shared" si="0"/>
        <v>1</v>
      </c>
      <c r="H11" s="284">
        <f t="shared" si="0"/>
        <v>1</v>
      </c>
      <c r="I11" s="284">
        <f t="shared" si="0"/>
        <v>1</v>
      </c>
      <c r="J11" s="284">
        <f t="shared" si="0"/>
        <v>1</v>
      </c>
      <c r="K11" s="284">
        <f t="shared" si="0"/>
        <v>1</v>
      </c>
      <c r="L11" s="284">
        <f t="shared" si="0"/>
        <v>1</v>
      </c>
      <c r="M11" s="284">
        <f t="shared" si="0"/>
        <v>1</v>
      </c>
      <c r="N11" s="284">
        <f>SUM(B11:M11)</f>
        <v>12</v>
      </c>
    </row>
    <row r="12" spans="1:32" x14ac:dyDescent="0.15">
      <c r="A12" s="261"/>
      <c r="B12" s="285"/>
      <c r="C12" s="285"/>
      <c r="D12" s="285"/>
      <c r="E12" s="285"/>
      <c r="F12" s="285"/>
      <c r="G12" s="285"/>
      <c r="H12" s="285"/>
      <c r="I12" s="285"/>
      <c r="J12" s="285"/>
      <c r="K12" s="285"/>
      <c r="L12" s="285"/>
      <c r="M12" s="285"/>
      <c r="N12" s="285"/>
    </row>
    <row r="13" spans="1:32" x14ac:dyDescent="0.15">
      <c r="A13" s="286" t="s">
        <v>293</v>
      </c>
      <c r="B13" s="287"/>
      <c r="C13" s="287"/>
      <c r="D13" s="287"/>
      <c r="F13" s="287"/>
      <c r="O13" s="263" t="s">
        <v>294</v>
      </c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</row>
    <row r="14" spans="1:32" x14ac:dyDescent="0.15">
      <c r="A14" s="288" t="s">
        <v>295</v>
      </c>
      <c r="B14" s="288" t="s">
        <v>296</v>
      </c>
      <c r="C14" s="288" t="s">
        <v>297</v>
      </c>
      <c r="D14" s="288" t="s">
        <v>298</v>
      </c>
      <c r="E14" s="289" t="s">
        <v>299</v>
      </c>
      <c r="F14" s="290"/>
      <c r="G14" s="291"/>
      <c r="H14" s="291"/>
      <c r="I14" s="291"/>
      <c r="J14" s="292"/>
      <c r="K14" s="293" t="s">
        <v>283</v>
      </c>
      <c r="O14" s="294" t="s">
        <v>277</v>
      </c>
      <c r="P14" s="294" t="s">
        <v>278</v>
      </c>
      <c r="Q14" s="294" t="s">
        <v>279</v>
      </c>
      <c r="R14" s="294" t="s">
        <v>280</v>
      </c>
      <c r="S14" s="294" t="s">
        <v>281</v>
      </c>
      <c r="T14" s="294" t="s">
        <v>282</v>
      </c>
      <c r="U14" s="294" t="s">
        <v>322</v>
      </c>
      <c r="V14" s="294" t="s">
        <v>323</v>
      </c>
      <c r="W14" s="294" t="s">
        <v>324</v>
      </c>
      <c r="X14" s="294" t="s">
        <v>325</v>
      </c>
      <c r="Y14" s="294" t="s">
        <v>326</v>
      </c>
      <c r="Z14" s="294" t="s">
        <v>327</v>
      </c>
    </row>
    <row r="15" spans="1:32" ht="40.5" x14ac:dyDescent="0.15">
      <c r="A15" s="272" t="s">
        <v>38</v>
      </c>
      <c r="B15" s="297" t="s">
        <v>301</v>
      </c>
      <c r="C15" s="272" t="s">
        <v>302</v>
      </c>
      <c r="D15" s="272" t="s">
        <v>303</v>
      </c>
      <c r="E15" s="298" t="s">
        <v>304</v>
      </c>
      <c r="F15" s="271"/>
      <c r="G15" s="271"/>
      <c r="H15" s="271"/>
      <c r="I15" s="271"/>
      <c r="J15" s="271"/>
      <c r="K15" s="272" t="s">
        <v>305</v>
      </c>
      <c r="O15" s="295">
        <f t="shared" ref="O15:Z27" si="1">IF($D15=O$14,1,0)</f>
        <v>1</v>
      </c>
      <c r="P15" s="295">
        <f t="shared" si="1"/>
        <v>0</v>
      </c>
      <c r="Q15" s="295">
        <f t="shared" si="1"/>
        <v>0</v>
      </c>
      <c r="R15" s="295">
        <f t="shared" si="1"/>
        <v>0</v>
      </c>
      <c r="S15" s="295">
        <f t="shared" si="1"/>
        <v>0</v>
      </c>
      <c r="T15" s="295">
        <f t="shared" si="1"/>
        <v>0</v>
      </c>
      <c r="U15" s="295">
        <f t="shared" si="1"/>
        <v>0</v>
      </c>
      <c r="V15" s="295">
        <f t="shared" si="1"/>
        <v>0</v>
      </c>
      <c r="W15" s="295">
        <f t="shared" si="1"/>
        <v>0</v>
      </c>
      <c r="X15" s="295">
        <f t="shared" si="1"/>
        <v>0</v>
      </c>
      <c r="Y15" s="295">
        <f t="shared" si="1"/>
        <v>0</v>
      </c>
      <c r="Z15" s="295">
        <f t="shared" si="1"/>
        <v>0</v>
      </c>
      <c r="AA15" s="296" t="str">
        <f>IF(E15&lt;&gt;"",E15,"")</f>
        <v>レビュー指摘コメントの例。
自動で挿入される名前とコロンの直後に指摘分類をa～iで書く。
※レビュー日時を書く場合はコロンの直後に*を書く。</v>
      </c>
    </row>
    <row r="16" spans="1:32" ht="40.5" x14ac:dyDescent="0.15">
      <c r="A16" s="272" t="s">
        <v>38</v>
      </c>
      <c r="B16" s="297" t="s">
        <v>306</v>
      </c>
      <c r="C16" s="272" t="s">
        <v>302</v>
      </c>
      <c r="D16" s="272" t="s">
        <v>307</v>
      </c>
      <c r="E16" s="298" t="s">
        <v>308</v>
      </c>
      <c r="F16" s="271"/>
      <c r="G16" s="271"/>
      <c r="H16" s="271"/>
      <c r="I16" s="271"/>
      <c r="J16" s="271"/>
      <c r="K16" s="272" t="s">
        <v>305</v>
      </c>
      <c r="O16" s="295">
        <f t="shared" si="1"/>
        <v>0</v>
      </c>
      <c r="P16" s="295">
        <f t="shared" si="1"/>
        <v>1</v>
      </c>
      <c r="Q16" s="295">
        <f t="shared" si="1"/>
        <v>0</v>
      </c>
      <c r="R16" s="295">
        <f t="shared" si="1"/>
        <v>0</v>
      </c>
      <c r="S16" s="295">
        <f t="shared" si="1"/>
        <v>0</v>
      </c>
      <c r="T16" s="295">
        <f t="shared" si="1"/>
        <v>0</v>
      </c>
      <c r="U16" s="295">
        <f t="shared" si="1"/>
        <v>0</v>
      </c>
      <c r="V16" s="295">
        <f t="shared" si="1"/>
        <v>0</v>
      </c>
      <c r="W16" s="295">
        <f t="shared" si="1"/>
        <v>0</v>
      </c>
      <c r="X16" s="295">
        <f t="shared" si="1"/>
        <v>0</v>
      </c>
      <c r="Y16" s="295">
        <f t="shared" si="1"/>
        <v>0</v>
      </c>
      <c r="Z16" s="295">
        <f t="shared" si="1"/>
        <v>0</v>
      </c>
      <c r="AA16" s="296" t="str">
        <f>IF(E16&lt;&gt;"",E16,"")</f>
        <v>対応内容の例。
---
対応内容はデリミタ（---）の後に記入する。</v>
      </c>
    </row>
    <row r="17" spans="1:27" ht="67.5" x14ac:dyDescent="0.15">
      <c r="A17" s="272" t="s">
        <v>38</v>
      </c>
      <c r="B17" s="297" t="s">
        <v>309</v>
      </c>
      <c r="C17" s="272" t="s">
        <v>302</v>
      </c>
      <c r="D17" s="272" t="s">
        <v>310</v>
      </c>
      <c r="E17" s="298" t="s">
        <v>311</v>
      </c>
      <c r="F17" s="271"/>
      <c r="G17" s="271"/>
      <c r="H17" s="271"/>
      <c r="I17" s="271"/>
      <c r="J17" s="271"/>
      <c r="K17" s="272" t="s">
        <v>312</v>
      </c>
      <c r="O17" s="295">
        <f t="shared" si="1"/>
        <v>0</v>
      </c>
      <c r="P17" s="295">
        <f t="shared" si="1"/>
        <v>0</v>
      </c>
      <c r="Q17" s="295">
        <f t="shared" si="1"/>
        <v>1</v>
      </c>
      <c r="R17" s="295">
        <f t="shared" si="1"/>
        <v>0</v>
      </c>
      <c r="S17" s="295">
        <f t="shared" si="1"/>
        <v>0</v>
      </c>
      <c r="T17" s="295">
        <f t="shared" si="1"/>
        <v>0</v>
      </c>
      <c r="U17" s="295">
        <f t="shared" si="1"/>
        <v>0</v>
      </c>
      <c r="V17" s="295">
        <f t="shared" si="1"/>
        <v>0</v>
      </c>
      <c r="W17" s="295">
        <f t="shared" si="1"/>
        <v>0</v>
      </c>
      <c r="X17" s="295">
        <f t="shared" si="1"/>
        <v>0</v>
      </c>
      <c r="Y17" s="295">
        <f t="shared" si="1"/>
        <v>0</v>
      </c>
      <c r="Z17" s="295">
        <f t="shared" si="1"/>
        <v>0</v>
      </c>
      <c r="AA17" s="296" t="str">
        <f>IF(E17&lt;&gt;"",E17,"")</f>
        <v>対応内容を確認し、指摘をクローズする例。
---
最後の行に「済」と書くと指摘をクローズできる。
「済」の前にスペースを空けて確認日と確認者を書くこともできる。
08/02山田 済</v>
      </c>
    </row>
    <row r="18" spans="1:27" x14ac:dyDescent="0.15">
      <c r="A18" s="272" t="s">
        <v>38</v>
      </c>
      <c r="B18" s="297" t="s">
        <v>313</v>
      </c>
      <c r="C18" s="272" t="s">
        <v>302</v>
      </c>
      <c r="D18" s="272" t="s">
        <v>314</v>
      </c>
      <c r="E18" s="271" t="s">
        <v>315</v>
      </c>
      <c r="F18" s="271"/>
      <c r="G18" s="271"/>
      <c r="H18" s="271"/>
      <c r="I18" s="271"/>
      <c r="J18" s="271"/>
      <c r="K18" s="272" t="s">
        <v>305</v>
      </c>
      <c r="O18" s="295">
        <f t="shared" si="1"/>
        <v>0</v>
      </c>
      <c r="P18" s="295">
        <f t="shared" si="1"/>
        <v>0</v>
      </c>
      <c r="Q18" s="295">
        <f t="shared" si="1"/>
        <v>0</v>
      </c>
      <c r="R18" s="295">
        <f t="shared" si="1"/>
        <v>1</v>
      </c>
      <c r="S18" s="295">
        <f t="shared" si="1"/>
        <v>0</v>
      </c>
      <c r="T18" s="295">
        <f t="shared" si="1"/>
        <v>0</v>
      </c>
      <c r="U18" s="295">
        <f t="shared" si="1"/>
        <v>0</v>
      </c>
      <c r="V18" s="295">
        <f t="shared" si="1"/>
        <v>0</v>
      </c>
      <c r="W18" s="295">
        <f t="shared" si="1"/>
        <v>0</v>
      </c>
      <c r="X18" s="295">
        <f t="shared" si="1"/>
        <v>0</v>
      </c>
      <c r="Y18" s="295">
        <f t="shared" si="1"/>
        <v>0</v>
      </c>
      <c r="Z18" s="295">
        <f t="shared" si="1"/>
        <v>0</v>
      </c>
      <c r="AA18" s="296" t="str">
        <f>IF(E18&lt;&gt;"",E18,"")</f>
        <v>機能・仕様誤りの指摘例（カテゴリd）。</v>
      </c>
    </row>
    <row r="19" spans="1:27" x14ac:dyDescent="0.15">
      <c r="A19" s="272" t="s">
        <v>38</v>
      </c>
      <c r="B19" s="297" t="s">
        <v>316</v>
      </c>
      <c r="C19" s="272" t="s">
        <v>302</v>
      </c>
      <c r="D19" s="272" t="s">
        <v>317</v>
      </c>
      <c r="E19" s="271" t="s">
        <v>318</v>
      </c>
      <c r="F19" s="271"/>
      <c r="G19" s="271"/>
      <c r="H19" s="271"/>
      <c r="I19" s="271"/>
      <c r="J19" s="271"/>
      <c r="K19" s="272" t="s">
        <v>305</v>
      </c>
      <c r="O19" s="295">
        <f t="shared" si="1"/>
        <v>0</v>
      </c>
      <c r="P19" s="295">
        <f t="shared" si="1"/>
        <v>0</v>
      </c>
      <c r="Q19" s="295">
        <f t="shared" si="1"/>
        <v>0</v>
      </c>
      <c r="R19" s="295">
        <f t="shared" si="1"/>
        <v>0</v>
      </c>
      <c r="S19" s="295">
        <f t="shared" si="1"/>
        <v>1</v>
      </c>
      <c r="T19" s="295">
        <f t="shared" si="1"/>
        <v>0</v>
      </c>
      <c r="U19" s="295">
        <f t="shared" si="1"/>
        <v>0</v>
      </c>
      <c r="V19" s="295">
        <f t="shared" si="1"/>
        <v>0</v>
      </c>
      <c r="W19" s="295">
        <f t="shared" si="1"/>
        <v>0</v>
      </c>
      <c r="X19" s="295">
        <f t="shared" si="1"/>
        <v>0</v>
      </c>
      <c r="Y19" s="295">
        <f t="shared" si="1"/>
        <v>0</v>
      </c>
      <c r="Z19" s="295">
        <f t="shared" si="1"/>
        <v>0</v>
      </c>
      <c r="AA19" s="296" t="str">
        <f>IF(E19&lt;&gt;"",E19,"")</f>
        <v>設計・ドキュメント規約違反の指摘例（カテゴリe）。</v>
      </c>
    </row>
    <row r="20" spans="1:27" x14ac:dyDescent="0.15">
      <c r="A20" s="272" t="s">
        <v>38</v>
      </c>
      <c r="B20" s="297" t="s">
        <v>319</v>
      </c>
      <c r="C20" s="272" t="s">
        <v>302</v>
      </c>
      <c r="D20" s="272" t="s">
        <v>320</v>
      </c>
      <c r="E20" s="271" t="s">
        <v>321</v>
      </c>
      <c r="F20" s="271"/>
      <c r="G20" s="271"/>
      <c r="H20" s="271"/>
      <c r="I20" s="271"/>
      <c r="J20" s="271"/>
      <c r="K20" s="272" t="s">
        <v>305</v>
      </c>
      <c r="O20" s="295">
        <f t="shared" si="1"/>
        <v>0</v>
      </c>
      <c r="P20" s="295">
        <f t="shared" si="1"/>
        <v>0</v>
      </c>
      <c r="Q20" s="295">
        <f t="shared" si="1"/>
        <v>0</v>
      </c>
      <c r="R20" s="295">
        <f t="shared" si="1"/>
        <v>0</v>
      </c>
      <c r="S20" s="295">
        <f t="shared" si="1"/>
        <v>0</v>
      </c>
      <c r="T20" s="295">
        <f t="shared" si="1"/>
        <v>1</v>
      </c>
      <c r="U20" s="295">
        <f t="shared" si="1"/>
        <v>0</v>
      </c>
      <c r="V20" s="295">
        <f t="shared" si="1"/>
        <v>0</v>
      </c>
      <c r="W20" s="295">
        <f t="shared" si="1"/>
        <v>0</v>
      </c>
      <c r="X20" s="295">
        <f t="shared" si="1"/>
        <v>0</v>
      </c>
      <c r="Y20" s="295">
        <f t="shared" si="1"/>
        <v>0</v>
      </c>
      <c r="Z20" s="295">
        <f t="shared" si="1"/>
        <v>0</v>
      </c>
      <c r="AA20" s="296" t="str">
        <f>IF(E20&lt;&gt;"",E20,"")</f>
        <v>記述誤りの指摘例（カテゴリf）。</v>
      </c>
    </row>
    <row r="21" spans="1:27" x14ac:dyDescent="0.15">
      <c r="A21" s="272" t="s">
        <v>38</v>
      </c>
      <c r="B21" s="297" t="s">
        <v>334</v>
      </c>
      <c r="C21" s="272" t="s">
        <v>302</v>
      </c>
      <c r="D21" s="272" t="s">
        <v>335</v>
      </c>
      <c r="E21" s="271" t="s">
        <v>336</v>
      </c>
      <c r="F21" s="271"/>
      <c r="G21" s="271"/>
      <c r="H21" s="271"/>
      <c r="I21" s="271"/>
      <c r="J21" s="271"/>
      <c r="K21" s="272" t="s">
        <v>305</v>
      </c>
      <c r="O21" s="295">
        <f t="shared" si="1"/>
        <v>0</v>
      </c>
      <c r="P21" s="295">
        <f t="shared" si="1"/>
        <v>0</v>
      </c>
      <c r="Q21" s="295">
        <f t="shared" si="1"/>
        <v>0</v>
      </c>
      <c r="R21" s="295">
        <f t="shared" si="1"/>
        <v>0</v>
      </c>
      <c r="S21" s="295">
        <f t="shared" si="1"/>
        <v>0</v>
      </c>
      <c r="T21" s="295">
        <f t="shared" si="1"/>
        <v>0</v>
      </c>
      <c r="U21" s="295">
        <f t="shared" si="1"/>
        <v>1</v>
      </c>
      <c r="V21" s="295">
        <f t="shared" si="1"/>
        <v>0</v>
      </c>
      <c r="W21" s="295">
        <f t="shared" si="1"/>
        <v>0</v>
      </c>
      <c r="X21" s="295">
        <f t="shared" si="1"/>
        <v>0</v>
      </c>
      <c r="Y21" s="295">
        <f t="shared" si="1"/>
        <v>0</v>
      </c>
      <c r="Z21" s="295">
        <f t="shared" si="1"/>
        <v>0</v>
      </c>
      <c r="AA21" s="296" t="str">
        <f>IF(E21&lt;&gt;"",E21,"")</f>
        <v>疑問点・確認の指摘例（カテゴリg）。</v>
      </c>
    </row>
    <row r="22" spans="1:27" x14ac:dyDescent="0.15">
      <c r="A22" s="272" t="s">
        <v>38</v>
      </c>
      <c r="B22" s="297" t="s">
        <v>337</v>
      </c>
      <c r="C22" s="272" t="s">
        <v>302</v>
      </c>
      <c r="D22" s="272" t="s">
        <v>338</v>
      </c>
      <c r="E22" s="271" t="s">
        <v>339</v>
      </c>
      <c r="F22" s="271"/>
      <c r="G22" s="271"/>
      <c r="H22" s="271"/>
      <c r="I22" s="271"/>
      <c r="J22" s="271"/>
      <c r="K22" s="272" t="s">
        <v>305</v>
      </c>
      <c r="O22" s="295">
        <f t="shared" si="1"/>
        <v>0</v>
      </c>
      <c r="P22" s="295">
        <f t="shared" si="1"/>
        <v>0</v>
      </c>
      <c r="Q22" s="295">
        <f t="shared" si="1"/>
        <v>0</v>
      </c>
      <c r="R22" s="295">
        <f t="shared" si="1"/>
        <v>0</v>
      </c>
      <c r="S22" s="295">
        <f t="shared" si="1"/>
        <v>0</v>
      </c>
      <c r="T22" s="295">
        <f t="shared" si="1"/>
        <v>0</v>
      </c>
      <c r="U22" s="295">
        <f t="shared" si="1"/>
        <v>0</v>
      </c>
      <c r="V22" s="295">
        <f t="shared" si="1"/>
        <v>1</v>
      </c>
      <c r="W22" s="295">
        <f t="shared" si="1"/>
        <v>0</v>
      </c>
      <c r="X22" s="295">
        <f t="shared" si="1"/>
        <v>0</v>
      </c>
      <c r="Y22" s="295">
        <f t="shared" si="1"/>
        <v>0</v>
      </c>
      <c r="Z22" s="295">
        <f t="shared" si="1"/>
        <v>0</v>
      </c>
      <c r="AA22" s="296" t="str">
        <f>IF(E22&lt;&gt;"",E22,"")</f>
        <v>改善要望の指摘例（カテゴリh）。</v>
      </c>
    </row>
    <row r="23" spans="1:27" x14ac:dyDescent="0.15">
      <c r="A23" s="272" t="s">
        <v>38</v>
      </c>
      <c r="B23" s="297" t="s">
        <v>340</v>
      </c>
      <c r="C23" s="272" t="s">
        <v>302</v>
      </c>
      <c r="D23" s="272" t="s">
        <v>341</v>
      </c>
      <c r="E23" s="271" t="s">
        <v>342</v>
      </c>
      <c r="F23" s="271"/>
      <c r="G23" s="271"/>
      <c r="H23" s="271"/>
      <c r="I23" s="271"/>
      <c r="J23" s="271"/>
      <c r="K23" s="272" t="s">
        <v>305</v>
      </c>
      <c r="O23" s="295">
        <f t="shared" si="1"/>
        <v>0</v>
      </c>
      <c r="P23" s="295">
        <f t="shared" si="1"/>
        <v>0</v>
      </c>
      <c r="Q23" s="295">
        <f t="shared" si="1"/>
        <v>0</v>
      </c>
      <c r="R23" s="295">
        <f t="shared" si="1"/>
        <v>0</v>
      </c>
      <c r="S23" s="295">
        <f t="shared" si="1"/>
        <v>0</v>
      </c>
      <c r="T23" s="295">
        <f t="shared" si="1"/>
        <v>0</v>
      </c>
      <c r="U23" s="295">
        <f t="shared" si="1"/>
        <v>0</v>
      </c>
      <c r="V23" s="295">
        <f t="shared" si="1"/>
        <v>0</v>
      </c>
      <c r="W23" s="295">
        <f t="shared" si="1"/>
        <v>1</v>
      </c>
      <c r="X23" s="295">
        <f t="shared" si="1"/>
        <v>0</v>
      </c>
      <c r="Y23" s="295">
        <f t="shared" si="1"/>
        <v>0</v>
      </c>
      <c r="Z23" s="295">
        <f t="shared" si="1"/>
        <v>0</v>
      </c>
      <c r="AA23" s="296" t="str">
        <f>IF(E23&lt;&gt;"",E23,"")</f>
        <v>仕様変更の指摘例（カテゴリi）。</v>
      </c>
    </row>
    <row r="24" spans="1:27" x14ac:dyDescent="0.15">
      <c r="A24" s="272" t="s">
        <v>38</v>
      </c>
      <c r="B24" s="297" t="s">
        <v>343</v>
      </c>
      <c r="C24" s="272" t="s">
        <v>302</v>
      </c>
      <c r="D24" s="272" t="s">
        <v>344</v>
      </c>
      <c r="E24" s="271" t="s">
        <v>345</v>
      </c>
      <c r="F24" s="271"/>
      <c r="G24" s="271"/>
      <c r="H24" s="271"/>
      <c r="I24" s="271"/>
      <c r="J24" s="271"/>
      <c r="K24" s="272" t="s">
        <v>305</v>
      </c>
      <c r="O24" s="295">
        <f t="shared" si="1"/>
        <v>0</v>
      </c>
      <c r="P24" s="295">
        <f t="shared" si="1"/>
        <v>0</v>
      </c>
      <c r="Q24" s="295">
        <f t="shared" si="1"/>
        <v>0</v>
      </c>
      <c r="R24" s="295">
        <f t="shared" si="1"/>
        <v>0</v>
      </c>
      <c r="S24" s="295">
        <f t="shared" si="1"/>
        <v>0</v>
      </c>
      <c r="T24" s="295">
        <f t="shared" si="1"/>
        <v>0</v>
      </c>
      <c r="U24" s="295">
        <f t="shared" si="1"/>
        <v>0</v>
      </c>
      <c r="V24" s="295">
        <f t="shared" si="1"/>
        <v>0</v>
      </c>
      <c r="W24" s="295">
        <f t="shared" si="1"/>
        <v>0</v>
      </c>
      <c r="X24" s="295">
        <f t="shared" si="1"/>
        <v>1</v>
      </c>
      <c r="Y24" s="295">
        <f t="shared" si="1"/>
        <v>0</v>
      </c>
      <c r="Z24" s="295">
        <f t="shared" si="1"/>
        <v>0</v>
      </c>
      <c r="AA24" s="296" t="str">
        <f>IF(E24&lt;&gt;"",E24,"")</f>
        <v>テスト項目漏れの指摘例（カテゴリj）。</v>
      </c>
    </row>
    <row r="25" spans="1:27" x14ac:dyDescent="0.15">
      <c r="A25" s="272" t="s">
        <v>38</v>
      </c>
      <c r="B25" s="297" t="s">
        <v>346</v>
      </c>
      <c r="C25" s="272" t="s">
        <v>302</v>
      </c>
      <c r="D25" s="272" t="s">
        <v>347</v>
      </c>
      <c r="E25" s="271" t="s">
        <v>348</v>
      </c>
      <c r="F25" s="271"/>
      <c r="G25" s="271"/>
      <c r="H25" s="271"/>
      <c r="I25" s="271"/>
      <c r="J25" s="271"/>
      <c r="K25" s="272" t="s">
        <v>305</v>
      </c>
      <c r="O25" s="295">
        <f t="shared" si="1"/>
        <v>0</v>
      </c>
      <c r="P25" s="295">
        <f t="shared" si="1"/>
        <v>0</v>
      </c>
      <c r="Q25" s="295">
        <f t="shared" si="1"/>
        <v>0</v>
      </c>
      <c r="R25" s="295">
        <f t="shared" si="1"/>
        <v>0</v>
      </c>
      <c r="S25" s="295">
        <f t="shared" si="1"/>
        <v>0</v>
      </c>
      <c r="T25" s="295">
        <f t="shared" si="1"/>
        <v>0</v>
      </c>
      <c r="U25" s="295">
        <f t="shared" si="1"/>
        <v>0</v>
      </c>
      <c r="V25" s="295">
        <f t="shared" si="1"/>
        <v>0</v>
      </c>
      <c r="W25" s="295">
        <f t="shared" si="1"/>
        <v>0</v>
      </c>
      <c r="X25" s="295">
        <f t="shared" si="1"/>
        <v>0</v>
      </c>
      <c r="Y25" s="295">
        <f t="shared" si="1"/>
        <v>1</v>
      </c>
      <c r="Z25" s="295">
        <f t="shared" si="1"/>
        <v>0</v>
      </c>
      <c r="AA25" s="296" t="str">
        <f>IF(E25&lt;&gt;"",E25,"")</f>
        <v>テスト漏れの指摘例（カテゴリk）。</v>
      </c>
    </row>
    <row r="26" spans="1:27" x14ac:dyDescent="0.15">
      <c r="A26" s="272" t="s">
        <v>38</v>
      </c>
      <c r="B26" s="297" t="s">
        <v>349</v>
      </c>
      <c r="C26" s="272" t="s">
        <v>302</v>
      </c>
      <c r="D26" s="272" t="s">
        <v>350</v>
      </c>
      <c r="E26" s="271" t="s">
        <v>351</v>
      </c>
      <c r="F26" s="271"/>
      <c r="G26" s="271"/>
      <c r="H26" s="271"/>
      <c r="I26" s="271"/>
      <c r="J26" s="271"/>
      <c r="K26" s="272" t="s">
        <v>305</v>
      </c>
      <c r="O26" s="295">
        <f t="shared" si="1"/>
        <v>0</v>
      </c>
      <c r="P26" s="295">
        <f t="shared" si="1"/>
        <v>0</v>
      </c>
      <c r="Q26" s="295">
        <f t="shared" si="1"/>
        <v>0</v>
      </c>
      <c r="R26" s="295">
        <f t="shared" si="1"/>
        <v>0</v>
      </c>
      <c r="S26" s="295">
        <f t="shared" si="1"/>
        <v>0</v>
      </c>
      <c r="T26" s="295">
        <f t="shared" si="1"/>
        <v>0</v>
      </c>
      <c r="U26" s="295">
        <f t="shared" si="1"/>
        <v>0</v>
      </c>
      <c r="V26" s="295">
        <f t="shared" si="1"/>
        <v>0</v>
      </c>
      <c r="W26" s="295">
        <f t="shared" si="1"/>
        <v>0</v>
      </c>
      <c r="X26" s="295">
        <f t="shared" si="1"/>
        <v>0</v>
      </c>
      <c r="Y26" s="295">
        <f t="shared" si="1"/>
        <v>0</v>
      </c>
      <c r="Z26" s="295">
        <f t="shared" si="1"/>
        <v>1</v>
      </c>
      <c r="AA26" s="296" t="str">
        <f>IF(E26&lt;&gt;"",E26,"")</f>
        <v>その他の指摘例（カテゴリl）。</v>
      </c>
    </row>
    <row r="27" spans="1:27" x14ac:dyDescent="0.15">
      <c r="A27" s="272"/>
      <c r="B27" s="272"/>
      <c r="C27" s="272"/>
      <c r="D27" s="272"/>
      <c r="E27" s="271"/>
      <c r="F27" s="271"/>
      <c r="G27" s="271"/>
      <c r="H27" s="271"/>
      <c r="I27" s="271"/>
      <c r="J27" s="271"/>
      <c r="K27" s="272"/>
      <c r="O27" s="295">
        <f t="shared" si="1"/>
        <v>0</v>
      </c>
      <c r="P27" s="295">
        <f t="shared" si="1"/>
        <v>0</v>
      </c>
      <c r="Q27" s="295">
        <f t="shared" si="1"/>
        <v>0</v>
      </c>
      <c r="R27" s="295">
        <f t="shared" si="1"/>
        <v>0</v>
      </c>
      <c r="S27" s="295">
        <f t="shared" si="1"/>
        <v>0</v>
      </c>
      <c r="T27" s="295">
        <f t="shared" si="1"/>
        <v>0</v>
      </c>
      <c r="U27" s="295">
        <f t="shared" si="1"/>
        <v>0</v>
      </c>
      <c r="V27" s="295">
        <f t="shared" si="1"/>
        <v>0</v>
      </c>
      <c r="W27" s="295">
        <f t="shared" si="1"/>
        <v>0</v>
      </c>
      <c r="X27" s="295">
        <f t="shared" si="1"/>
        <v>0</v>
      </c>
      <c r="Y27" s="295">
        <f t="shared" si="1"/>
        <v>0</v>
      </c>
      <c r="Z27" s="295">
        <f t="shared" si="1"/>
        <v>0</v>
      </c>
      <c r="AA27" s="296" t="str">
        <f>IF(E27&lt;&gt;"",E27,"")</f>
        <v/>
      </c>
    </row>
  </sheetData>
  <mergeCells count="15">
    <mergeCell ref="E22:J22"/>
    <mergeCell ref="E23:J23"/>
    <mergeCell ref="E24:J24"/>
    <mergeCell ref="E25:J25"/>
    <mergeCell ref="E26:J26"/>
    <mergeCell ref="E27:J27"/>
    <mergeCell ref="A3:B3"/>
    <mergeCell ref="A4:B4"/>
    <mergeCell ref="E15:J15"/>
    <mergeCell ref="E16:J16"/>
    <mergeCell ref="E17:J17"/>
    <mergeCell ref="E18:J18"/>
    <mergeCell ref="E19:J19"/>
    <mergeCell ref="E20:J20"/>
    <mergeCell ref="E21:J21"/>
  </mergeCells>
  <phoneticPr fontId="10"/>
  <conditionalFormatting sqref="A15:K27">
    <cfRule type="expression" dxfId="0" priority="1" stopIfTrue="1">
      <formula>$K15="済"</formula>
    </cfRule>
  </conditionalFormatting>
  <dataValidations count="1">
    <dataValidation type="list" allowBlank="1" showInputMessage="1" showErrorMessage="1" sqref="K15:N27" xr:uid="{46360D96-D2FA-4FD3-8BCA-FF702B514782}">
      <formula1>"未,済"</formula1>
    </dataValidation>
  </dataValidations>
  <hyperlinks>
    <hyperlink ref="B15" location="'2. WA1020101(プロジェクト登録画面)'!$B$5" display="'2. WA1020101(プロジェクト登録画面)'!$B$5" xr:uid="{C6EE804D-2998-4365-AE71-370ED30E7F45}"/>
    <hyperlink ref="B16" location="'2. WA1020101(プロジェクト登録画面)'!$E$60" display="'2. WA1020101(プロジェクト登録画面)'!$E$60" xr:uid="{992915C9-4925-4BC8-8229-4BDE1CEECFDB}"/>
    <hyperlink ref="B17" location="'2. WA1020101(プロジェクト登録画面)'!$E$62" display="'2. WA1020101(プロジェクト登録画面)'!$E$62" xr:uid="{495ED133-AAC8-4663-87DE-4FA3234C6FA2}"/>
    <hyperlink ref="B18" location="'2. WA1020101(プロジェクト登録画面)'!$E$63" display="'2. WA1020101(プロジェクト登録画面)'!$E$63" xr:uid="{A6D3B8EB-99AC-4FF4-AB0F-21D1DF9DB253}"/>
    <hyperlink ref="B19" location="'2. WA1020101(プロジェクト登録画面)'!$E$64" display="'2. WA1020101(プロジェクト登録画面)'!$E$64" xr:uid="{CEE2715D-8C73-4CB3-9855-12BF92E67EE8}"/>
    <hyperlink ref="B20" location="'2. WA1020101(プロジェクト登録画面)'!$E$65" display="'2. WA1020101(プロジェクト登録画面)'!$E$65" xr:uid="{14D95EB1-0343-4354-9C3B-088DA644FF36}"/>
    <hyperlink ref="B21" location="'2. WA1020101(プロジェクト登録画面)'!$E$66" display="'2. WA1020101(プロジェクト登録画面)'!$E$66" xr:uid="{881F78E5-918F-4270-A975-DBE868E55579}"/>
    <hyperlink ref="B22" location="'2. WA1020101(プロジェクト登録画面)'!$E$67" display="'2. WA1020101(プロジェクト登録画面)'!$E$67" xr:uid="{3538E812-2170-4E16-9D03-9851862B6A5A}"/>
    <hyperlink ref="B23" location="'2. WA1020101(プロジェクト登録画面)'!$E$68" display="'2. WA1020101(プロジェクト登録画面)'!$E$68" xr:uid="{EB5F2049-C2DD-4D3F-A4A2-642C7EF4BB0E}"/>
    <hyperlink ref="B24" location="'2. WA1020101(プロジェクト登録画面)'!$E$69" display="'2. WA1020101(プロジェクト登録画面)'!$E$69" xr:uid="{8729841B-12FA-45C5-BF71-6ADD84035488}"/>
    <hyperlink ref="B25" location="'2. WA1020101(プロジェクト登録画面)'!$E$70" display="'2. WA1020101(プロジェクト登録画面)'!$E$70" xr:uid="{3AC71914-C365-4A1A-B400-C31E89283800}"/>
    <hyperlink ref="B26" location="'2. WA1020101(プロジェクト登録画面)'!$E$71" display="'2. WA1020101(プロジェクト登録画面)'!$E$71" xr:uid="{2C1E3C32-9540-4033-A5AA-D887D8294C12}"/>
  </hyperlinks>
  <pageMargins left="0.75" right="0.75" top="1" bottom="1" header="0.51200000000000001" footer="0.51200000000000001"/>
  <pageSetup paperSize="9" scale="67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/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>
      <c r="A4"/>
    </row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1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1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1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1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1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1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1:48" x14ac:dyDescent="0.15">
      <c r="A71"/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1:48" ht="11.25" customHeight="1" x14ac:dyDescent="0.15"/>
    <row r="73" spans="1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1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1:48" ht="11.25" customHeight="1" x14ac:dyDescent="0.15">
      <c r="AI75" s="96"/>
      <c r="AJ75" s="96"/>
    </row>
    <row r="76" spans="1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1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1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1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1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2026-03-14T13:01:39Z</dcterms:modified>
</cp:coreProperties>
</file>