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8\"/>
    </mc:Choice>
  </mc:AlternateContent>
  <xr:revisionPtr revIDLastSave="0" documentId="13_ncr:1_{C91566B7-02D2-4C54-AF58-6827843608A2}" xr6:coauthVersionLast="47" xr6:coauthVersionMax="47" xr10:uidLastSave="{00000000-0000-0000-0000-000000000000}"/>
  <bookViews>
    <workbookView xWindow="9990" yWindow="5010" windowWidth="38700" windowHeight="15345" tabRatio="822" xr2:uid="{00000000-000D-0000-FFFF-FFFF00000000}"/>
  </bookViews>
  <sheets>
    <sheet name="レビュー結果1回目" sheetId="10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10" l="1"/>
  <c r="Z27" i="10"/>
  <c r="Y27" i="10"/>
  <c r="X27" i="10"/>
  <c r="W27" i="10"/>
  <c r="V27" i="10"/>
  <c r="U27" i="10"/>
  <c r="T27" i="10"/>
  <c r="S27" i="10"/>
  <c r="R27" i="10"/>
  <c r="Q27" i="10"/>
  <c r="P27" i="10"/>
  <c r="O27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AA21" i="10"/>
  <c r="Z21" i="10"/>
  <c r="Y21" i="10"/>
  <c r="L10" i="10" s="1"/>
  <c r="X21" i="10"/>
  <c r="W21" i="10"/>
  <c r="V21" i="10"/>
  <c r="U21" i="10"/>
  <c r="T21" i="10"/>
  <c r="S21" i="10"/>
  <c r="R21" i="10"/>
  <c r="Q21" i="10"/>
  <c r="P21" i="10"/>
  <c r="O21" i="10"/>
  <c r="AA20" i="10"/>
  <c r="Z20" i="10"/>
  <c r="M10" i="10" s="1"/>
  <c r="Y20" i="10"/>
  <c r="X20" i="10"/>
  <c r="W20" i="10"/>
  <c r="V20" i="10"/>
  <c r="U20" i="10"/>
  <c r="T20" i="10"/>
  <c r="S20" i="10"/>
  <c r="R20" i="10"/>
  <c r="Q20" i="10"/>
  <c r="P20" i="10"/>
  <c r="O20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AA17" i="10"/>
  <c r="Z17" i="10"/>
  <c r="M9" i="10" s="1"/>
  <c r="Y17" i="10"/>
  <c r="L9" i="10" s="1"/>
  <c r="X17" i="10"/>
  <c r="K9" i="10" s="1"/>
  <c r="W17" i="10"/>
  <c r="J9" i="10" s="1"/>
  <c r="V17" i="10"/>
  <c r="I9" i="10" s="1"/>
  <c r="U17" i="10"/>
  <c r="H9" i="10" s="1"/>
  <c r="T17" i="10"/>
  <c r="G9" i="10" s="1"/>
  <c r="S17" i="10"/>
  <c r="F9" i="10" s="1"/>
  <c r="R17" i="10"/>
  <c r="E9" i="10" s="1"/>
  <c r="Q17" i="10"/>
  <c r="D9" i="10" s="1"/>
  <c r="P17" i="10"/>
  <c r="C9" i="10" s="1"/>
  <c r="O17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B9" i="10"/>
  <c r="J10" i="10" l="1"/>
  <c r="K10" i="10"/>
  <c r="K11" i="10" s="1"/>
  <c r="I10" i="10"/>
  <c r="I11" i="10" s="1"/>
  <c r="H10" i="10"/>
  <c r="H11" i="10" s="1"/>
  <c r="G10" i="10"/>
  <c r="G11" i="10" s="1"/>
  <c r="E10" i="10"/>
  <c r="E11" i="10" s="1"/>
  <c r="F10" i="10"/>
  <c r="F11" i="10" s="1"/>
  <c r="C10" i="10"/>
  <c r="C11" i="10" s="1"/>
  <c r="D10" i="10"/>
  <c r="D11" i="10" s="1"/>
  <c r="B10" i="10"/>
  <c r="B11" i="10" s="1"/>
  <c r="M11" i="10"/>
  <c r="L11" i="10"/>
  <c r="J11" i="10"/>
  <c r="N9" i="10"/>
  <c r="N10" i="10" l="1"/>
  <c r="N11" i="10"/>
  <c r="AG2" i="2"/>
  <c r="AG1" i="2"/>
  <c r="AC1" i="2"/>
  <c r="E3" i="3"/>
  <c r="AG2" i="6"/>
  <c r="E3" i="6"/>
  <c r="AG2" i="4"/>
  <c r="E2" i="5"/>
  <c r="AC1" i="6"/>
  <c r="E2" i="3"/>
  <c r="AC1" i="4"/>
  <c r="S1" i="3"/>
  <c r="AG1" i="7"/>
  <c r="E1" i="3"/>
  <c r="AC1" i="5"/>
  <c r="E2" i="6"/>
  <c r="AC1" i="7"/>
  <c r="I25" i="1"/>
  <c r="E1" i="4"/>
  <c r="S1" i="5"/>
  <c r="E3" i="5"/>
  <c r="AC3" i="6"/>
  <c r="S1" i="7"/>
  <c r="AG2" i="5"/>
  <c r="AG3" i="5"/>
  <c r="AG1" i="3"/>
  <c r="E2" i="4"/>
  <c r="E3" i="4"/>
  <c r="AG1" i="4"/>
  <c r="AC1" i="3"/>
  <c r="E2" i="7"/>
  <c r="AG3" i="7"/>
  <c r="S1" i="6"/>
  <c r="AG3" i="4"/>
  <c r="E1" i="6"/>
  <c r="E1" i="7"/>
  <c r="AG3" i="3"/>
  <c r="AC3" i="7"/>
  <c r="AC3" i="4"/>
  <c r="AC3" i="5"/>
  <c r="E1" i="5"/>
  <c r="AG2" i="3"/>
  <c r="AG3" i="6"/>
  <c r="AC3" i="3"/>
  <c r="AC2" i="2"/>
  <c r="E3" i="7"/>
  <c r="AG1" i="5"/>
  <c r="S1" i="4"/>
  <c r="AG2" i="7"/>
  <c r="AG1" i="6"/>
  <c r="AC2" i="6"/>
  <c r="AC2" i="7"/>
  <c r="AC2" i="4"/>
  <c r="AC2" i="5"/>
  <c r="A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<sst xmlns="http://schemas.openxmlformats.org/spreadsheetml/2006/main" count="908" uniqueCount="353">
  <si>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</si>
  <si>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</si>
  <si>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</si>
  <si>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</si>
  <si>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</si>
  <si>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</si>
  <si>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</si>
  <si>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</si>
  <si>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</si>
  <si>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</si>
  <si>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</si>
  <si>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</si>
  <si>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</si>
  <si>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</si>
  <si>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</si>
  <si>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</si>
  <si>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</si>
  <si>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</si>
  <si>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</si>
  <si>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</si>
  <si>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</si>
  <si>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</si>
  <si>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</si>
  <si>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</si>
  <si>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</si>
  <si>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</si>
  <si>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</si>
  <si>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</si>
  <si>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</si>
  <si>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</si>
  <si>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</si>
  <si>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</si>
  <si>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</si>
  <si>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</si>
  <si>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</si>
  <si>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</si>
  <si>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</si>
  <si>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</si>
  <si>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</si>
  <si>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</si>
  <si>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</si>
  <si>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</si>
  <si>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</si>
  <si>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</si>
  <si>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</si>
  <si>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</si>
  <si>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</si>
  <si>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</si>
  <si>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</si>
  <si>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</si>
  <si>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</si>
  <si>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</si>
  <si>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</si>
  <si>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</si>
  <si>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</si>
  <si>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</si>
  <si>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</si>
  <si>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</si>
  <si>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</si>
  <si>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</si>
  <si>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</si>
  <si>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</si>
  <si>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</si>
  <si>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</si>
  <si>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</si>
  <si>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</si>
  <si>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</si>
  <si>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</si>
  <si>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</si>
  <si>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</si>
  <si>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</si>
  <si>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</si>
  <si>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</si>
  <si>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</si>
  <si>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</si>
  <si>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</si>
  <si>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</si>
  <si>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</si>
  <si>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</si>
  <si>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</si>
  <si>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</si>
  <si>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</si>
  <si>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</si>
  <si>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</si>
  <si>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</si>
  <si>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</si>
  <si>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</si>
  <si>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</si>
  <si>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</si>
  <si>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</si>
  <si>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</si>
  <si>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</si>
  <si>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</si>
  <si>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</si>
  <si>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</si>
  <si>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</si>
  <si>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</si>
  <si>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</si>
  <si>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</si>
  <si>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</si>
  <si>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</si>
  <si>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</si>
  <si>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</si>
  <si>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</si>
  <si>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</si>
  <si>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</si>
  <si>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</si>
  <si>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</si>
  <si>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</si>
  <si>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</si>
  <si>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</si>
  <si>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</si>
  <si>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</si>
  <si>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</si>
  <si>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</si>
  <si>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</si>
  <si>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</si>
  <si>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</si>
  <si>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</si>
  <si>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</si>
  <si>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</si>
  <si>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</si>
  <si>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</si>
  <si>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</si>
  <si>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</si>
  <si>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</si>
  <si>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</si>
  <si>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</si>
  <si>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</si>
  <si>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</si>
  <si>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</si>
  <si>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</si>
  <si>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</si>
  <si>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</si>
  <si>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</si>
  <si>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</si>
  <si>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</si>
  <si>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</si>
  <si>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</si>
  <si>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</si>
  <si>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</si>
  <si>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</si>
  <si>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</si>
  <si>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</si>
  <si>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</si>
  <si>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</si>
  <si>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</si>
  <si>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</si>
  <si>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</si>
  <si>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</si>
  <si>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</si>
  <si>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</si>
  <si>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</si>
  <si>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</si>
  <si>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</si>
  <si>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</si>
  <si>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</si>
  <si>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</si>
  <si>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</si>
  <si>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</si>
  <si>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</si>
  <si>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</si>
  <si>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</si>
  <si>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</si>
  <si>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</si>
  <si>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</si>
  <si>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</si>
  <si>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</si>
  <si>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</si>
  <si>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</si>
  <si>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</si>
  <si>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</si>
  <si>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</si>
  <si>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</si>
  <si>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</si>
  <si>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</si>
  <si>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</si>
  <si>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</si>
  <si>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</si>
  <si>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</si>
  <si>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</si>
  <si>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</si>
  <si>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</si>
  <si>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</si>
  <si>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</si>
  <si>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</si>
  <si>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</si>
  <si>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</si>
  <si>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</si>
  <si>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</si>
  <si>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</si>
  <si>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</si>
  <si>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</si>
  <si>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</si>
  <si>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</si>
  <si>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</si>
  <si>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</si>
  <si>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</si>
  <si>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</si>
  <si>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</si>
  <si>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</si>
  <si>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</si>
  <si>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</si>
  <si>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</si>
  <si>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</si>
  <si>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</si>
  <si>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</si>
  <si>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</si>
  <si>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</si>
  <si>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</si>
  <si>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</si>
  <si>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</si>
  <si>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</si>
  <si>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</si>
  <si>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</si>
  <si>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</si>
  <si>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</si>
  <si>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</si>
  <si>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</si>
  <si>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</si>
  <si>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</si>
  <si>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</si>
  <si>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</si>
  <si>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</si>
  <si>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</si>
  <si>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</si>
  <si>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</si>
  <si>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</si>
  <si>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</si>
  <si>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</si>
  <si>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</si>
  <si>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</si>
  <si>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</si>
  <si>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</si>
  <si>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</si>
  <si>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</si>
  <si>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</si>
  <si>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</si>
  <si>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</si>
  <si>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</si>
  <si>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</si>
  <si>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</si>
  <si>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</si>
  <si>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</si>
  <si>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</si>
  <si>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</si>
  <si>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</si>
  <si>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</si>
  <si>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</si>
  <si>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</si>
  <si>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</si>
  <si>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</si>
  <si>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</si>
  <si>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</si>
  <si>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</si>
  <si>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</si>
  <si>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</si>
  <si>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</si>
  <si>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</si>
  <si>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</si>
  <si>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</si>
  <si>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</si>
  <si>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</si>
  <si>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</si>
  <si>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</si>
  <si>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</si>
  <si>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</si>
  <si>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</si>
  <si>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</si>
  <si>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</si>
  <si>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</si>
  <si>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</si>
  <si>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</si>
  <si>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</si>
  <si>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</si>
  <si>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</si>
  <si>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</si>
  <si>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</si>
  <si>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</si>
  <si>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</si>
  <si>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</si>
  <si>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</si>
  <si>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</si>
  <si>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</si>
  <si>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</si>
  <si>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</si>
  <si>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</si>
  <si>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</si>
  <si>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</si>
  <si>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</si>
  <si>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</si>
  <si>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</si>
  <si>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</si>
  <si>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</si>
  <si>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</si>
  <si>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</si>
  <si>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</si>
  <si>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</si>
  <si>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</si>
  <si>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</si>
  <si>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</si>
  <si>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</si>
  <si>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</si>
  <si>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</si>
  <si>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</si>
  <si>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</si>
  <si>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</si>
  <si>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</si>
  <si>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</si>
  <si>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</si>
  <si>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</si>
  <si>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</si>
  <si>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</si>
  <si>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システム機能設計書_サンプル_S28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</si>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</sst>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>
      <alignment vertical="center"/>
    </xf>
    <xf numFmtId="0" fontId="14" fillId="8" borderId="10" xfId="11" applyFill="1" applyBorder="1">
      <alignment vertical="center"/>
    </xf>
    <xf numFmtId="0" fontId="14" fillId="0" borderId="10" xfId="11" applyBorder="1" applyAlignment="1">
      <alignment vertical="center" wrapText="1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1" fillId="2" borderId="10" xfId="1" applyFont="1" applyFill="1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1" fillId="0" borderId="32" xfId="0" applyFont="1" applyBorder="1" applyAlignment="1">
      <alignment horizontal="left" vertical="top"/>
    </xf>
    <xf numFmtId="0" fontId="0" fillId="0" borderId="31" xfId="0" applyBorder="1"/>
    <xf numFmtId="0" fontId="0" fillId="0" borderId="30" xfId="0" applyBorder="1"/>
    <xf numFmtId="0" fontId="0" fillId="0" borderId="10" xfId="2" applyFont="1" applyBorder="1" applyAlignment="1">
      <alignment horizontal="left" vertical="top"/>
    </xf>
    <xf numFmtId="14" fontId="0" fillId="0" borderId="10" xfId="0" applyNumberFormat="1" applyBorder="1" applyAlignment="1">
      <alignment horizontal="center" vertical="top"/>
    </xf>
    <xf numFmtId="0" fontId="1" fillId="2" borderId="10" xfId="1" applyFont="1" applyFill="1" applyBorder="1" applyAlignment="1">
      <alignment horizontal="left"/>
    </xf>
    <xf numFmtId="14" fontId="0" fillId="0" borderId="10" xfId="1" applyNumberFormat="1" applyFont="1" applyBorder="1" applyAlignment="1">
      <alignment horizontal="left" vertical="top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0" fillId="0" borderId="32" xfId="0" applyBorder="1" applyAlignment="1">
      <alignment horizontal="left" vertical="top"/>
    </xf>
    <xf numFmtId="177" fontId="1" fillId="0" borderId="10" xfId="3" applyNumberFormat="1" applyFont="1" applyBorder="1" applyAlignment="1">
      <alignment horizontal="right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1" fillId="0" borderId="10" xfId="1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0" fontId="15" fillId="2" borderId="10" xfId="1" applyFont="1" applyFill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32" xfId="0" applyFont="1" applyBorder="1" applyAlignment="1">
      <alignment horizontal="left" vertical="top" wrapText="1"/>
    </xf>
    <xf numFmtId="0" fontId="0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49" fontId="0" fillId="2" borderId="10" xfId="0" applyNumberFormat="1" applyFill="1" applyBorder="1" applyAlignment="1">
      <alignment horizontal="left" vertical="top"/>
    </xf>
    <xf numFmtId="0" fontId="0" fillId="0" borderId="10" xfId="0" applyBorder="1" applyAlignment="1">
      <alignment vertical="top" wrapText="1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26" xfId="0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0" fillId="0" borderId="17" xfId="0" applyBorder="1"/>
    <xf numFmtId="0" fontId="0" fillId="0" borderId="18" xfId="0" applyBorder="1"/>
    <xf numFmtId="0" fontId="1" fillId="5" borderId="10" xfId="0" applyFont="1" applyFill="1" applyBorder="1" applyAlignment="1">
      <alignment horizontal="left" vertical="top"/>
    </xf>
    <xf numFmtId="0" fontId="1" fillId="3" borderId="13" xfId="0" applyFont="1" applyFill="1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1" fillId="2" borderId="10" xfId="1" applyFont="1" applyFill="1" applyBorder="1" applyAlignment="1">
      <alignment vertical="top"/>
    </xf>
    <xf numFmtId="0" fontId="1" fillId="5" borderId="10" xfId="0" applyFont="1" applyFill="1" applyBorder="1"/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49" fontId="0" fillId="0" borderId="10" xfId="0" applyNumberFormat="1" applyBorder="1" applyAlignment="1">
      <alignment vertical="center" wrapText="1"/>
    </xf>
    <xf numFmtId="0" fontId="1" fillId="4" borderId="10" xfId="0" applyFont="1" applyFill="1" applyBorder="1" applyAlignment="1">
      <alignment vertical="top"/>
    </xf>
    <xf numFmtId="0" fontId="0" fillId="0" borderId="11" xfId="0" applyBorder="1"/>
    <xf numFmtId="0" fontId="0" fillId="3" borderId="10" xfId="0" applyFill="1" applyBorder="1" applyAlignment="1">
      <alignment vertical="top" wrapText="1"/>
    </xf>
    <xf numFmtId="0" fontId="1" fillId="7" borderId="33" xfId="0" applyFont="1" applyFill="1" applyBorder="1" applyAlignment="1">
      <alignment vertical="top" wrapText="1"/>
    </xf>
    <xf numFmtId="0" fontId="1" fillId="5" borderId="10" xfId="0" applyFont="1" applyFill="1" applyBorder="1" applyAlignment="1">
      <alignment vertical="top"/>
    </xf>
    <xf numFmtId="0" fontId="1" fillId="0" borderId="33" xfId="0" applyFont="1" applyBorder="1" applyAlignment="1">
      <alignment vertical="top" wrapText="1"/>
    </xf>
    <xf numFmtId="0" fontId="0" fillId="5" borderId="10" xfId="0" applyFill="1" applyBorder="1" applyAlignment="1">
      <alignment horizontal="left" vertical="top"/>
    </xf>
    <xf numFmtId="49" fontId="1" fillId="2" borderId="10" xfId="0" applyNumberFormat="1" applyFont="1" applyFill="1" applyBorder="1" applyAlignment="1">
      <alignment horizontal="left" vertical="top"/>
    </xf>
    <xf numFmtId="177" fontId="1" fillId="0" borderId="10" xfId="0" applyNumberFormat="1" applyFont="1" applyBorder="1" applyAlignment="1">
      <alignment horizontal="right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0" fontId="0" fillId="3" borderId="13" xfId="0" applyFill="1" applyBorder="1" applyAlignment="1">
      <alignment vertical="top" wrapText="1"/>
    </xf>
    <xf numFmtId="0" fontId="0" fillId="2" borderId="10" xfId="0" applyFill="1" applyBorder="1" applyAlignment="1">
      <alignment horizontal="left" vertical="top" wrapText="1"/>
    </xf>
    <xf numFmtId="0" fontId="1" fillId="0" borderId="0" xfId="0" applyFont="1"/>
    <xf numFmtId="0" fontId="1" fillId="2" borderId="35" xfId="0" applyFont="1" applyFill="1" applyBorder="1" applyAlignment="1">
      <alignment vertical="top"/>
    </xf>
    <xf numFmtId="0" fontId="0" fillId="0" borderId="28" xfId="0" applyBorder="1"/>
    <xf numFmtId="0" fontId="0" fillId="2" borderId="12" xfId="0" applyFill="1" applyBorder="1" applyAlignment="1">
      <alignment vertical="center" wrapText="1"/>
    </xf>
    <xf numFmtId="0" fontId="0" fillId="0" borderId="13" xfId="0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0" fontId="0" fillId="5" borderId="10" xfId="0" applyFill="1" applyBorder="1" applyAlignment="1">
      <alignment horizontal="center" vertical="top"/>
    </xf>
    <xf numFmtId="0" fontId="1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33" xfId="0" applyFont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0" fillId="3" borderId="10" xfId="0" applyFill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0" fillId="2" borderId="12" xfId="0" applyFill="1" applyBorder="1" applyAlignment="1">
      <alignment horizontal="left" vertical="top" wrapText="1"/>
    </xf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1" fillId="0" borderId="29" xfId="0" applyFont="1" applyBorder="1" applyAlignment="1">
      <alignment vertical="center" wrapText="1"/>
    </xf>
    <xf numFmtId="0" fontId="0" fillId="0" borderId="29" xfId="0" applyBorder="1"/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8CAA-1D5B-492C-8BDE-A55F718AD5D0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Z14" sqref="Z14:Z16"/>
    </sheetView>
  </sheetViews>
  <sheetFormatPr defaultRowHeight="13.5" x14ac:dyDescent="0.15"/>
  <cols>
    <col min="1" max="1" width="9.33203125" style="160"/>
    <col min="2" max="14" width="17.6640625" style="160" customWidth="1"/>
    <col min="15" max="26" width="4.5" style="160" customWidth="1"/>
    <col min="27" max="27" width="98.1640625" style="160" customWidth="1"/>
    <col min="28" max="16384" width="9.33203125" style="160"/>
  </cols>
  <sheetData>
    <row r="1" spans="1:29" x14ac:dyDescent="0.15">
      <c r="A1" s="159" t="s">
        <v>265</v>
      </c>
      <c r="O1" s="161"/>
      <c r="AA1" s="162" t="s">
        <v>266</v>
      </c>
    </row>
    <row r="2" spans="1:29" x14ac:dyDescent="0.15">
      <c r="A2" s="160" t="s">
        <v>267</v>
      </c>
      <c r="B2" s="160" t="s">
        <v>312</v>
      </c>
      <c r="E2" s="163" t="s">
        <v>268</v>
      </c>
      <c r="F2" s="164"/>
      <c r="G2" s="164"/>
      <c r="H2" s="164"/>
      <c r="I2" s="165"/>
      <c r="O2" s="161"/>
    </row>
    <row r="3" spans="1:29" x14ac:dyDescent="0.15">
      <c r="A3" s="198" t="s">
        <v>269</v>
      </c>
      <c r="B3" s="198"/>
      <c r="C3" s="166" t="s">
        <v>270</v>
      </c>
      <c r="E3" s="166" t="s">
        <v>271</v>
      </c>
      <c r="F3" s="166" t="s">
        <v>272</v>
      </c>
      <c r="G3" s="167"/>
      <c r="H3" s="166" t="s">
        <v>273</v>
      </c>
      <c r="I3" s="166" t="s">
        <v>274</v>
      </c>
    </row>
    <row r="4" spans="1:29" x14ac:dyDescent="0.15">
      <c r="A4" s="197" t="s">
        <v>313</v>
      </c>
      <c r="B4" s="197"/>
      <c r="C4" s="168">
        <v>1</v>
      </c>
      <c r="E4" s="169">
        <v>45139</v>
      </c>
      <c r="F4" s="170">
        <v>0.375</v>
      </c>
      <c r="G4" s="171" t="s">
        <v>275</v>
      </c>
      <c r="H4" s="170">
        <v>0.58333333333333337</v>
      </c>
      <c r="I4" s="168">
        <v>200</v>
      </c>
    </row>
    <row r="6" spans="1:29" x14ac:dyDescent="0.15">
      <c r="A6" s="159" t="s">
        <v>276</v>
      </c>
    </row>
    <row r="7" spans="1:29" x14ac:dyDescent="0.15">
      <c r="B7" s="172" t="s">
        <v>277</v>
      </c>
      <c r="C7" s="172" t="s">
        <v>278</v>
      </c>
      <c r="D7" s="167" t="s">
        <v>279</v>
      </c>
      <c r="E7" s="167" t="s">
        <v>280</v>
      </c>
      <c r="F7" s="167" t="s">
        <v>281</v>
      </c>
      <c r="G7" s="167" t="s">
        <v>282</v>
      </c>
      <c r="H7" s="167" t="s">
        <v>283</v>
      </c>
      <c r="I7" s="167" t="s">
        <v>284</v>
      </c>
      <c r="J7" s="167" t="s">
        <v>285</v>
      </c>
      <c r="K7" s="167" t="s">
        <v>286</v>
      </c>
      <c r="L7" s="167" t="s">
        <v>287</v>
      </c>
      <c r="M7" s="167" t="s">
        <v>288</v>
      </c>
    </row>
    <row r="8" spans="1:29" ht="27" x14ac:dyDescent="0.15">
      <c r="A8" s="166" t="s">
        <v>289</v>
      </c>
      <c r="B8" s="173" t="s">
        <v>290</v>
      </c>
      <c r="C8" s="173" t="s">
        <v>291</v>
      </c>
      <c r="D8" s="173" t="s">
        <v>292</v>
      </c>
      <c r="E8" s="174" t="s">
        <v>293</v>
      </c>
      <c r="F8" s="173" t="s">
        <v>294</v>
      </c>
      <c r="G8" s="173" t="s">
        <v>295</v>
      </c>
      <c r="H8" s="173" t="s">
        <v>296</v>
      </c>
      <c r="I8" s="173" t="s">
        <v>297</v>
      </c>
      <c r="J8" s="174" t="s">
        <v>298</v>
      </c>
      <c r="K8" s="174" t="s">
        <v>299</v>
      </c>
      <c r="L8" s="174" t="s">
        <v>300</v>
      </c>
      <c r="M8" s="174" t="s">
        <v>301</v>
      </c>
      <c r="N8" s="175" t="s">
        <v>302</v>
      </c>
      <c r="O8" s="176"/>
      <c r="P8" s="176"/>
      <c r="Q8" s="176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</row>
    <row r="9" spans="1:29" x14ac:dyDescent="0.15">
      <c r="A9" s="166" t="s">
        <v>303</v>
      </c>
      <c r="B9" s="178" t="str">
        <f>IF(SUMIF($K15:$K27,$A9,O15:O27)=0,"",SUMIF($K15:$K27,$A9,O15:O27))</f>
        <v/>
      </c>
      <c r="C9" s="178" t="str">
        <f>IF(SUMIF($K15:$K27,$A9,P15:P27)=0,"",SUMIF($K15:$K27,$A9,P15:P27))</f>
        <v/>
      </c>
      <c r="D9" s="178">
        <f>IF(SUMIF($K15:$K27,$A9,Q15:Q27)=0,"",SUMIF($K15:$K27,$A9,Q15:Q27))</f>
        <v>1</v>
      </c>
      <c r="E9" s="178" t="str">
        <f>IF(SUMIF($K15:$K27,$A9,R15:R27)=0,"",SUMIF($K15:$K27,$A9,R15:R27))</f>
        <v/>
      </c>
      <c r="F9" s="178" t="str">
        <f>IF(SUMIF($K15:$K27,$A9,S15:S27)=0,"",SUMIF($K15:$K27,$A9,S15:S27))</f>
        <v/>
      </c>
      <c r="G9" s="178" t="str">
        <f>IF(SUMIF($K15:$K27,$A9,T15:T27)=0,"",SUMIF($K15:$K27,$A9,T15:T27))</f>
        <v/>
      </c>
      <c r="H9" s="178" t="str">
        <f>IF(SUMIF($K15:$K27,$A9,U15:U27)=0,"",SUMIF($K15:$K27,$A9,U15:U27))</f>
        <v/>
      </c>
      <c r="I9" s="178" t="str">
        <f>IF(SUMIF($K15:$K27,$A9,V15:V27)=0,"",SUMIF($K15:$K27,$A9,V15:V27))</f>
        <v/>
      </c>
      <c r="J9" s="178" t="str">
        <f>IF(SUMIF($K15:$K27,$A9,W15:W27)=0,"",SUMIF($K15:$K27,$A9,W15:W27))</f>
        <v/>
      </c>
      <c r="K9" s="178" t="str">
        <f>IF(SUMIF($K15:$K27,$A9,X15:X27)=0,"",SUMIF($K15:$K27,$A9,X15:X27))</f>
        <v/>
      </c>
      <c r="L9" s="178" t="str">
        <f>IF(SUMIF($K15:$K27,$A9,Y15:Y27)=0,"",SUMIF($K15:$K27,$A9,Y15:Y27))</f>
        <v/>
      </c>
      <c r="M9" s="178" t="str">
        <f>IF(SUMIF($K15:$K27,$A9,Z15:Z27)=0,"",SUMIF($K15:$K27,$A9,Z15:Z27))</f>
        <v/>
      </c>
      <c r="N9" s="179">
        <f>SUM(B9:M9)</f>
        <v>1</v>
      </c>
      <c r="O9" s="180"/>
      <c r="P9" s="180"/>
      <c r="Q9" s="180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</row>
    <row r="10" spans="1:29" x14ac:dyDescent="0.15">
      <c r="A10" s="166" t="s">
        <v>304</v>
      </c>
      <c r="B10" s="178">
        <f>IF(SUMIF($K15:$K27,$A10,O15:O27)=0,"",SUMIF($K15:$K27,$A10,O15:O27))</f>
        <v>1</v>
      </c>
      <c r="C10" s="178">
        <f>IF(SUMIF($K15:$K27,$A10,P15:P27)=0,"",SUMIF($K15:$K27,$A10,P15:P27))</f>
        <v>1</v>
      </c>
      <c r="D10" s="178" t="str">
        <f>IF(SUMIF($K15:$K27,$A10,Q15:Q27)=0,"",SUMIF($K15:$K27,$A10,Q15:Q27))</f>
        <v/>
      </c>
      <c r="E10" s="178">
        <f>IF(SUMIF($K15:$K27,$A10,R15:R27)=0,"",SUMIF($K15:$K27,$A10,R15:R27))</f>
        <v>1</v>
      </c>
      <c r="F10" s="178">
        <f>IF(SUMIF($K15:$K27,$A10,S15:S27)=0,"",SUMIF($K15:$K27,$A10,S15:S27))</f>
        <v>1</v>
      </c>
      <c r="G10" s="178">
        <f>IF(SUMIF($K15:$K27,$A10,T15:T27)=0,"",SUMIF($K15:$K27,$A10,T15:T27))</f>
        <v>1</v>
      </c>
      <c r="H10" s="178">
        <f>IF(SUMIF($K15:$K27,$A10,U15:U27)=0,"",SUMIF($K15:$K27,$A10,U15:U27))</f>
        <v>1</v>
      </c>
      <c r="I10" s="178">
        <f>IF(SUMIF($K15:$K27,$A10,V15:V27)=0,"",SUMIF($K15:$K27,$A10,V15:V27))</f>
        <v>1</v>
      </c>
      <c r="J10" s="178">
        <f>IF(SUMIF($K15:$K27,$A10,W15:W27)=0,"",SUMIF($K15:$K27,$A10,W15:W27))</f>
        <v>1</v>
      </c>
      <c r="K10" s="178">
        <f>IF(SUMIF($K15:$K27,$A10,X15:X27)=0,"",SUMIF($K15:$K27,$A10,X15:X27))</f>
        <v>1</v>
      </c>
      <c r="L10" s="178">
        <f>IF(SUMIF($K15:$K27,$A10,Y15:Y27)=0,"",SUMIF($K15:$K27,$A10,Y15:Y27))</f>
        <v>1</v>
      </c>
      <c r="M10" s="178">
        <f>IF(SUMIF($K15:$K27,$A10,Z15:Z27)=0,"",SUMIF($K15:$K27,$A10,Z15:Z27))</f>
        <v>1</v>
      </c>
      <c r="N10" s="179">
        <f>SUM(B10:M10)</f>
        <v>11</v>
      </c>
      <c r="O10" s="180"/>
      <c r="P10" s="180"/>
      <c r="Q10" s="180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</row>
    <row r="11" spans="1:29" x14ac:dyDescent="0.15">
      <c r="A11" s="181" t="s">
        <v>302</v>
      </c>
      <c r="B11" s="182">
        <f>SUM(B9:B10)</f>
        <v>1</v>
      </c>
      <c r="C11" s="182">
        <f t="shared" ref="C11:M11" si="0">SUM(C9:C10)</f>
        <v>1</v>
      </c>
      <c r="D11" s="182">
        <f t="shared" si="0"/>
        <v>1</v>
      </c>
      <c r="E11" s="182">
        <f t="shared" si="0"/>
        <v>1</v>
      </c>
      <c r="F11" s="182">
        <f t="shared" si="0"/>
        <v>1</v>
      </c>
      <c r="G11" s="182">
        <f t="shared" si="0"/>
        <v>1</v>
      </c>
      <c r="H11" s="182">
        <f t="shared" si="0"/>
        <v>1</v>
      </c>
      <c r="I11" s="182">
        <f t="shared" si="0"/>
        <v>1</v>
      </c>
      <c r="J11" s="182">
        <f t="shared" si="0"/>
        <v>1</v>
      </c>
      <c r="K11" s="182">
        <f t="shared" si="0"/>
        <v>1</v>
      </c>
      <c r="L11" s="182">
        <f t="shared" si="0"/>
        <v>1</v>
      </c>
      <c r="M11" s="182">
        <f t="shared" si="0"/>
        <v>1</v>
      </c>
      <c r="N11" s="182">
        <f>SUM(B11:M11)</f>
        <v>12</v>
      </c>
      <c r="O11" s="183"/>
      <c r="P11" s="183"/>
      <c r="Q11" s="183"/>
    </row>
    <row r="12" spans="1:29" x14ac:dyDescent="0.15">
      <c r="A12" s="159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</row>
    <row r="13" spans="1:29" x14ac:dyDescent="0.15">
      <c r="A13" s="185" t="s">
        <v>305</v>
      </c>
      <c r="B13" s="186"/>
      <c r="C13" s="186"/>
      <c r="D13" s="186"/>
      <c r="F13" s="186"/>
      <c r="O13" s="161" t="s">
        <v>306</v>
      </c>
      <c r="P13" s="161"/>
      <c r="Q13" s="161"/>
      <c r="R13" s="161"/>
      <c r="S13" s="161"/>
      <c r="T13" s="161"/>
      <c r="U13" s="161"/>
      <c r="V13" s="161"/>
      <c r="W13" s="161"/>
      <c r="X13" s="161"/>
      <c r="Y13" s="161"/>
      <c r="Z13" s="161"/>
    </row>
    <row r="14" spans="1:29" x14ac:dyDescent="0.15">
      <c r="A14" s="187" t="s">
        <v>307</v>
      </c>
      <c r="B14" s="187" t="s">
        <v>308</v>
      </c>
      <c r="C14" s="187" t="s">
        <v>309</v>
      </c>
      <c r="D14" s="187" t="s">
        <v>310</v>
      </c>
      <c r="E14" s="188" t="s">
        <v>311</v>
      </c>
      <c r="F14" s="189"/>
      <c r="G14" s="190"/>
      <c r="H14" s="190"/>
      <c r="I14" s="190"/>
      <c r="J14" s="191"/>
      <c r="K14" s="192" t="s">
        <v>289</v>
      </c>
      <c r="O14" s="193" t="s">
        <v>277</v>
      </c>
      <c r="P14" s="193" t="s">
        <v>278</v>
      </c>
      <c r="Q14" s="193" t="s">
        <v>279</v>
      </c>
      <c r="R14" s="193" t="s">
        <v>280</v>
      </c>
      <c r="S14" s="193" t="s">
        <v>281</v>
      </c>
      <c r="T14" s="193" t="s">
        <v>282</v>
      </c>
      <c r="U14" s="193" t="s">
        <v>283</v>
      </c>
      <c r="V14" s="193" t="s">
        <v>284</v>
      </c>
      <c r="W14" s="193" t="s">
        <v>285</v>
      </c>
      <c r="X14" s="193" t="s">
        <v>286</v>
      </c>
      <c r="Y14" s="193" t="s">
        <v>287</v>
      </c>
      <c r="Z14" s="193" t="s">
        <v>288</v>
      </c>
    </row>
    <row r="15" spans="1:29" ht="40.5" x14ac:dyDescent="0.15">
      <c r="A15" s="168" t="s">
        <v>38</v>
      </c>
      <c r="B15" s="196" t="s">
        <v>314</v>
      </c>
      <c r="C15" s="168" t="s">
        <v>315</v>
      </c>
      <c r="D15" s="168" t="s">
        <v>316</v>
      </c>
      <c r="E15" s="199" t="s">
        <v>317</v>
      </c>
      <c r="F15" s="197"/>
      <c r="G15" s="197"/>
      <c r="H15" s="197"/>
      <c r="I15" s="197"/>
      <c r="J15" s="197"/>
      <c r="K15" s="168" t="s">
        <v>318</v>
      </c>
      <c r="O15" s="194">
        <f t="shared" ref="O15:Z27" si="1">IF($D15=O$14,1,0)</f>
        <v>1</v>
      </c>
      <c r="P15" s="194">
        <f t="shared" si="1"/>
        <v>0</v>
      </c>
      <c r="Q15" s="194">
        <f t="shared" si="1"/>
        <v>0</v>
      </c>
      <c r="R15" s="194">
        <f t="shared" si="1"/>
        <v>0</v>
      </c>
      <c r="S15" s="194">
        <f t="shared" si="1"/>
        <v>0</v>
      </c>
      <c r="T15" s="194">
        <f t="shared" si="1"/>
        <v>0</v>
      </c>
      <c r="U15" s="194">
        <f t="shared" si="1"/>
        <v>0</v>
      </c>
      <c r="V15" s="194">
        <f t="shared" si="1"/>
        <v>0</v>
      </c>
      <c r="W15" s="194">
        <f t="shared" si="1"/>
        <v>0</v>
      </c>
      <c r="X15" s="194">
        <f t="shared" si="1"/>
        <v>0</v>
      </c>
      <c r="Y15" s="194">
        <f t="shared" si="1"/>
        <v>0</v>
      </c>
      <c r="Z15" s="194">
        <f t="shared" si="1"/>
        <v>0</v>
      </c>
      <c r="AA15" s="195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9" ht="40.5" x14ac:dyDescent="0.15">
      <c r="A16" s="168" t="s">
        <v>38</v>
      </c>
      <c r="B16" s="196" t="s">
        <v>319</v>
      </c>
      <c r="C16" s="168" t="s">
        <v>315</v>
      </c>
      <c r="D16" s="168" t="s">
        <v>320</v>
      </c>
      <c r="E16" s="199" t="s">
        <v>321</v>
      </c>
      <c r="F16" s="197"/>
      <c r="G16" s="197"/>
      <c r="H16" s="197"/>
      <c r="I16" s="197"/>
      <c r="J16" s="197"/>
      <c r="K16" s="168" t="s">
        <v>318</v>
      </c>
      <c r="O16" s="194">
        <f t="shared" si="1"/>
        <v>0</v>
      </c>
      <c r="P16" s="194">
        <f t="shared" si="1"/>
        <v>1</v>
      </c>
      <c r="Q16" s="194">
        <f t="shared" si="1"/>
        <v>0</v>
      </c>
      <c r="R16" s="194">
        <f t="shared" si="1"/>
        <v>0</v>
      </c>
      <c r="S16" s="194">
        <f t="shared" si="1"/>
        <v>0</v>
      </c>
      <c r="T16" s="194">
        <f t="shared" si="1"/>
        <v>0</v>
      </c>
      <c r="U16" s="194">
        <f t="shared" si="1"/>
        <v>0</v>
      </c>
      <c r="V16" s="194">
        <f t="shared" si="1"/>
        <v>0</v>
      </c>
      <c r="W16" s="194">
        <f t="shared" si="1"/>
        <v>0</v>
      </c>
      <c r="X16" s="194">
        <f t="shared" si="1"/>
        <v>0</v>
      </c>
      <c r="Y16" s="194">
        <f t="shared" si="1"/>
        <v>0</v>
      </c>
      <c r="Z16" s="194">
        <f t="shared" si="1"/>
        <v>0</v>
      </c>
      <c r="AA16" s="195" t="str">
        <f>IF(E16&lt;&gt;"",E16,"")</f>
        <v>対応内容の例。
---
対応内容はデリミタ（---）の後に記入する。</v>
      </c>
    </row>
    <row r="17" spans="1:27" ht="67.5" x14ac:dyDescent="0.15">
      <c r="A17" s="168" t="s">
        <v>38</v>
      </c>
      <c r="B17" s="196" t="s">
        <v>322</v>
      </c>
      <c r="C17" s="168" t="s">
        <v>315</v>
      </c>
      <c r="D17" s="168" t="s">
        <v>323</v>
      </c>
      <c r="E17" s="199" t="s">
        <v>324</v>
      </c>
      <c r="F17" s="197"/>
      <c r="G17" s="197"/>
      <c r="H17" s="197"/>
      <c r="I17" s="197"/>
      <c r="J17" s="197"/>
      <c r="K17" s="168" t="s">
        <v>325</v>
      </c>
      <c r="O17" s="194">
        <f t="shared" si="1"/>
        <v>0</v>
      </c>
      <c r="P17" s="194">
        <f t="shared" si="1"/>
        <v>0</v>
      </c>
      <c r="Q17" s="194">
        <f t="shared" si="1"/>
        <v>1</v>
      </c>
      <c r="R17" s="194">
        <f t="shared" si="1"/>
        <v>0</v>
      </c>
      <c r="S17" s="194">
        <f t="shared" si="1"/>
        <v>0</v>
      </c>
      <c r="T17" s="194">
        <f t="shared" si="1"/>
        <v>0</v>
      </c>
      <c r="U17" s="194">
        <f t="shared" si="1"/>
        <v>0</v>
      </c>
      <c r="V17" s="194">
        <f t="shared" si="1"/>
        <v>0</v>
      </c>
      <c r="W17" s="194">
        <f t="shared" si="1"/>
        <v>0</v>
      </c>
      <c r="X17" s="194">
        <f t="shared" si="1"/>
        <v>0</v>
      </c>
      <c r="Y17" s="194">
        <f t="shared" si="1"/>
        <v>0</v>
      </c>
      <c r="Z17" s="194">
        <f t="shared" si="1"/>
        <v>0</v>
      </c>
      <c r="AA17" s="195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168" t="s">
        <v>38</v>
      </c>
      <c r="B18" s="196" t="s">
        <v>326</v>
      </c>
      <c r="C18" s="168" t="s">
        <v>315</v>
      </c>
      <c r="D18" s="168" t="s">
        <v>327</v>
      </c>
      <c r="E18" s="197" t="s">
        <v>328</v>
      </c>
      <c r="F18" s="197"/>
      <c r="G18" s="197"/>
      <c r="H18" s="197"/>
      <c r="I18" s="197"/>
      <c r="J18" s="197"/>
      <c r="K18" s="168" t="s">
        <v>318</v>
      </c>
      <c r="O18" s="194">
        <f t="shared" si="1"/>
        <v>0</v>
      </c>
      <c r="P18" s="194">
        <f t="shared" si="1"/>
        <v>0</v>
      </c>
      <c r="Q18" s="194">
        <f t="shared" si="1"/>
        <v>0</v>
      </c>
      <c r="R18" s="194">
        <f t="shared" si="1"/>
        <v>1</v>
      </c>
      <c r="S18" s="194">
        <f t="shared" si="1"/>
        <v>0</v>
      </c>
      <c r="T18" s="194">
        <f t="shared" si="1"/>
        <v>0</v>
      </c>
      <c r="U18" s="194">
        <f t="shared" si="1"/>
        <v>0</v>
      </c>
      <c r="V18" s="194">
        <f t="shared" si="1"/>
        <v>0</v>
      </c>
      <c r="W18" s="194">
        <f t="shared" si="1"/>
        <v>0</v>
      </c>
      <c r="X18" s="194">
        <f t="shared" si="1"/>
        <v>0</v>
      </c>
      <c r="Y18" s="194">
        <f t="shared" si="1"/>
        <v>0</v>
      </c>
      <c r="Z18" s="194">
        <f t="shared" si="1"/>
        <v>0</v>
      </c>
      <c r="AA18" s="195" t="str">
        <f>IF(E18&lt;&gt;"",E18,"")</f>
        <v>機能・仕様誤りの指摘例（カテゴリd）。</v>
      </c>
    </row>
    <row r="19" spans="1:27" x14ac:dyDescent="0.15">
      <c r="A19" s="168" t="s">
        <v>38</v>
      </c>
      <c r="B19" s="196" t="s">
        <v>329</v>
      </c>
      <c r="C19" s="168" t="s">
        <v>315</v>
      </c>
      <c r="D19" s="168" t="s">
        <v>330</v>
      </c>
      <c r="E19" s="197" t="s">
        <v>331</v>
      </c>
      <c r="F19" s="197"/>
      <c r="G19" s="197"/>
      <c r="H19" s="197"/>
      <c r="I19" s="197"/>
      <c r="J19" s="197"/>
      <c r="K19" s="168" t="s">
        <v>318</v>
      </c>
      <c r="O19" s="194">
        <f t="shared" si="1"/>
        <v>0</v>
      </c>
      <c r="P19" s="194">
        <f t="shared" si="1"/>
        <v>0</v>
      </c>
      <c r="Q19" s="194">
        <f t="shared" si="1"/>
        <v>0</v>
      </c>
      <c r="R19" s="194">
        <f t="shared" si="1"/>
        <v>0</v>
      </c>
      <c r="S19" s="194">
        <f t="shared" si="1"/>
        <v>1</v>
      </c>
      <c r="T19" s="194">
        <f t="shared" si="1"/>
        <v>0</v>
      </c>
      <c r="U19" s="194">
        <f t="shared" si="1"/>
        <v>0</v>
      </c>
      <c r="V19" s="194">
        <f t="shared" si="1"/>
        <v>0</v>
      </c>
      <c r="W19" s="194">
        <f t="shared" si="1"/>
        <v>0</v>
      </c>
      <c r="X19" s="194">
        <f t="shared" si="1"/>
        <v>0</v>
      </c>
      <c r="Y19" s="194">
        <f t="shared" si="1"/>
        <v>0</v>
      </c>
      <c r="Z19" s="194">
        <f t="shared" si="1"/>
        <v>0</v>
      </c>
      <c r="AA19" s="195" t="str">
        <f>IF(E19&lt;&gt;"",E19,"")</f>
        <v>設計・ドキュメント規約違反の指摘例（カテゴリe）。</v>
      </c>
    </row>
    <row r="20" spans="1:27" x14ac:dyDescent="0.15">
      <c r="A20" s="168" t="s">
        <v>38</v>
      </c>
      <c r="B20" s="196" t="s">
        <v>332</v>
      </c>
      <c r="C20" s="168" t="s">
        <v>315</v>
      </c>
      <c r="D20" s="168" t="s">
        <v>333</v>
      </c>
      <c r="E20" s="197" t="s">
        <v>334</v>
      </c>
      <c r="F20" s="197"/>
      <c r="G20" s="197"/>
      <c r="H20" s="197"/>
      <c r="I20" s="197"/>
      <c r="J20" s="197"/>
      <c r="K20" s="168" t="s">
        <v>318</v>
      </c>
      <c r="O20" s="194">
        <f t="shared" si="1"/>
        <v>0</v>
      </c>
      <c r="P20" s="194">
        <f t="shared" si="1"/>
        <v>0</v>
      </c>
      <c r="Q20" s="194">
        <f t="shared" si="1"/>
        <v>0</v>
      </c>
      <c r="R20" s="194">
        <f t="shared" si="1"/>
        <v>0</v>
      </c>
      <c r="S20" s="194">
        <f t="shared" si="1"/>
        <v>0</v>
      </c>
      <c r="T20" s="194">
        <f t="shared" si="1"/>
        <v>1</v>
      </c>
      <c r="U20" s="194">
        <f t="shared" si="1"/>
        <v>0</v>
      </c>
      <c r="V20" s="194">
        <f t="shared" si="1"/>
        <v>0</v>
      </c>
      <c r="W20" s="194">
        <f t="shared" si="1"/>
        <v>0</v>
      </c>
      <c r="X20" s="194">
        <f t="shared" si="1"/>
        <v>0</v>
      </c>
      <c r="Y20" s="194">
        <f t="shared" si="1"/>
        <v>0</v>
      </c>
      <c r="Z20" s="194">
        <f t="shared" si="1"/>
        <v>0</v>
      </c>
      <c r="AA20" s="195" t="str">
        <f>IF(E20&lt;&gt;"",E20,"")</f>
        <v>記述誤りの指摘例（カテゴリf）。</v>
      </c>
    </row>
    <row r="21" spans="1:27" x14ac:dyDescent="0.15">
      <c r="A21" s="168" t="s">
        <v>38</v>
      </c>
      <c r="B21" s="196" t="s">
        <v>335</v>
      </c>
      <c r="C21" s="168" t="s">
        <v>315</v>
      </c>
      <c r="D21" s="168" t="s">
        <v>336</v>
      </c>
      <c r="E21" s="197" t="s">
        <v>337</v>
      </c>
      <c r="F21" s="197"/>
      <c r="G21" s="197"/>
      <c r="H21" s="197"/>
      <c r="I21" s="197"/>
      <c r="J21" s="197"/>
      <c r="K21" s="168" t="s">
        <v>318</v>
      </c>
      <c r="O21" s="194">
        <f t="shared" si="1"/>
        <v>0</v>
      </c>
      <c r="P21" s="194">
        <f t="shared" si="1"/>
        <v>0</v>
      </c>
      <c r="Q21" s="194">
        <f t="shared" si="1"/>
        <v>0</v>
      </c>
      <c r="R21" s="194">
        <f t="shared" si="1"/>
        <v>0</v>
      </c>
      <c r="S21" s="194">
        <f t="shared" si="1"/>
        <v>0</v>
      </c>
      <c r="T21" s="194">
        <f t="shared" si="1"/>
        <v>0</v>
      </c>
      <c r="U21" s="194">
        <f t="shared" si="1"/>
        <v>1</v>
      </c>
      <c r="V21" s="194">
        <f t="shared" si="1"/>
        <v>0</v>
      </c>
      <c r="W21" s="194">
        <f t="shared" si="1"/>
        <v>0</v>
      </c>
      <c r="X21" s="194">
        <f t="shared" si="1"/>
        <v>0</v>
      </c>
      <c r="Y21" s="194">
        <f t="shared" si="1"/>
        <v>0</v>
      </c>
      <c r="Z21" s="194">
        <f t="shared" si="1"/>
        <v>0</v>
      </c>
      <c r="AA21" s="195" t="str">
        <f>IF(E21&lt;&gt;"",E21,"")</f>
        <v>疑問点・確認の指摘例（カテゴリg）。</v>
      </c>
    </row>
    <row r="22" spans="1:27" x14ac:dyDescent="0.15">
      <c r="A22" s="168" t="s">
        <v>38</v>
      </c>
      <c r="B22" s="196" t="s">
        <v>338</v>
      </c>
      <c r="C22" s="168" t="s">
        <v>315</v>
      </c>
      <c r="D22" s="168" t="s">
        <v>339</v>
      </c>
      <c r="E22" s="197" t="s">
        <v>340</v>
      </c>
      <c r="F22" s="197"/>
      <c r="G22" s="197"/>
      <c r="H22" s="197"/>
      <c r="I22" s="197"/>
      <c r="J22" s="197"/>
      <c r="K22" s="168" t="s">
        <v>318</v>
      </c>
      <c r="O22" s="194">
        <f t="shared" si="1"/>
        <v>0</v>
      </c>
      <c r="P22" s="194">
        <f t="shared" si="1"/>
        <v>0</v>
      </c>
      <c r="Q22" s="194">
        <f t="shared" si="1"/>
        <v>0</v>
      </c>
      <c r="R22" s="194">
        <f t="shared" si="1"/>
        <v>0</v>
      </c>
      <c r="S22" s="194">
        <f t="shared" si="1"/>
        <v>0</v>
      </c>
      <c r="T22" s="194">
        <f t="shared" si="1"/>
        <v>0</v>
      </c>
      <c r="U22" s="194">
        <f t="shared" si="1"/>
        <v>0</v>
      </c>
      <c r="V22" s="194">
        <f t="shared" si="1"/>
        <v>1</v>
      </c>
      <c r="W22" s="194">
        <f t="shared" si="1"/>
        <v>0</v>
      </c>
      <c r="X22" s="194">
        <f t="shared" si="1"/>
        <v>0</v>
      </c>
      <c r="Y22" s="194">
        <f t="shared" si="1"/>
        <v>0</v>
      </c>
      <c r="Z22" s="194">
        <f t="shared" si="1"/>
        <v>0</v>
      </c>
      <c r="AA22" s="195" t="str">
        <f>IF(E22&lt;&gt;"",E22,"")</f>
        <v>改善要望の指摘例（カテゴリh）。</v>
      </c>
    </row>
    <row r="23" spans="1:27" x14ac:dyDescent="0.15">
      <c r="A23" s="168" t="s">
        <v>38</v>
      </c>
      <c r="B23" s="196" t="s">
        <v>341</v>
      </c>
      <c r="C23" s="168" t="s">
        <v>315</v>
      </c>
      <c r="D23" s="168" t="s">
        <v>342</v>
      </c>
      <c r="E23" s="197" t="s">
        <v>343</v>
      </c>
      <c r="F23" s="197"/>
      <c r="G23" s="197"/>
      <c r="H23" s="197"/>
      <c r="I23" s="197"/>
      <c r="J23" s="197"/>
      <c r="K23" s="168" t="s">
        <v>318</v>
      </c>
      <c r="O23" s="194">
        <f t="shared" si="1"/>
        <v>0</v>
      </c>
      <c r="P23" s="194">
        <f t="shared" si="1"/>
        <v>0</v>
      </c>
      <c r="Q23" s="194">
        <f t="shared" si="1"/>
        <v>0</v>
      </c>
      <c r="R23" s="194">
        <f t="shared" si="1"/>
        <v>0</v>
      </c>
      <c r="S23" s="194">
        <f t="shared" si="1"/>
        <v>0</v>
      </c>
      <c r="T23" s="194">
        <f t="shared" si="1"/>
        <v>0</v>
      </c>
      <c r="U23" s="194">
        <f t="shared" si="1"/>
        <v>0</v>
      </c>
      <c r="V23" s="194">
        <f t="shared" si="1"/>
        <v>0</v>
      </c>
      <c r="W23" s="194">
        <f t="shared" si="1"/>
        <v>1</v>
      </c>
      <c r="X23" s="194">
        <f t="shared" si="1"/>
        <v>0</v>
      </c>
      <c r="Y23" s="194">
        <f t="shared" si="1"/>
        <v>0</v>
      </c>
      <c r="Z23" s="194">
        <f t="shared" si="1"/>
        <v>0</v>
      </c>
      <c r="AA23" s="195" t="str">
        <f>IF(E23&lt;&gt;"",E23,"")</f>
        <v>仕様変更の指摘例（カテゴリi）。</v>
      </c>
    </row>
    <row r="24" spans="1:27" x14ac:dyDescent="0.15">
      <c r="A24" s="168" t="s">
        <v>38</v>
      </c>
      <c r="B24" s="196" t="s">
        <v>344</v>
      </c>
      <c r="C24" s="168" t="s">
        <v>315</v>
      </c>
      <c r="D24" s="168" t="s">
        <v>345</v>
      </c>
      <c r="E24" s="197" t="s">
        <v>346</v>
      </c>
      <c r="F24" s="197"/>
      <c r="G24" s="197"/>
      <c r="H24" s="197"/>
      <c r="I24" s="197"/>
      <c r="J24" s="197"/>
      <c r="K24" s="168" t="s">
        <v>318</v>
      </c>
      <c r="O24" s="194">
        <f t="shared" si="1"/>
        <v>0</v>
      </c>
      <c r="P24" s="194">
        <f t="shared" si="1"/>
        <v>0</v>
      </c>
      <c r="Q24" s="194">
        <f t="shared" si="1"/>
        <v>0</v>
      </c>
      <c r="R24" s="194">
        <f t="shared" si="1"/>
        <v>0</v>
      </c>
      <c r="S24" s="194">
        <f t="shared" si="1"/>
        <v>0</v>
      </c>
      <c r="T24" s="194">
        <f t="shared" si="1"/>
        <v>0</v>
      </c>
      <c r="U24" s="194">
        <f t="shared" si="1"/>
        <v>0</v>
      </c>
      <c r="V24" s="194">
        <f t="shared" si="1"/>
        <v>0</v>
      </c>
      <c r="W24" s="194">
        <f t="shared" si="1"/>
        <v>0</v>
      </c>
      <c r="X24" s="194">
        <f t="shared" si="1"/>
        <v>1</v>
      </c>
      <c r="Y24" s="194">
        <f t="shared" si="1"/>
        <v>0</v>
      </c>
      <c r="Z24" s="194">
        <f t="shared" si="1"/>
        <v>0</v>
      </c>
      <c r="AA24" s="195" t="str">
        <f>IF(E24&lt;&gt;"",E24,"")</f>
        <v>テスト項目漏れの指摘例（カテゴリj）。</v>
      </c>
    </row>
    <row r="25" spans="1:27" x14ac:dyDescent="0.15">
      <c r="A25" s="168" t="s">
        <v>38</v>
      </c>
      <c r="B25" s="196" t="s">
        <v>347</v>
      </c>
      <c r="C25" s="168" t="s">
        <v>315</v>
      </c>
      <c r="D25" s="168" t="s">
        <v>348</v>
      </c>
      <c r="E25" s="197" t="s">
        <v>349</v>
      </c>
      <c r="F25" s="197"/>
      <c r="G25" s="197"/>
      <c r="H25" s="197"/>
      <c r="I25" s="197"/>
      <c r="J25" s="197"/>
      <c r="K25" s="168" t="s">
        <v>318</v>
      </c>
      <c r="O25" s="194">
        <f t="shared" si="1"/>
        <v>0</v>
      </c>
      <c r="P25" s="194">
        <f t="shared" si="1"/>
        <v>0</v>
      </c>
      <c r="Q25" s="194">
        <f t="shared" si="1"/>
        <v>0</v>
      </c>
      <c r="R25" s="194">
        <f t="shared" si="1"/>
        <v>0</v>
      </c>
      <c r="S25" s="194">
        <f t="shared" si="1"/>
        <v>0</v>
      </c>
      <c r="T25" s="194">
        <f t="shared" si="1"/>
        <v>0</v>
      </c>
      <c r="U25" s="194">
        <f t="shared" si="1"/>
        <v>0</v>
      </c>
      <c r="V25" s="194">
        <f t="shared" si="1"/>
        <v>0</v>
      </c>
      <c r="W25" s="194">
        <f t="shared" si="1"/>
        <v>0</v>
      </c>
      <c r="X25" s="194">
        <f t="shared" si="1"/>
        <v>0</v>
      </c>
      <c r="Y25" s="194">
        <f t="shared" si="1"/>
        <v>1</v>
      </c>
      <c r="Z25" s="194">
        <f t="shared" si="1"/>
        <v>0</v>
      </c>
      <c r="AA25" s="195" t="str">
        <f>IF(E25&lt;&gt;"",E25,"")</f>
        <v>テスト漏れの指摘例（カテゴリk）。</v>
      </c>
    </row>
    <row r="26" spans="1:27" x14ac:dyDescent="0.15">
      <c r="A26" s="168" t="s">
        <v>38</v>
      </c>
      <c r="B26" s="196" t="s">
        <v>350</v>
      </c>
      <c r="C26" s="168" t="s">
        <v>315</v>
      </c>
      <c r="D26" s="168" t="s">
        <v>351</v>
      </c>
      <c r="E26" s="197" t="s">
        <v>352</v>
      </c>
      <c r="F26" s="197"/>
      <c r="G26" s="197"/>
      <c r="H26" s="197"/>
      <c r="I26" s="197"/>
      <c r="J26" s="197"/>
      <c r="K26" s="168" t="s">
        <v>318</v>
      </c>
      <c r="O26" s="194">
        <f t="shared" si="1"/>
        <v>0</v>
      </c>
      <c r="P26" s="194">
        <f t="shared" si="1"/>
        <v>0</v>
      </c>
      <c r="Q26" s="194">
        <f t="shared" si="1"/>
        <v>0</v>
      </c>
      <c r="R26" s="194">
        <f t="shared" si="1"/>
        <v>0</v>
      </c>
      <c r="S26" s="194">
        <f t="shared" si="1"/>
        <v>0</v>
      </c>
      <c r="T26" s="194">
        <f t="shared" si="1"/>
        <v>0</v>
      </c>
      <c r="U26" s="194">
        <f t="shared" si="1"/>
        <v>0</v>
      </c>
      <c r="V26" s="194">
        <f t="shared" si="1"/>
        <v>0</v>
      </c>
      <c r="W26" s="194">
        <f t="shared" si="1"/>
        <v>0</v>
      </c>
      <c r="X26" s="194">
        <f t="shared" si="1"/>
        <v>0</v>
      </c>
      <c r="Y26" s="194">
        <f t="shared" si="1"/>
        <v>0</v>
      </c>
      <c r="Z26" s="194">
        <f t="shared" si="1"/>
        <v>1</v>
      </c>
      <c r="AA26" s="195" t="str">
        <f>IF(E26&lt;&gt;"",E26,"")</f>
        <v>その他の指摘例（カテゴリl）。</v>
      </c>
    </row>
    <row r="27" spans="1:27" x14ac:dyDescent="0.15">
      <c r="A27" s="168"/>
      <c r="B27" s="168"/>
      <c r="C27" s="168"/>
      <c r="D27" s="168"/>
      <c r="E27" s="197"/>
      <c r="F27" s="197"/>
      <c r="G27" s="197"/>
      <c r="H27" s="197"/>
      <c r="I27" s="197"/>
      <c r="J27" s="197"/>
      <c r="K27" s="168"/>
      <c r="O27" s="194">
        <f t="shared" si="1"/>
        <v>0</v>
      </c>
      <c r="P27" s="194">
        <f t="shared" si="1"/>
        <v>0</v>
      </c>
      <c r="Q27" s="194">
        <f t="shared" si="1"/>
        <v>0</v>
      </c>
      <c r="R27" s="194">
        <f t="shared" si="1"/>
        <v>0</v>
      </c>
      <c r="S27" s="194">
        <f t="shared" si="1"/>
        <v>0</v>
      </c>
      <c r="T27" s="194">
        <f t="shared" si="1"/>
        <v>0</v>
      </c>
      <c r="U27" s="194">
        <f t="shared" si="1"/>
        <v>0</v>
      </c>
      <c r="V27" s="194">
        <f t="shared" si="1"/>
        <v>0</v>
      </c>
      <c r="W27" s="194">
        <f t="shared" si="1"/>
        <v>0</v>
      </c>
      <c r="X27" s="194">
        <f t="shared" si="1"/>
        <v>0</v>
      </c>
      <c r="Y27" s="194">
        <f t="shared" si="1"/>
        <v>0</v>
      </c>
      <c r="Z27" s="194">
        <f t="shared" si="1"/>
        <v>0</v>
      </c>
      <c r="AA27" s="195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C5CDC880-C161-4113-99CC-1F268466C894}">
      <formula1>"未,済"</formula1>
    </dataValidation>
  </dataValidations>
  <hyperlinks>
    <hyperlink ref="B15" location="'2. WA1020101(プロジェクト登録画面)'!$B$5" display="'2. WA1020101(プロジェクト登録画面)'!$B$5" xr:uid="{C2C11429-91D3-4BD3-ACE3-39C11807A06A}"/>
    <hyperlink ref="B16" location="'2. WA1020101(プロジェクト登録画面)'!$E$60" display="'2. WA1020101(プロジェクト登録画面)'!$E$60" xr:uid="{1C1D5816-15F0-45AB-96C1-ABF3EE8A4FA0}"/>
    <hyperlink ref="B17" location="'2. WA1020101(プロジェクト登録画面)'!$E$62" display="'2. WA1020101(プロジェクト登録画面)'!$E$62" xr:uid="{EA8D6837-83E1-48B2-845D-13F06405A8CE}"/>
    <hyperlink ref="B18" location="'2. WA1020101(プロジェクト登録画面)'!$E$63" display="'2. WA1020101(プロジェクト登録画面)'!$E$63" xr:uid="{3B5B0295-A5F6-48DB-9D15-F3D2460019B3}"/>
    <hyperlink ref="B19" location="'2. WA1020101(プロジェクト登録画面)'!$E$64" display="'2. WA1020101(プロジェクト登録画面)'!$E$64" xr:uid="{D70CE344-A24F-4FC7-B14E-1C92E13E54D9}"/>
    <hyperlink ref="B20" location="'2. WA1020101(プロジェクト登録画面)'!$E$65" display="'2. WA1020101(プロジェクト登録画面)'!$E$65" xr:uid="{9E1305C7-0393-4DF2-A3DB-51099AA0F27B}"/>
    <hyperlink ref="B21" location="'2. WA1020101(プロジェクト登録画面)'!$E$66" display="'2. WA1020101(プロジェクト登録画面)'!$E$66" xr:uid="{EC31878A-28AC-4953-8DCD-F0A167B68394}"/>
    <hyperlink ref="B22" location="'2. WA1020101(プロジェクト登録画面)'!$E$67" display="'2. WA1020101(プロジェクト登録画面)'!$E$67" xr:uid="{26D9B538-3B65-48C8-9C69-6C88E4EBB10A}"/>
    <hyperlink ref="B23" location="'2. WA1020101(プロジェクト登録画面)'!$E$68" display="'2. WA1020101(プロジェクト登録画面)'!$E$68" xr:uid="{03C2BC59-8193-43A7-8928-F58E0F9814C0}"/>
    <hyperlink ref="B24" location="'2. WA1020101(プロジェクト登録画面)'!$E$69" display="'2. WA1020101(プロジェクト登録画面)'!$E$69" xr:uid="{3A938406-3CED-4405-A55D-79BF4715E97D}"/>
    <hyperlink ref="B25" location="'2. WA1020101(プロジェクト登録画面)'!$E$70" display="'2. WA1020101(プロジェクト登録画面)'!$E$70" xr:uid="{0201DDE2-5FC2-4458-9415-9F36335FB0E6}"/>
    <hyperlink ref="B26" location="'2. WA1020101(プロジェクト登録画面)'!$E$71" display="'2. WA1020101(プロジェクト登録画面)'!$E$71" xr:uid="{C6F87927-8C01-4F9B-AF98-9880850EB967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200">
        <f ca="1">IF(INDIRECT("変更履歴!D8")="","",MAX(INDIRECT("変更履歴!D8"):INDIRECT("変更履歴!F33")))</f>
        <v>44908</v>
      </c>
      <c r="J25" s="201"/>
      <c r="K25" s="201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206" t="s">
        <v>1</v>
      </c>
      <c r="B1" s="203"/>
      <c r="C1" s="203"/>
      <c r="D1" s="204"/>
      <c r="E1" s="211" t="s">
        <v>2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4" t="s">
        <v>4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>IF(AF8="","",AF8)</f>
        <v>TIS</v>
      </c>
      <c r="AD1" s="203"/>
      <c r="AE1" s="203"/>
      <c r="AF1" s="204"/>
      <c r="AG1" s="219">
        <f>IF(D8="","",D8)</f>
        <v>43598</v>
      </c>
      <c r="AH1" s="203"/>
      <c r="AI1" s="204"/>
      <c r="AJ1" s="9"/>
      <c r="AK1" s="9"/>
      <c r="AL1" s="9"/>
      <c r="AM1" s="9"/>
      <c r="AN1" s="10"/>
    </row>
    <row r="2" spans="1:40" s="11" customFormat="1" x14ac:dyDescent="0.15">
      <c r="A2" s="206" t="s">
        <v>6</v>
      </c>
      <c r="B2" s="203"/>
      <c r="C2" s="203"/>
      <c r="D2" s="204"/>
      <c r="E2" s="211" t="s">
        <v>7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2" t="str">
        <f ca="1">IF(COUNTA(AF9:AF33)&lt;&gt;0,INDIRECT("AF"&amp;(COUNTA(AF9:AF33)+8)),"")</f>
        <v>TIS</v>
      </c>
      <c r="AD2" s="203"/>
      <c r="AE2" s="203"/>
      <c r="AF2" s="204"/>
      <c r="AG2" s="219">
        <f>IF(D9="","",MAX(D9:F33))</f>
        <v>44908</v>
      </c>
      <c r="AH2" s="203"/>
      <c r="AI2" s="204"/>
      <c r="AJ2" s="9"/>
      <c r="AK2" s="9"/>
      <c r="AL2" s="9"/>
      <c r="AM2" s="9"/>
      <c r="AN2" s="9"/>
    </row>
    <row r="3" spans="1:40" s="11" customFormat="1" x14ac:dyDescent="0.15">
      <c r="A3" s="206" t="s">
        <v>9</v>
      </c>
      <c r="B3" s="203"/>
      <c r="C3" s="203"/>
      <c r="D3" s="204"/>
      <c r="E3" s="211" t="s">
        <v>10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13"/>
      <c r="AB3" s="204"/>
      <c r="AC3" s="214"/>
      <c r="AD3" s="203"/>
      <c r="AE3" s="203"/>
      <c r="AF3" s="204"/>
      <c r="AG3" s="219"/>
      <c r="AH3" s="203"/>
      <c r="AI3" s="204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215" t="s">
        <v>14</v>
      </c>
      <c r="C7" s="217"/>
      <c r="D7" s="215" t="s">
        <v>15</v>
      </c>
      <c r="E7" s="216"/>
      <c r="F7" s="217"/>
      <c r="G7" s="215" t="s">
        <v>16</v>
      </c>
      <c r="H7" s="216"/>
      <c r="I7" s="217"/>
      <c r="J7" s="215" t="s">
        <v>17</v>
      </c>
      <c r="K7" s="216"/>
      <c r="L7" s="216"/>
      <c r="M7" s="216"/>
      <c r="N7" s="216"/>
      <c r="O7" s="216"/>
      <c r="P7" s="217"/>
      <c r="Q7" s="215" t="s">
        <v>18</v>
      </c>
      <c r="R7" s="216"/>
      <c r="S7" s="216"/>
      <c r="T7" s="216"/>
      <c r="U7" s="216"/>
      <c r="V7" s="216"/>
      <c r="W7" s="216"/>
      <c r="X7" s="216"/>
      <c r="Y7" s="216"/>
      <c r="Z7" s="216"/>
      <c r="AA7" s="216"/>
      <c r="AB7" s="216"/>
      <c r="AC7" s="216"/>
      <c r="AD7" s="216"/>
      <c r="AE7" s="217"/>
      <c r="AF7" s="215" t="s">
        <v>19</v>
      </c>
      <c r="AG7" s="216"/>
      <c r="AH7" s="216"/>
      <c r="AI7" s="217"/>
    </row>
    <row r="8" spans="1:40" s="39" customFormat="1" ht="15" customHeight="1" thickTop="1" x14ac:dyDescent="0.15">
      <c r="A8" s="40">
        <v>1</v>
      </c>
      <c r="B8" s="220" t="s">
        <v>20</v>
      </c>
      <c r="C8" s="210"/>
      <c r="D8" s="223">
        <v>43598</v>
      </c>
      <c r="E8" s="209"/>
      <c r="F8" s="210"/>
      <c r="G8" s="220" t="s">
        <v>21</v>
      </c>
      <c r="H8" s="209"/>
      <c r="I8" s="210"/>
      <c r="J8" s="208" t="s">
        <v>22</v>
      </c>
      <c r="K8" s="209"/>
      <c r="L8" s="209"/>
      <c r="M8" s="209"/>
      <c r="N8" s="209"/>
      <c r="O8" s="209"/>
      <c r="P8" s="210"/>
      <c r="Q8" s="233" t="s">
        <v>23</v>
      </c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10"/>
      <c r="AF8" s="218" t="s">
        <v>24</v>
      </c>
      <c r="AG8" s="209"/>
      <c r="AH8" s="209"/>
      <c r="AI8" s="210"/>
    </row>
    <row r="9" spans="1:40" s="39" customFormat="1" ht="15" customHeight="1" x14ac:dyDescent="0.15">
      <c r="A9" s="41">
        <v>2</v>
      </c>
      <c r="B9" s="207" t="s">
        <v>25</v>
      </c>
      <c r="C9" s="204"/>
      <c r="D9" s="212">
        <v>44701</v>
      </c>
      <c r="E9" s="203"/>
      <c r="F9" s="204"/>
      <c r="G9" s="207" t="s">
        <v>8</v>
      </c>
      <c r="H9" s="203"/>
      <c r="I9" s="204"/>
      <c r="J9" s="205" t="s">
        <v>26</v>
      </c>
      <c r="K9" s="203"/>
      <c r="L9" s="203"/>
      <c r="M9" s="203"/>
      <c r="N9" s="203"/>
      <c r="O9" s="203"/>
      <c r="P9" s="204"/>
      <c r="Q9" s="202" t="s">
        <v>27</v>
      </c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4"/>
      <c r="AF9" s="205" t="s">
        <v>24</v>
      </c>
      <c r="AG9" s="203"/>
      <c r="AH9" s="203"/>
      <c r="AI9" s="204"/>
    </row>
    <row r="10" spans="1:40" s="39" customFormat="1" ht="15" customHeight="1" x14ac:dyDescent="0.15">
      <c r="A10" s="41"/>
      <c r="B10" s="207"/>
      <c r="C10" s="204"/>
      <c r="D10" s="212"/>
      <c r="E10" s="203"/>
      <c r="F10" s="204"/>
      <c r="G10" s="207"/>
      <c r="H10" s="203"/>
      <c r="I10" s="204"/>
      <c r="J10" s="205" t="s">
        <v>28</v>
      </c>
      <c r="K10" s="203"/>
      <c r="L10" s="203"/>
      <c r="M10" s="203"/>
      <c r="N10" s="203"/>
      <c r="O10" s="203"/>
      <c r="P10" s="204"/>
      <c r="Q10" s="202" t="s">
        <v>29</v>
      </c>
      <c r="R10" s="203"/>
      <c r="S10" s="203"/>
      <c r="T10" s="203"/>
      <c r="U10" s="203"/>
      <c r="V10" s="203"/>
      <c r="W10" s="203"/>
      <c r="X10" s="203"/>
      <c r="Y10" s="203"/>
      <c r="Z10" s="203"/>
      <c r="AA10" s="203"/>
      <c r="AB10" s="203"/>
      <c r="AC10" s="203"/>
      <c r="AD10" s="203"/>
      <c r="AE10" s="204"/>
      <c r="AF10" s="205" t="s">
        <v>24</v>
      </c>
      <c r="AG10" s="203"/>
      <c r="AH10" s="203"/>
      <c r="AI10" s="204"/>
    </row>
    <row r="11" spans="1:40" s="39" customFormat="1" ht="15" customHeight="1" x14ac:dyDescent="0.15">
      <c r="A11" s="41">
        <v>3</v>
      </c>
      <c r="B11" s="207" t="s">
        <v>30</v>
      </c>
      <c r="C11" s="204"/>
      <c r="D11" s="212">
        <v>44907</v>
      </c>
      <c r="E11" s="203"/>
      <c r="F11" s="204"/>
      <c r="G11" s="207" t="s">
        <v>8</v>
      </c>
      <c r="H11" s="203"/>
      <c r="I11" s="204"/>
      <c r="J11" s="205" t="s">
        <v>31</v>
      </c>
      <c r="K11" s="203"/>
      <c r="L11" s="203"/>
      <c r="M11" s="203"/>
      <c r="N11" s="203"/>
      <c r="O11" s="203"/>
      <c r="P11" s="204"/>
      <c r="Q11" s="202" t="s">
        <v>32</v>
      </c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4"/>
      <c r="AF11" s="205" t="s">
        <v>24</v>
      </c>
      <c r="AG11" s="203"/>
      <c r="AH11" s="203"/>
      <c r="AI11" s="204"/>
    </row>
    <row r="12" spans="1:40" s="39" customFormat="1" ht="15" customHeight="1" x14ac:dyDescent="0.15">
      <c r="A12" s="41">
        <v>4</v>
      </c>
      <c r="B12" s="207" t="s">
        <v>30</v>
      </c>
      <c r="C12" s="204"/>
      <c r="D12" s="212">
        <v>44908</v>
      </c>
      <c r="E12" s="203"/>
      <c r="F12" s="204"/>
      <c r="G12" s="207" t="s">
        <v>8</v>
      </c>
      <c r="H12" s="203"/>
      <c r="I12" s="204"/>
      <c r="J12" s="205" t="s">
        <v>33</v>
      </c>
      <c r="K12" s="203"/>
      <c r="L12" s="203"/>
      <c r="M12" s="203"/>
      <c r="N12" s="203"/>
      <c r="O12" s="203"/>
      <c r="P12" s="204"/>
      <c r="Q12" s="202" t="s">
        <v>34</v>
      </c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  <c r="AD12" s="203"/>
      <c r="AE12" s="204"/>
      <c r="AF12" s="205" t="s">
        <v>24</v>
      </c>
      <c r="AG12" s="203"/>
      <c r="AH12" s="203"/>
      <c r="AI12" s="204"/>
    </row>
    <row r="13" spans="1:40" s="39" customFormat="1" ht="15" customHeight="1" x14ac:dyDescent="0.15">
      <c r="A13" s="41"/>
      <c r="B13" s="207"/>
      <c r="C13" s="204"/>
      <c r="D13" s="212"/>
      <c r="E13" s="203"/>
      <c r="F13" s="204"/>
      <c r="G13" s="207"/>
      <c r="H13" s="203"/>
      <c r="I13" s="204"/>
      <c r="J13" s="205"/>
      <c r="K13" s="203"/>
      <c r="L13" s="203"/>
      <c r="M13" s="203"/>
      <c r="N13" s="203"/>
      <c r="O13" s="203"/>
      <c r="P13" s="204"/>
      <c r="Q13" s="202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4"/>
      <c r="AF13" s="205"/>
      <c r="AG13" s="203"/>
      <c r="AH13" s="203"/>
      <c r="AI13" s="204"/>
    </row>
    <row r="14" spans="1:40" s="39" customFormat="1" ht="15" customHeight="1" x14ac:dyDescent="0.15">
      <c r="A14" s="41"/>
      <c r="B14" s="207"/>
      <c r="C14" s="204"/>
      <c r="D14" s="212"/>
      <c r="E14" s="203"/>
      <c r="F14" s="204"/>
      <c r="G14" s="207"/>
      <c r="H14" s="203"/>
      <c r="I14" s="204"/>
      <c r="J14" s="205"/>
      <c r="K14" s="203"/>
      <c r="L14" s="203"/>
      <c r="M14" s="203"/>
      <c r="N14" s="203"/>
      <c r="O14" s="203"/>
      <c r="P14" s="204"/>
      <c r="Q14" s="202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  <c r="AD14" s="203"/>
      <c r="AE14" s="204"/>
      <c r="AF14" s="205"/>
      <c r="AG14" s="203"/>
      <c r="AH14" s="203"/>
      <c r="AI14" s="204"/>
    </row>
    <row r="15" spans="1:40" s="39" customFormat="1" ht="15" customHeight="1" x14ac:dyDescent="0.15">
      <c r="A15" s="41"/>
      <c r="B15" s="207"/>
      <c r="C15" s="204"/>
      <c r="D15" s="212"/>
      <c r="E15" s="203"/>
      <c r="F15" s="204"/>
      <c r="G15" s="207"/>
      <c r="H15" s="203"/>
      <c r="I15" s="204"/>
      <c r="J15" s="205"/>
      <c r="K15" s="203"/>
      <c r="L15" s="203"/>
      <c r="M15" s="203"/>
      <c r="N15" s="203"/>
      <c r="O15" s="203"/>
      <c r="P15" s="204"/>
      <c r="Q15" s="202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4"/>
      <c r="AF15" s="205"/>
      <c r="AG15" s="203"/>
      <c r="AH15" s="203"/>
      <c r="AI15" s="204"/>
    </row>
    <row r="16" spans="1:40" s="39" customFormat="1" ht="15" customHeight="1" x14ac:dyDescent="0.15">
      <c r="A16" s="41"/>
      <c r="B16" s="207"/>
      <c r="C16" s="204"/>
      <c r="D16" s="212"/>
      <c r="E16" s="203"/>
      <c r="F16" s="204"/>
      <c r="G16" s="207"/>
      <c r="H16" s="203"/>
      <c r="I16" s="204"/>
      <c r="J16" s="205"/>
      <c r="K16" s="203"/>
      <c r="L16" s="203"/>
      <c r="M16" s="203"/>
      <c r="N16" s="203"/>
      <c r="O16" s="203"/>
      <c r="P16" s="204"/>
      <c r="Q16" s="202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4"/>
      <c r="AF16" s="205"/>
      <c r="AG16" s="203"/>
      <c r="AH16" s="203"/>
      <c r="AI16" s="204"/>
    </row>
    <row r="17" spans="1:35" s="39" customFormat="1" ht="15" customHeight="1" x14ac:dyDescent="0.15">
      <c r="A17" s="41"/>
      <c r="B17" s="207"/>
      <c r="C17" s="204"/>
      <c r="D17" s="212"/>
      <c r="E17" s="203"/>
      <c r="F17" s="204"/>
      <c r="G17" s="207"/>
      <c r="H17" s="203"/>
      <c r="I17" s="204"/>
      <c r="J17" s="205"/>
      <c r="K17" s="203"/>
      <c r="L17" s="203"/>
      <c r="M17" s="203"/>
      <c r="N17" s="203"/>
      <c r="O17" s="203"/>
      <c r="P17" s="204"/>
      <c r="Q17" s="202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4"/>
      <c r="AF17" s="205"/>
      <c r="AG17" s="203"/>
      <c r="AH17" s="203"/>
      <c r="AI17" s="204"/>
    </row>
    <row r="18" spans="1:35" s="39" customFormat="1" ht="15" customHeight="1" x14ac:dyDescent="0.15">
      <c r="A18" s="41"/>
      <c r="B18" s="207"/>
      <c r="C18" s="204"/>
      <c r="D18" s="212"/>
      <c r="E18" s="203"/>
      <c r="F18" s="204"/>
      <c r="G18" s="207"/>
      <c r="H18" s="203"/>
      <c r="I18" s="204"/>
      <c r="J18" s="205"/>
      <c r="K18" s="203"/>
      <c r="L18" s="203"/>
      <c r="M18" s="203"/>
      <c r="N18" s="203"/>
      <c r="O18" s="203"/>
      <c r="P18" s="204"/>
      <c r="Q18" s="202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4"/>
      <c r="AF18" s="205"/>
      <c r="AG18" s="203"/>
      <c r="AH18" s="203"/>
      <c r="AI18" s="204"/>
    </row>
    <row r="19" spans="1:35" s="39" customFormat="1" ht="15" customHeight="1" x14ac:dyDescent="0.15">
      <c r="A19" s="41"/>
      <c r="B19" s="207"/>
      <c r="C19" s="204"/>
      <c r="D19" s="212"/>
      <c r="E19" s="203"/>
      <c r="F19" s="204"/>
      <c r="G19" s="207"/>
      <c r="H19" s="203"/>
      <c r="I19" s="204"/>
      <c r="J19" s="205"/>
      <c r="K19" s="203"/>
      <c r="L19" s="203"/>
      <c r="M19" s="203"/>
      <c r="N19" s="203"/>
      <c r="O19" s="203"/>
      <c r="P19" s="204"/>
      <c r="Q19" s="202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4"/>
      <c r="AF19" s="205"/>
      <c r="AG19" s="203"/>
      <c r="AH19" s="203"/>
      <c r="AI19" s="204"/>
    </row>
    <row r="20" spans="1:35" s="39" customFormat="1" ht="15" customHeight="1" x14ac:dyDescent="0.15">
      <c r="A20" s="41"/>
      <c r="B20" s="207"/>
      <c r="C20" s="204"/>
      <c r="D20" s="212"/>
      <c r="E20" s="203"/>
      <c r="F20" s="204"/>
      <c r="G20" s="207"/>
      <c r="H20" s="203"/>
      <c r="I20" s="204"/>
      <c r="J20" s="205"/>
      <c r="K20" s="203"/>
      <c r="L20" s="203"/>
      <c r="M20" s="203"/>
      <c r="N20" s="203"/>
      <c r="O20" s="203"/>
      <c r="P20" s="204"/>
      <c r="Q20" s="202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4"/>
      <c r="AF20" s="205"/>
      <c r="AG20" s="203"/>
      <c r="AH20" s="203"/>
      <c r="AI20" s="204"/>
    </row>
    <row r="21" spans="1:35" s="39" customFormat="1" ht="15" customHeight="1" x14ac:dyDescent="0.15">
      <c r="A21" s="41"/>
      <c r="B21" s="207"/>
      <c r="C21" s="204"/>
      <c r="D21" s="212"/>
      <c r="E21" s="203"/>
      <c r="F21" s="204"/>
      <c r="G21" s="207"/>
      <c r="H21" s="203"/>
      <c r="I21" s="204"/>
      <c r="J21" s="205"/>
      <c r="K21" s="203"/>
      <c r="L21" s="203"/>
      <c r="M21" s="203"/>
      <c r="N21" s="203"/>
      <c r="O21" s="203"/>
      <c r="P21" s="204"/>
      <c r="Q21" s="202"/>
      <c r="R21" s="203"/>
      <c r="S21" s="203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4"/>
      <c r="AF21" s="205"/>
      <c r="AG21" s="203"/>
      <c r="AH21" s="203"/>
      <c r="AI21" s="204"/>
    </row>
    <row r="22" spans="1:35" s="39" customFormat="1" ht="15" customHeight="1" x14ac:dyDescent="0.15">
      <c r="A22" s="41"/>
      <c r="B22" s="207"/>
      <c r="C22" s="204"/>
      <c r="D22" s="212"/>
      <c r="E22" s="203"/>
      <c r="F22" s="204"/>
      <c r="G22" s="207"/>
      <c r="H22" s="203"/>
      <c r="I22" s="204"/>
      <c r="J22" s="205"/>
      <c r="K22" s="203"/>
      <c r="L22" s="203"/>
      <c r="M22" s="203"/>
      <c r="N22" s="203"/>
      <c r="O22" s="203"/>
      <c r="P22" s="204"/>
      <c r="Q22" s="202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4"/>
      <c r="AF22" s="205"/>
      <c r="AG22" s="203"/>
      <c r="AH22" s="203"/>
      <c r="AI22" s="204"/>
    </row>
    <row r="23" spans="1:35" s="39" customFormat="1" ht="15" customHeight="1" x14ac:dyDescent="0.15">
      <c r="A23" s="41"/>
      <c r="B23" s="207"/>
      <c r="C23" s="204"/>
      <c r="D23" s="212"/>
      <c r="E23" s="203"/>
      <c r="F23" s="204"/>
      <c r="G23" s="207"/>
      <c r="H23" s="203"/>
      <c r="I23" s="204"/>
      <c r="J23" s="205"/>
      <c r="K23" s="203"/>
      <c r="L23" s="203"/>
      <c r="M23" s="203"/>
      <c r="N23" s="203"/>
      <c r="O23" s="203"/>
      <c r="P23" s="204"/>
      <c r="Q23" s="202"/>
      <c r="R23" s="203"/>
      <c r="S23" s="203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4"/>
      <c r="AF23" s="205"/>
      <c r="AG23" s="203"/>
      <c r="AH23" s="203"/>
      <c r="AI23" s="204"/>
    </row>
    <row r="24" spans="1:35" s="39" customFormat="1" ht="15" customHeight="1" x14ac:dyDescent="0.15">
      <c r="A24" s="41"/>
      <c r="B24" s="207"/>
      <c r="C24" s="204"/>
      <c r="D24" s="212"/>
      <c r="E24" s="203"/>
      <c r="F24" s="204"/>
      <c r="G24" s="207"/>
      <c r="H24" s="203"/>
      <c r="I24" s="204"/>
      <c r="J24" s="205"/>
      <c r="K24" s="203"/>
      <c r="L24" s="203"/>
      <c r="M24" s="203"/>
      <c r="N24" s="203"/>
      <c r="O24" s="203"/>
      <c r="P24" s="204"/>
      <c r="Q24" s="202"/>
      <c r="R24" s="203"/>
      <c r="S24" s="203"/>
      <c r="T24" s="203"/>
      <c r="U24" s="203"/>
      <c r="V24" s="203"/>
      <c r="W24" s="203"/>
      <c r="X24" s="203"/>
      <c r="Y24" s="203"/>
      <c r="Z24" s="203"/>
      <c r="AA24" s="203"/>
      <c r="AB24" s="203"/>
      <c r="AC24" s="203"/>
      <c r="AD24" s="203"/>
      <c r="AE24" s="204"/>
      <c r="AF24" s="205"/>
      <c r="AG24" s="203"/>
      <c r="AH24" s="203"/>
      <c r="AI24" s="204"/>
    </row>
    <row r="25" spans="1:35" s="39" customFormat="1" ht="15" customHeight="1" x14ac:dyDescent="0.15">
      <c r="A25" s="41"/>
      <c r="B25" s="207"/>
      <c r="C25" s="204"/>
      <c r="D25" s="212"/>
      <c r="E25" s="203"/>
      <c r="F25" s="204"/>
      <c r="G25" s="207"/>
      <c r="H25" s="203"/>
      <c r="I25" s="204"/>
      <c r="J25" s="205"/>
      <c r="K25" s="203"/>
      <c r="L25" s="203"/>
      <c r="M25" s="203"/>
      <c r="N25" s="203"/>
      <c r="O25" s="203"/>
      <c r="P25" s="204"/>
      <c r="Q25" s="202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4"/>
      <c r="AF25" s="205"/>
      <c r="AG25" s="203"/>
      <c r="AH25" s="203"/>
      <c r="AI25" s="204"/>
    </row>
    <row r="26" spans="1:35" s="39" customFormat="1" ht="15" customHeight="1" x14ac:dyDescent="0.15">
      <c r="A26" s="41"/>
      <c r="B26" s="207"/>
      <c r="C26" s="204"/>
      <c r="D26" s="212"/>
      <c r="E26" s="203"/>
      <c r="F26" s="204"/>
      <c r="G26" s="207"/>
      <c r="H26" s="203"/>
      <c r="I26" s="204"/>
      <c r="J26" s="205"/>
      <c r="K26" s="203"/>
      <c r="L26" s="203"/>
      <c r="M26" s="203"/>
      <c r="N26" s="203"/>
      <c r="O26" s="203"/>
      <c r="P26" s="204"/>
      <c r="Q26" s="202"/>
      <c r="R26" s="203"/>
      <c r="S26" s="203"/>
      <c r="T26" s="203"/>
      <c r="U26" s="203"/>
      <c r="V26" s="203"/>
      <c r="W26" s="203"/>
      <c r="X26" s="203"/>
      <c r="Y26" s="203"/>
      <c r="Z26" s="203"/>
      <c r="AA26" s="203"/>
      <c r="AB26" s="203"/>
      <c r="AC26" s="203"/>
      <c r="AD26" s="203"/>
      <c r="AE26" s="204"/>
      <c r="AF26" s="205"/>
      <c r="AG26" s="203"/>
      <c r="AH26" s="203"/>
      <c r="AI26" s="204"/>
    </row>
    <row r="27" spans="1:35" s="39" customFormat="1" ht="15" customHeight="1" x14ac:dyDescent="0.15">
      <c r="A27" s="41"/>
      <c r="B27" s="207"/>
      <c r="C27" s="204"/>
      <c r="D27" s="212"/>
      <c r="E27" s="203"/>
      <c r="F27" s="204"/>
      <c r="G27" s="207"/>
      <c r="H27" s="203"/>
      <c r="I27" s="204"/>
      <c r="J27" s="205"/>
      <c r="K27" s="203"/>
      <c r="L27" s="203"/>
      <c r="M27" s="203"/>
      <c r="N27" s="203"/>
      <c r="O27" s="203"/>
      <c r="P27" s="204"/>
      <c r="Q27" s="202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4"/>
      <c r="AF27" s="205"/>
      <c r="AG27" s="203"/>
      <c r="AH27" s="203"/>
      <c r="AI27" s="204"/>
    </row>
    <row r="28" spans="1:35" s="39" customFormat="1" ht="15" customHeight="1" x14ac:dyDescent="0.15">
      <c r="A28" s="41"/>
      <c r="B28" s="207"/>
      <c r="C28" s="204"/>
      <c r="D28" s="212"/>
      <c r="E28" s="203"/>
      <c r="F28" s="204"/>
      <c r="G28" s="207"/>
      <c r="H28" s="203"/>
      <c r="I28" s="204"/>
      <c r="J28" s="205"/>
      <c r="K28" s="203"/>
      <c r="L28" s="203"/>
      <c r="M28" s="203"/>
      <c r="N28" s="203"/>
      <c r="O28" s="203"/>
      <c r="P28" s="204"/>
      <c r="Q28" s="202"/>
      <c r="R28" s="203"/>
      <c r="S28" s="203"/>
      <c r="T28" s="203"/>
      <c r="U28" s="203"/>
      <c r="V28" s="203"/>
      <c r="W28" s="203"/>
      <c r="X28" s="203"/>
      <c r="Y28" s="203"/>
      <c r="Z28" s="203"/>
      <c r="AA28" s="203"/>
      <c r="AB28" s="203"/>
      <c r="AC28" s="203"/>
      <c r="AD28" s="203"/>
      <c r="AE28" s="204"/>
      <c r="AF28" s="205"/>
      <c r="AG28" s="203"/>
      <c r="AH28" s="203"/>
      <c r="AI28" s="204"/>
    </row>
    <row r="29" spans="1:35" s="39" customFormat="1" ht="15" customHeight="1" x14ac:dyDescent="0.15">
      <c r="A29" s="41"/>
      <c r="B29" s="207"/>
      <c r="C29" s="204"/>
      <c r="D29" s="212"/>
      <c r="E29" s="203"/>
      <c r="F29" s="204"/>
      <c r="G29" s="207"/>
      <c r="H29" s="203"/>
      <c r="I29" s="204"/>
      <c r="J29" s="205"/>
      <c r="K29" s="203"/>
      <c r="L29" s="203"/>
      <c r="M29" s="203"/>
      <c r="N29" s="203"/>
      <c r="O29" s="203"/>
      <c r="P29" s="204"/>
      <c r="Q29" s="202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4"/>
      <c r="AF29" s="205"/>
      <c r="AG29" s="203"/>
      <c r="AH29" s="203"/>
      <c r="AI29" s="204"/>
    </row>
    <row r="30" spans="1:35" s="39" customFormat="1" ht="15" customHeight="1" x14ac:dyDescent="0.15">
      <c r="A30" s="41"/>
      <c r="B30" s="207"/>
      <c r="C30" s="204"/>
      <c r="D30" s="212"/>
      <c r="E30" s="203"/>
      <c r="F30" s="204"/>
      <c r="G30" s="207"/>
      <c r="H30" s="203"/>
      <c r="I30" s="204"/>
      <c r="J30" s="205"/>
      <c r="K30" s="203"/>
      <c r="L30" s="203"/>
      <c r="M30" s="203"/>
      <c r="N30" s="203"/>
      <c r="O30" s="203"/>
      <c r="P30" s="204"/>
      <c r="Q30" s="202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4"/>
      <c r="AF30" s="205"/>
      <c r="AG30" s="203"/>
      <c r="AH30" s="203"/>
      <c r="AI30" s="204"/>
    </row>
    <row r="31" spans="1:35" s="39" customFormat="1" ht="15" customHeight="1" x14ac:dyDescent="0.15">
      <c r="A31" s="41"/>
      <c r="B31" s="207"/>
      <c r="C31" s="204"/>
      <c r="D31" s="212"/>
      <c r="E31" s="203"/>
      <c r="F31" s="204"/>
      <c r="G31" s="207"/>
      <c r="H31" s="203"/>
      <c r="I31" s="204"/>
      <c r="J31" s="205"/>
      <c r="K31" s="203"/>
      <c r="L31" s="203"/>
      <c r="M31" s="203"/>
      <c r="N31" s="203"/>
      <c r="O31" s="203"/>
      <c r="P31" s="204"/>
      <c r="Q31" s="202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4"/>
      <c r="AF31" s="205"/>
      <c r="AG31" s="203"/>
      <c r="AH31" s="203"/>
      <c r="AI31" s="204"/>
    </row>
    <row r="32" spans="1:35" s="39" customFormat="1" ht="15" customHeight="1" x14ac:dyDescent="0.15">
      <c r="A32" s="41"/>
      <c r="B32" s="207"/>
      <c r="C32" s="204"/>
      <c r="D32" s="212"/>
      <c r="E32" s="203"/>
      <c r="F32" s="204"/>
      <c r="G32" s="207"/>
      <c r="H32" s="203"/>
      <c r="I32" s="204"/>
      <c r="J32" s="205"/>
      <c r="K32" s="203"/>
      <c r="L32" s="203"/>
      <c r="M32" s="203"/>
      <c r="N32" s="203"/>
      <c r="O32" s="203"/>
      <c r="P32" s="204"/>
      <c r="Q32" s="202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4"/>
      <c r="AF32" s="205"/>
      <c r="AG32" s="203"/>
      <c r="AH32" s="203"/>
      <c r="AI32" s="204"/>
    </row>
    <row r="33" spans="1:35" s="39" customFormat="1" ht="15" customHeight="1" x14ac:dyDescent="0.15">
      <c r="A33" s="41"/>
      <c r="B33" s="207"/>
      <c r="C33" s="204"/>
      <c r="D33" s="212"/>
      <c r="E33" s="203"/>
      <c r="F33" s="204"/>
      <c r="G33" s="207"/>
      <c r="H33" s="203"/>
      <c r="I33" s="204"/>
      <c r="J33" s="205"/>
      <c r="K33" s="203"/>
      <c r="L33" s="203"/>
      <c r="M33" s="203"/>
      <c r="N33" s="203"/>
      <c r="O33" s="203"/>
      <c r="P33" s="204"/>
      <c r="Q33" s="202"/>
      <c r="R33" s="203"/>
      <c r="S33" s="203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4"/>
      <c r="AF33" s="205"/>
      <c r="AG33" s="203"/>
      <c r="AH33" s="203"/>
      <c r="AI33" s="204"/>
    </row>
    <row r="34" spans="1:35" s="39" customFormat="1" ht="15" customHeight="1" x14ac:dyDescent="0.15"/>
  </sheetData>
  <mergeCells count="179"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13:C13"/>
    <mergeCell ref="G16:I16"/>
    <mergeCell ref="D14:F14"/>
    <mergeCell ref="D29:F29"/>
    <mergeCell ref="D23:F23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35" width="4.83203125" style="44" customWidth="1"/>
    <col min="36" max="16384" width="4.83203125" style="44"/>
  </cols>
  <sheetData>
    <row r="1" spans="1:35" s="11" customFormat="1" ht="11.25" customHeight="1" x14ac:dyDescent="0.15">
      <c r="A1" s="206" t="s">
        <v>1</v>
      </c>
      <c r="B1" s="203"/>
      <c r="C1" s="203"/>
      <c r="D1" s="204"/>
      <c r="E1" s="235" t="str">
        <f ca="1">IF(INDIRECT("変更履歴!E1")&lt;&gt;"",INDIRECT("変更履歴!E1"),"")</f>
        <v>サンプルプロジェクト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7" t="str">
        <f ca="1">IF(INDIRECT("変更履歴!S1")&lt;&gt;"",INDIRECT("変更履歴!S1"),"")</f>
        <v>システム機能設計書（画面）
WA10201/プロジェクト登録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 ca="1">IF(INDIRECT("変更履歴!AC1")&lt;&gt;"",INDIRECT("変更履歴!AC1"),"")</f>
        <v>TIS</v>
      </c>
      <c r="AD1" s="203"/>
      <c r="AE1" s="203"/>
      <c r="AF1" s="204"/>
      <c r="AG1" s="236">
        <f ca="1">IF(INDIRECT("変更履歴!AG1")&lt;&gt;"",INDIRECT("変更履歴!AG1"),"")</f>
        <v>43598</v>
      </c>
      <c r="AH1" s="203"/>
      <c r="AI1" s="204"/>
    </row>
    <row r="2" spans="1:35" s="11" customFormat="1" ht="11.25" customHeight="1" x14ac:dyDescent="0.15">
      <c r="A2" s="206" t="s">
        <v>6</v>
      </c>
      <c r="B2" s="203"/>
      <c r="C2" s="203"/>
      <c r="D2" s="204"/>
      <c r="E2" s="235" t="str">
        <f ca="1">IF(INDIRECT("変更履歴!E2")&lt;&gt;"",INDIRECT("変更履歴!E2"),"")</f>
        <v>サンプルシステム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1" t="str">
        <f ca="1">IF(INDIRECT("変更履歴!AC2")&lt;&gt;"",INDIRECT("変更履歴!AC2"),"")</f>
        <v>TIS</v>
      </c>
      <c r="AD2" s="203"/>
      <c r="AE2" s="203"/>
      <c r="AF2" s="204"/>
      <c r="AG2" s="236">
        <f ca="1">IF(INDIRECT("変更履歴!AG2")&lt;&gt;"",INDIRECT("変更履歴!AG2"),"")</f>
        <v>44908</v>
      </c>
      <c r="AH2" s="203"/>
      <c r="AI2" s="204"/>
    </row>
    <row r="3" spans="1:35" s="11" customFormat="1" ht="11.25" customHeight="1" x14ac:dyDescent="0.15">
      <c r="A3" s="206" t="s">
        <v>9</v>
      </c>
      <c r="B3" s="203"/>
      <c r="C3" s="203"/>
      <c r="D3" s="204"/>
      <c r="E3" s="235" t="str">
        <f ca="1">IF(INDIRECT("変更履歴!E3")&lt;&gt;"",INDIRECT("変更履歴!E3"),"")</f>
        <v>プロジェクト管理システム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06"/>
      <c r="AB3" s="204"/>
      <c r="AC3" s="221" t="str">
        <f ca="1">IF(INDIRECT("変更履歴!AC3")&lt;&gt;"",INDIRECT("変更履歴!AC3"),"")</f>
        <v/>
      </c>
      <c r="AD3" s="203"/>
      <c r="AE3" s="203"/>
      <c r="AF3" s="204"/>
      <c r="AG3" s="236" t="str">
        <f ca="1">IF(INDIRECT("変更履歴!AG3")&lt;&gt;"",INDIRECT("変更履歴!AG3"),"")</f>
        <v/>
      </c>
      <c r="AH3" s="203"/>
      <c r="AI3" s="204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2:N2"/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206" t="s">
        <v>1</v>
      </c>
      <c r="B1" s="203"/>
      <c r="C1" s="203"/>
      <c r="D1" s="204"/>
      <c r="E1" s="235" t="str">
        <f ca="1">IF(INDIRECT("変更履歴!E1")&lt;&gt;"",INDIRECT("変更履歴!E1"),"")</f>
        <v>サンプルプロジェクト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7" t="str">
        <f ca="1">IF(INDIRECT("変更履歴!S1")&lt;&gt;"",INDIRECT("変更履歴!S1"),"")</f>
        <v>システム機能設計書（画面）
WA10201/プロジェクト登録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 ca="1">IF(INDIRECT("変更履歴!AC1")&lt;&gt;"",INDIRECT("変更履歴!AC1"),"")</f>
        <v>TIS</v>
      </c>
      <c r="AD1" s="203"/>
      <c r="AE1" s="203"/>
      <c r="AF1" s="204"/>
      <c r="AG1" s="236">
        <f ca="1">IF(INDIRECT("変更履歴!AG1")&lt;&gt;"",INDIRECT("変更履歴!AG1"),"")</f>
        <v>43598</v>
      </c>
      <c r="AH1" s="203"/>
      <c r="AI1" s="204"/>
    </row>
    <row r="2" spans="1:35" s="11" customFormat="1" x14ac:dyDescent="0.15">
      <c r="A2" s="206" t="s">
        <v>6</v>
      </c>
      <c r="B2" s="203"/>
      <c r="C2" s="203"/>
      <c r="D2" s="204"/>
      <c r="E2" s="235" t="str">
        <f ca="1">IF(INDIRECT("変更履歴!E2")&lt;&gt;"",INDIRECT("変更履歴!E2"),"")</f>
        <v>サンプルシステム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1" t="str">
        <f ca="1">IF(INDIRECT("変更履歴!AC2")&lt;&gt;"",INDIRECT("変更履歴!AC2"),"")</f>
        <v>TIS</v>
      </c>
      <c r="AD2" s="203"/>
      <c r="AE2" s="203"/>
      <c r="AF2" s="204"/>
      <c r="AG2" s="236">
        <f ca="1">IF(INDIRECT("変更履歴!AG2")&lt;&gt;"",INDIRECT("変更履歴!AG2"),"")</f>
        <v>44908</v>
      </c>
      <c r="AH2" s="203"/>
      <c r="AI2" s="204"/>
    </row>
    <row r="3" spans="1:35" s="11" customFormat="1" x14ac:dyDescent="0.15">
      <c r="A3" s="206" t="s">
        <v>9</v>
      </c>
      <c r="B3" s="203"/>
      <c r="C3" s="203"/>
      <c r="D3" s="204"/>
      <c r="E3" s="235" t="str">
        <f ca="1">IF(INDIRECT("変更履歴!E3")&lt;&gt;"",INDIRECT("変更履歴!E3"),"")</f>
        <v>プロジェクト管理システム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06"/>
      <c r="AB3" s="204"/>
      <c r="AC3" s="221" t="str">
        <f ca="1">IF(INDIRECT("変更履歴!AC3")&lt;&gt;"",INDIRECT("変更履歴!AC3"),"")</f>
        <v/>
      </c>
      <c r="AD3" s="203"/>
      <c r="AE3" s="203"/>
      <c r="AF3" s="204"/>
      <c r="AG3" s="236" t="str">
        <f ca="1">IF(INDIRECT("変更履歴!AG3")&lt;&gt;"",INDIRECT("変更履歴!AG3"),"")</f>
        <v/>
      </c>
      <c r="AH3" s="203"/>
      <c r="AI3" s="204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241" t="s">
        <v>60</v>
      </c>
      <c r="D8" s="203"/>
      <c r="E8" s="203"/>
      <c r="F8" s="204"/>
      <c r="G8" s="205" t="s">
        <v>61</v>
      </c>
      <c r="H8" s="203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4"/>
    </row>
    <row r="9" spans="1:35" s="63" customFormat="1" ht="12" customHeight="1" x14ac:dyDescent="0.15">
      <c r="B9" s="64"/>
      <c r="C9" s="240" t="s">
        <v>62</v>
      </c>
      <c r="D9" s="203"/>
      <c r="E9" s="203"/>
      <c r="F9" s="204"/>
      <c r="G9" s="205" t="s">
        <v>63</v>
      </c>
      <c r="H9" s="203"/>
      <c r="I9" s="203"/>
      <c r="J9" s="203"/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4"/>
    </row>
    <row r="10" spans="1:35" s="63" customFormat="1" ht="12" customHeight="1" x14ac:dyDescent="0.15">
      <c r="B10" s="64"/>
      <c r="C10" s="238" t="s">
        <v>64</v>
      </c>
      <c r="D10" s="225"/>
      <c r="E10" s="225"/>
      <c r="F10" s="226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227"/>
      <c r="D11" s="239"/>
      <c r="E11" s="239"/>
      <c r="F11" s="229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227"/>
      <c r="D12" s="239"/>
      <c r="E12" s="239"/>
      <c r="F12" s="229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230"/>
      <c r="D13" s="231"/>
      <c r="E13" s="231"/>
      <c r="F13" s="232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238" t="s">
        <v>66</v>
      </c>
      <c r="D14" s="203"/>
      <c r="E14" s="203"/>
      <c r="F14" s="204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AG2:AI2"/>
    <mergeCell ref="G8:AG8"/>
    <mergeCell ref="C8:F8"/>
    <mergeCell ref="S1:Z3"/>
    <mergeCell ref="AA1:AB1"/>
    <mergeCell ref="AC2:AF2"/>
    <mergeCell ref="E2:N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60" t="s">
        <v>1</v>
      </c>
      <c r="B1" s="203"/>
      <c r="C1" s="203"/>
      <c r="D1" s="204"/>
      <c r="E1" s="235" t="str">
        <f ca="1">IF(INDIRECT("変更履歴!E1")&lt;&gt;"",INDIRECT("変更履歴!E1"),"")</f>
        <v>サンプルプロジェクト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7" t="str">
        <f ca="1">IF(INDIRECT("変更履歴!S1")&lt;&gt;"",INDIRECT("変更履歴!S1"),"")</f>
        <v>システム機能設計書（画面）
WA10201/プロジェクト登録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 ca="1">IF(INDIRECT("変更履歴!AC1")&lt;&gt;"",INDIRECT("変更履歴!AC1"),"")</f>
        <v>TIS</v>
      </c>
      <c r="AD1" s="203"/>
      <c r="AE1" s="203"/>
      <c r="AF1" s="204"/>
      <c r="AG1" s="273">
        <f ca="1">IF(INDIRECT("変更履歴!AG1")&lt;&gt;"",INDIRECT("変更履歴!AG1"),"")</f>
        <v>43598</v>
      </c>
      <c r="AH1" s="203"/>
      <c r="AI1" s="204"/>
      <c r="AJ1" s="27"/>
    </row>
    <row r="2" spans="1:39" s="11" customFormat="1" x14ac:dyDescent="0.15">
      <c r="A2" s="260" t="s">
        <v>6</v>
      </c>
      <c r="B2" s="203"/>
      <c r="C2" s="203"/>
      <c r="D2" s="204"/>
      <c r="E2" s="235" t="str">
        <f ca="1">IF(INDIRECT("変更履歴!E2")&lt;&gt;"",INDIRECT("変更履歴!E2"),"")</f>
        <v>サンプルシステム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1" t="str">
        <f ca="1">IF(INDIRECT("変更履歴!AC2")&lt;&gt;"",INDIRECT("変更履歴!AC2"),"")</f>
        <v>TIS</v>
      </c>
      <c r="AD2" s="203"/>
      <c r="AE2" s="203"/>
      <c r="AF2" s="204"/>
      <c r="AG2" s="273">
        <f ca="1">IF(INDIRECT("変更履歴!AG2")&lt;&gt;"",INDIRECT("変更履歴!AG2"),"")</f>
        <v>44908</v>
      </c>
      <c r="AH2" s="203"/>
      <c r="AI2" s="204"/>
      <c r="AJ2" s="27"/>
    </row>
    <row r="3" spans="1:39" s="11" customFormat="1" x14ac:dyDescent="0.15">
      <c r="A3" s="260" t="s">
        <v>9</v>
      </c>
      <c r="B3" s="203"/>
      <c r="C3" s="203"/>
      <c r="D3" s="204"/>
      <c r="E3" s="235" t="str">
        <f ca="1">IF(INDIRECT("変更履歴!E3")&lt;&gt;"",INDIRECT("変更履歴!E3"),"")</f>
        <v>プロジェクト管理システム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06"/>
      <c r="AB3" s="204"/>
      <c r="AC3" s="221" t="str">
        <f ca="1">IF(INDIRECT("変更履歴!AC3")&lt;&gt;"",INDIRECT("変更履歴!AC3"),"")</f>
        <v/>
      </c>
      <c r="AD3" s="203"/>
      <c r="AE3" s="203"/>
      <c r="AF3" s="204"/>
      <c r="AG3" s="273" t="str">
        <f ca="1">IF(INDIRECT("変更履歴!AG3")&lt;&gt;"",INDIRECT("変更履歴!AG3"),"")</f>
        <v/>
      </c>
      <c r="AH3" s="203"/>
      <c r="AI3" s="204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52" t="s">
        <v>68</v>
      </c>
      <c r="F50" s="253"/>
      <c r="G50" s="253"/>
      <c r="H50" s="253"/>
      <c r="I50" s="253"/>
      <c r="J50" s="253"/>
      <c r="K50" s="253"/>
      <c r="L50" s="253"/>
      <c r="M50" s="254"/>
      <c r="N50" s="252" t="s">
        <v>69</v>
      </c>
      <c r="O50" s="253"/>
      <c r="P50" s="254"/>
      <c r="Q50" s="252" t="s">
        <v>70</v>
      </c>
      <c r="R50" s="253"/>
      <c r="S50" s="253"/>
      <c r="T50" s="253"/>
      <c r="U50" s="254"/>
      <c r="V50" s="252" t="s">
        <v>71</v>
      </c>
      <c r="W50" s="253"/>
      <c r="X50" s="253"/>
      <c r="Y50" s="253"/>
      <c r="Z50" s="253"/>
      <c r="AA50" s="253"/>
      <c r="AB50" s="253"/>
      <c r="AC50" s="25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76" t="s">
        <v>22</v>
      </c>
      <c r="F51" s="246"/>
      <c r="G51" s="246"/>
      <c r="H51" s="246"/>
      <c r="I51" s="246"/>
      <c r="J51" s="246"/>
      <c r="K51" s="246"/>
      <c r="L51" s="246"/>
      <c r="M51" s="247"/>
      <c r="N51" s="256" t="s">
        <v>22</v>
      </c>
      <c r="O51" s="246"/>
      <c r="P51" s="247"/>
      <c r="Q51" s="245" t="s">
        <v>22</v>
      </c>
      <c r="R51" s="246"/>
      <c r="S51" s="246"/>
      <c r="T51" s="246"/>
      <c r="U51" s="247"/>
      <c r="V51" s="282" t="s">
        <v>22</v>
      </c>
      <c r="W51" s="246"/>
      <c r="X51" s="246"/>
      <c r="Y51" s="246"/>
      <c r="Z51" s="246"/>
      <c r="AA51" s="246"/>
      <c r="AB51" s="246"/>
      <c r="AC51" s="247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238" t="s">
        <v>13</v>
      </c>
      <c r="E56" s="238" t="s">
        <v>72</v>
      </c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4"/>
      <c r="AD56" s="238" t="s">
        <v>73</v>
      </c>
      <c r="AE56" s="225"/>
      <c r="AF56" s="225"/>
      <c r="AG56" s="226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80"/>
      <c r="E57" s="238" t="s">
        <v>75</v>
      </c>
      <c r="F57" s="225"/>
      <c r="G57" s="225"/>
      <c r="H57" s="226"/>
      <c r="I57" s="274" t="s">
        <v>76</v>
      </c>
      <c r="J57" s="225"/>
      <c r="K57" s="225"/>
      <c r="L57" s="226"/>
      <c r="M57" s="277" t="s">
        <v>77</v>
      </c>
      <c r="N57" s="225"/>
      <c r="O57" s="225"/>
      <c r="P57" s="225"/>
      <c r="Q57" s="225"/>
      <c r="R57" s="225"/>
      <c r="S57" s="225"/>
      <c r="T57" s="226"/>
      <c r="U57" s="238" t="s">
        <v>78</v>
      </c>
      <c r="V57" s="225"/>
      <c r="W57" s="225"/>
      <c r="X57" s="225"/>
      <c r="Y57" s="226"/>
      <c r="Z57" s="238" t="s">
        <v>79</v>
      </c>
      <c r="AA57" s="225"/>
      <c r="AB57" s="226"/>
      <c r="AC57" s="238" t="s">
        <v>80</v>
      </c>
      <c r="AD57" s="227"/>
      <c r="AE57" s="239"/>
      <c r="AF57" s="239"/>
      <c r="AG57" s="229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66"/>
      <c r="E58" s="230"/>
      <c r="F58" s="231"/>
      <c r="G58" s="231"/>
      <c r="H58" s="232"/>
      <c r="I58" s="230"/>
      <c r="J58" s="231"/>
      <c r="K58" s="231"/>
      <c r="L58" s="232"/>
      <c r="M58" s="230"/>
      <c r="N58" s="231"/>
      <c r="O58" s="231"/>
      <c r="P58" s="231"/>
      <c r="Q58" s="231"/>
      <c r="R58" s="231"/>
      <c r="S58" s="231"/>
      <c r="T58" s="232"/>
      <c r="U58" s="230"/>
      <c r="V58" s="231"/>
      <c r="W58" s="231"/>
      <c r="X58" s="231"/>
      <c r="Y58" s="232"/>
      <c r="Z58" s="230"/>
      <c r="AA58" s="231"/>
      <c r="AB58" s="232"/>
      <c r="AC58" s="266"/>
      <c r="AD58" s="230"/>
      <c r="AE58" s="231"/>
      <c r="AF58" s="231"/>
      <c r="AG58" s="232"/>
      <c r="AH58" s="92"/>
      <c r="AI58" s="92"/>
      <c r="AJ58" s="92"/>
      <c r="AK58" s="92"/>
      <c r="AL58" s="255" t="s">
        <v>81</v>
      </c>
      <c r="AM58" s="203"/>
      <c r="AN58" s="203"/>
      <c r="AO58" s="203"/>
      <c r="AP58" s="204"/>
      <c r="AQ58" s="92"/>
      <c r="AR58" s="92"/>
      <c r="AS58" s="92"/>
      <c r="AT58" s="92"/>
    </row>
    <row r="59" spans="3:53" s="63" customFormat="1" x14ac:dyDescent="0.15">
      <c r="D59" s="263" t="s">
        <v>82</v>
      </c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  <c r="AB59" s="203"/>
      <c r="AC59" s="203"/>
      <c r="AD59" s="203"/>
      <c r="AE59" s="203"/>
      <c r="AF59" s="203"/>
      <c r="AG59" s="204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205" t="s">
        <v>83</v>
      </c>
      <c r="F60" s="203"/>
      <c r="G60" s="203"/>
      <c r="H60" s="204"/>
      <c r="I60" s="264" t="s">
        <v>84</v>
      </c>
      <c r="J60" s="203"/>
      <c r="K60" s="203"/>
      <c r="L60" s="204"/>
      <c r="M60" s="243" t="s">
        <v>22</v>
      </c>
      <c r="N60" s="203"/>
      <c r="O60" s="203"/>
      <c r="P60" s="203"/>
      <c r="Q60" s="203"/>
      <c r="R60" s="203"/>
      <c r="S60" s="203"/>
      <c r="T60" s="204"/>
      <c r="U60" s="202" t="s">
        <v>22</v>
      </c>
      <c r="V60" s="203"/>
      <c r="W60" s="203"/>
      <c r="X60" s="203"/>
      <c r="Y60" s="204"/>
      <c r="Z60" s="202" t="s">
        <v>22</v>
      </c>
      <c r="AA60" s="203"/>
      <c r="AB60" s="204"/>
      <c r="AC60" s="142" t="s">
        <v>85</v>
      </c>
      <c r="AD60" s="202" t="s">
        <v>86</v>
      </c>
      <c r="AE60" s="203"/>
      <c r="AF60" s="203"/>
      <c r="AG60" s="204"/>
      <c r="AL60" s="205" t="s">
        <v>87</v>
      </c>
      <c r="AM60" s="203"/>
      <c r="AN60" s="203"/>
      <c r="AO60" s="203"/>
      <c r="AP60" s="204"/>
    </row>
    <row r="61" spans="3:53" s="64" customFormat="1" ht="11.25" customHeight="1" x14ac:dyDescent="0.15">
      <c r="D61" s="106">
        <v>2</v>
      </c>
      <c r="E61" s="205" t="s">
        <v>88</v>
      </c>
      <c r="F61" s="203"/>
      <c r="G61" s="203"/>
      <c r="H61" s="204"/>
      <c r="I61" s="264" t="s">
        <v>84</v>
      </c>
      <c r="J61" s="203"/>
      <c r="K61" s="203"/>
      <c r="L61" s="204"/>
      <c r="M61" s="243" t="s">
        <v>22</v>
      </c>
      <c r="N61" s="203"/>
      <c r="O61" s="203"/>
      <c r="P61" s="203"/>
      <c r="Q61" s="203"/>
      <c r="R61" s="203"/>
      <c r="S61" s="203"/>
      <c r="T61" s="204"/>
      <c r="U61" s="202" t="s">
        <v>22</v>
      </c>
      <c r="V61" s="203"/>
      <c r="W61" s="203"/>
      <c r="X61" s="203"/>
      <c r="Y61" s="204"/>
      <c r="Z61" s="202" t="s">
        <v>22</v>
      </c>
      <c r="AA61" s="203"/>
      <c r="AB61" s="204"/>
      <c r="AC61" s="142" t="s">
        <v>85</v>
      </c>
      <c r="AD61" s="202" t="s">
        <v>86</v>
      </c>
      <c r="AE61" s="203"/>
      <c r="AF61" s="203"/>
      <c r="AG61" s="204"/>
      <c r="AL61" s="205" t="s">
        <v>89</v>
      </c>
      <c r="AM61" s="203"/>
      <c r="AN61" s="203"/>
      <c r="AO61" s="203"/>
      <c r="AP61" s="204"/>
    </row>
    <row r="62" spans="3:53" s="63" customFormat="1" ht="11.25" customHeight="1" x14ac:dyDescent="0.15">
      <c r="D62" s="106">
        <v>3</v>
      </c>
      <c r="E62" s="205" t="s">
        <v>1</v>
      </c>
      <c r="F62" s="203"/>
      <c r="G62" s="203"/>
      <c r="H62" s="204"/>
      <c r="I62" s="264" t="s">
        <v>90</v>
      </c>
      <c r="J62" s="203"/>
      <c r="K62" s="203"/>
      <c r="L62" s="204"/>
      <c r="M62" s="243" t="s">
        <v>22</v>
      </c>
      <c r="N62" s="203"/>
      <c r="O62" s="203"/>
      <c r="P62" s="203"/>
      <c r="Q62" s="203"/>
      <c r="R62" s="203"/>
      <c r="S62" s="203"/>
      <c r="T62" s="204"/>
      <c r="U62" s="202" t="s">
        <v>22</v>
      </c>
      <c r="V62" s="203"/>
      <c r="W62" s="203"/>
      <c r="X62" s="203"/>
      <c r="Y62" s="204"/>
      <c r="Z62" s="202" t="s">
        <v>22</v>
      </c>
      <c r="AA62" s="203"/>
      <c r="AB62" s="204"/>
      <c r="AC62" s="142" t="s">
        <v>85</v>
      </c>
      <c r="AD62" s="202" t="s">
        <v>91</v>
      </c>
      <c r="AE62" s="203"/>
      <c r="AF62" s="203"/>
      <c r="AG62" s="204"/>
      <c r="AH62" s="92"/>
      <c r="AI62" s="92"/>
      <c r="AJ62" s="92"/>
      <c r="AK62" s="92"/>
      <c r="AL62" s="205" t="s">
        <v>92</v>
      </c>
      <c r="AM62" s="203"/>
      <c r="AN62" s="203"/>
      <c r="AO62" s="203"/>
      <c r="AP62" s="204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205" t="s">
        <v>93</v>
      </c>
      <c r="F63" s="203"/>
      <c r="G63" s="203"/>
      <c r="H63" s="204"/>
      <c r="I63" s="264" t="s">
        <v>84</v>
      </c>
      <c r="J63" s="203"/>
      <c r="K63" s="203"/>
      <c r="L63" s="204"/>
      <c r="M63" s="243" t="s">
        <v>22</v>
      </c>
      <c r="N63" s="203"/>
      <c r="O63" s="203"/>
      <c r="P63" s="203"/>
      <c r="Q63" s="203"/>
      <c r="R63" s="203"/>
      <c r="S63" s="203"/>
      <c r="T63" s="204"/>
      <c r="U63" s="202" t="s">
        <v>94</v>
      </c>
      <c r="V63" s="203"/>
      <c r="W63" s="203"/>
      <c r="X63" s="203"/>
      <c r="Y63" s="204"/>
      <c r="Z63" s="202" t="s">
        <v>22</v>
      </c>
      <c r="AA63" s="203"/>
      <c r="AB63" s="204"/>
      <c r="AC63" s="142" t="s">
        <v>85</v>
      </c>
      <c r="AD63" s="202" t="s">
        <v>95</v>
      </c>
      <c r="AE63" s="203"/>
      <c r="AF63" s="203"/>
      <c r="AG63" s="204"/>
      <c r="AH63" s="92"/>
      <c r="AI63" s="92"/>
      <c r="AJ63" s="92"/>
      <c r="AK63" s="92"/>
      <c r="AL63" s="205" t="s">
        <v>96</v>
      </c>
      <c r="AM63" s="203"/>
      <c r="AN63" s="203"/>
      <c r="AO63" s="203"/>
      <c r="AP63" s="204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205" t="s">
        <v>97</v>
      </c>
      <c r="F64" s="203"/>
      <c r="G64" s="203"/>
      <c r="H64" s="204"/>
      <c r="I64" s="264" t="s">
        <v>98</v>
      </c>
      <c r="J64" s="203"/>
      <c r="K64" s="203"/>
      <c r="L64" s="204"/>
      <c r="M64" s="243" t="s">
        <v>22</v>
      </c>
      <c r="N64" s="203"/>
      <c r="O64" s="203"/>
      <c r="P64" s="203"/>
      <c r="Q64" s="203"/>
      <c r="R64" s="203"/>
      <c r="S64" s="203"/>
      <c r="T64" s="204"/>
      <c r="U64" s="202" t="s">
        <v>99</v>
      </c>
      <c r="V64" s="203"/>
      <c r="W64" s="203"/>
      <c r="X64" s="203"/>
      <c r="Y64" s="204"/>
      <c r="Z64" s="202" t="s">
        <v>22</v>
      </c>
      <c r="AA64" s="203"/>
      <c r="AB64" s="204"/>
      <c r="AC64" s="142" t="s">
        <v>85</v>
      </c>
      <c r="AD64" s="202" t="s">
        <v>100</v>
      </c>
      <c r="AE64" s="203"/>
      <c r="AF64" s="203"/>
      <c r="AG64" s="204"/>
      <c r="AH64" s="92"/>
      <c r="AI64" s="92"/>
      <c r="AJ64" s="92"/>
      <c r="AK64" s="92"/>
      <c r="AL64" s="205" t="s">
        <v>101</v>
      </c>
      <c r="AM64" s="203"/>
      <c r="AN64" s="203"/>
      <c r="AO64" s="203"/>
      <c r="AP64" s="204"/>
      <c r="AQ64" s="92"/>
      <c r="AR64" s="92"/>
      <c r="AS64" s="92"/>
      <c r="AT64" s="92"/>
    </row>
    <row r="65" spans="1:48" ht="11.25" customHeight="1" x14ac:dyDescent="0.15">
      <c r="D65" s="106">
        <v>6</v>
      </c>
      <c r="E65" s="205" t="s">
        <v>102</v>
      </c>
      <c r="F65" s="203"/>
      <c r="G65" s="203"/>
      <c r="H65" s="204"/>
      <c r="I65" s="244" t="s">
        <v>90</v>
      </c>
      <c r="J65" s="203"/>
      <c r="K65" s="203"/>
      <c r="L65" s="204"/>
      <c r="M65" s="243" t="s">
        <v>22</v>
      </c>
      <c r="N65" s="203"/>
      <c r="O65" s="203"/>
      <c r="P65" s="203"/>
      <c r="Q65" s="203"/>
      <c r="R65" s="203"/>
      <c r="S65" s="203"/>
      <c r="T65" s="204"/>
      <c r="U65" s="202" t="s">
        <v>22</v>
      </c>
      <c r="V65" s="203"/>
      <c r="W65" s="203"/>
      <c r="X65" s="203"/>
      <c r="Y65" s="204"/>
      <c r="Z65" s="202" t="s">
        <v>22</v>
      </c>
      <c r="AA65" s="203"/>
      <c r="AB65" s="204"/>
      <c r="AC65" s="142" t="s">
        <v>22</v>
      </c>
      <c r="AD65" s="202" t="s">
        <v>103</v>
      </c>
      <c r="AE65" s="203"/>
      <c r="AF65" s="203"/>
      <c r="AG65" s="204"/>
      <c r="AL65" s="205" t="s">
        <v>104</v>
      </c>
      <c r="AM65" s="203"/>
      <c r="AN65" s="203"/>
      <c r="AO65" s="203"/>
      <c r="AP65" s="204"/>
    </row>
    <row r="66" spans="1:48" s="64" customFormat="1" ht="24.75" customHeight="1" x14ac:dyDescent="0.15">
      <c r="D66" s="106">
        <v>7</v>
      </c>
      <c r="E66" s="205" t="s">
        <v>105</v>
      </c>
      <c r="F66" s="203"/>
      <c r="G66" s="203"/>
      <c r="H66" s="204"/>
      <c r="I66" s="264" t="s">
        <v>106</v>
      </c>
      <c r="J66" s="203"/>
      <c r="K66" s="203"/>
      <c r="L66" s="204"/>
      <c r="M66" s="243" t="s">
        <v>22</v>
      </c>
      <c r="N66" s="203"/>
      <c r="O66" s="203"/>
      <c r="P66" s="203"/>
      <c r="Q66" s="203"/>
      <c r="R66" s="203"/>
      <c r="S66" s="203"/>
      <c r="T66" s="204"/>
      <c r="U66" s="202" t="s">
        <v>107</v>
      </c>
      <c r="V66" s="203"/>
      <c r="W66" s="203"/>
      <c r="X66" s="203"/>
      <c r="Y66" s="204"/>
      <c r="Z66" s="202" t="s">
        <v>22</v>
      </c>
      <c r="AA66" s="203"/>
      <c r="AB66" s="204"/>
      <c r="AC66" s="142" t="s">
        <v>85</v>
      </c>
      <c r="AD66" s="202" t="s">
        <v>108</v>
      </c>
      <c r="AE66" s="203"/>
      <c r="AF66" s="203"/>
      <c r="AG66" s="204"/>
      <c r="AL66" s="205" t="s">
        <v>109</v>
      </c>
      <c r="AM66" s="203"/>
      <c r="AN66" s="203"/>
      <c r="AO66" s="203"/>
      <c r="AP66" s="204"/>
    </row>
    <row r="67" spans="1:48" s="64" customFormat="1" ht="11.25" customHeight="1" x14ac:dyDescent="0.15">
      <c r="D67" s="106">
        <v>8</v>
      </c>
      <c r="E67" s="205" t="s">
        <v>110</v>
      </c>
      <c r="F67" s="203"/>
      <c r="G67" s="203"/>
      <c r="H67" s="204"/>
      <c r="I67" s="264" t="s">
        <v>90</v>
      </c>
      <c r="J67" s="203"/>
      <c r="K67" s="203"/>
      <c r="L67" s="204"/>
      <c r="M67" s="243" t="s">
        <v>22</v>
      </c>
      <c r="N67" s="203"/>
      <c r="O67" s="203"/>
      <c r="P67" s="203"/>
      <c r="Q67" s="203"/>
      <c r="R67" s="203"/>
      <c r="S67" s="203"/>
      <c r="T67" s="204"/>
      <c r="U67" s="202" t="s">
        <v>22</v>
      </c>
      <c r="V67" s="203"/>
      <c r="W67" s="203"/>
      <c r="X67" s="203"/>
      <c r="Y67" s="204"/>
      <c r="Z67" s="202" t="s">
        <v>22</v>
      </c>
      <c r="AA67" s="203"/>
      <c r="AB67" s="204"/>
      <c r="AC67" s="142" t="s">
        <v>85</v>
      </c>
      <c r="AD67" s="202" t="s">
        <v>111</v>
      </c>
      <c r="AE67" s="203"/>
      <c r="AF67" s="203"/>
      <c r="AG67" s="204"/>
      <c r="AL67" s="205" t="s">
        <v>112</v>
      </c>
      <c r="AM67" s="203"/>
      <c r="AN67" s="203"/>
      <c r="AO67" s="203"/>
      <c r="AP67" s="204"/>
      <c r="AV67" s="75"/>
    </row>
    <row r="68" spans="1:48" s="64" customFormat="1" ht="11.25" customHeight="1" x14ac:dyDescent="0.15">
      <c r="D68" s="106">
        <v>9</v>
      </c>
      <c r="E68" s="205" t="s">
        <v>113</v>
      </c>
      <c r="F68" s="203"/>
      <c r="G68" s="203"/>
      <c r="H68" s="204"/>
      <c r="I68" s="264" t="s">
        <v>90</v>
      </c>
      <c r="J68" s="203"/>
      <c r="K68" s="203"/>
      <c r="L68" s="204"/>
      <c r="M68" s="243" t="s">
        <v>22</v>
      </c>
      <c r="N68" s="203"/>
      <c r="O68" s="203"/>
      <c r="P68" s="203"/>
      <c r="Q68" s="203"/>
      <c r="R68" s="203"/>
      <c r="S68" s="203"/>
      <c r="T68" s="204"/>
      <c r="U68" s="202" t="s">
        <v>22</v>
      </c>
      <c r="V68" s="203"/>
      <c r="W68" s="203"/>
      <c r="X68" s="203"/>
      <c r="Y68" s="204"/>
      <c r="Z68" s="202" t="s">
        <v>22</v>
      </c>
      <c r="AA68" s="203"/>
      <c r="AB68" s="204"/>
      <c r="AC68" s="142" t="s">
        <v>85</v>
      </c>
      <c r="AD68" s="202" t="s">
        <v>111</v>
      </c>
      <c r="AE68" s="203"/>
      <c r="AF68" s="203"/>
      <c r="AG68" s="204"/>
      <c r="AL68" s="202" t="s">
        <v>114</v>
      </c>
      <c r="AM68" s="203"/>
      <c r="AN68" s="203"/>
      <c r="AO68" s="203"/>
      <c r="AP68" s="204"/>
      <c r="AR68" s="92"/>
      <c r="AS68" s="92"/>
    </row>
    <row r="69" spans="1:48" s="63" customFormat="1" ht="22.5" customHeight="1" x14ac:dyDescent="0.15">
      <c r="D69" s="106">
        <v>10</v>
      </c>
      <c r="E69" s="202" t="s">
        <v>115</v>
      </c>
      <c r="F69" s="203"/>
      <c r="G69" s="203"/>
      <c r="H69" s="204"/>
      <c r="I69" s="264" t="s">
        <v>116</v>
      </c>
      <c r="J69" s="203"/>
      <c r="K69" s="203"/>
      <c r="L69" s="204"/>
      <c r="M69" s="243" t="s">
        <v>22</v>
      </c>
      <c r="N69" s="203"/>
      <c r="O69" s="203"/>
      <c r="P69" s="203"/>
      <c r="Q69" s="203"/>
      <c r="R69" s="203"/>
      <c r="S69" s="203"/>
      <c r="T69" s="204"/>
      <c r="U69" s="202" t="s">
        <v>117</v>
      </c>
      <c r="V69" s="203"/>
      <c r="W69" s="203"/>
      <c r="X69" s="203"/>
      <c r="Y69" s="204"/>
      <c r="Z69" s="202" t="s">
        <v>22</v>
      </c>
      <c r="AA69" s="203"/>
      <c r="AB69" s="204"/>
      <c r="AC69" s="142" t="s">
        <v>85</v>
      </c>
      <c r="AD69" s="202" t="s">
        <v>118</v>
      </c>
      <c r="AE69" s="203"/>
      <c r="AF69" s="203"/>
      <c r="AG69" s="204"/>
      <c r="AH69" s="92"/>
      <c r="AI69" s="92"/>
      <c r="AJ69" s="92"/>
      <c r="AK69" s="92"/>
      <c r="AL69" s="205" t="s">
        <v>119</v>
      </c>
      <c r="AM69" s="203"/>
      <c r="AN69" s="203"/>
      <c r="AO69" s="203"/>
      <c r="AP69" s="204"/>
      <c r="AQ69" s="92"/>
      <c r="AR69" s="92"/>
    </row>
    <row r="70" spans="1:48" s="64" customFormat="1" ht="22.5" customHeight="1" x14ac:dyDescent="0.15">
      <c r="D70" s="106">
        <v>11</v>
      </c>
      <c r="E70" s="202" t="s">
        <v>120</v>
      </c>
      <c r="F70" s="203"/>
      <c r="G70" s="203"/>
      <c r="H70" s="204"/>
      <c r="I70" s="264" t="s">
        <v>116</v>
      </c>
      <c r="J70" s="203"/>
      <c r="K70" s="203"/>
      <c r="L70" s="204"/>
      <c r="M70" s="243" t="s">
        <v>22</v>
      </c>
      <c r="N70" s="203"/>
      <c r="O70" s="203"/>
      <c r="P70" s="203"/>
      <c r="Q70" s="203"/>
      <c r="R70" s="203"/>
      <c r="S70" s="203"/>
      <c r="T70" s="204"/>
      <c r="U70" s="202" t="s">
        <v>117</v>
      </c>
      <c r="V70" s="203"/>
      <c r="W70" s="203"/>
      <c r="X70" s="203"/>
      <c r="Y70" s="204"/>
      <c r="Z70" s="202" t="s">
        <v>22</v>
      </c>
      <c r="AA70" s="203"/>
      <c r="AB70" s="204"/>
      <c r="AC70" s="142" t="s">
        <v>85</v>
      </c>
      <c r="AD70" s="202" t="s">
        <v>118</v>
      </c>
      <c r="AE70" s="203"/>
      <c r="AF70" s="203"/>
      <c r="AG70" s="204"/>
      <c r="AL70" s="205" t="s">
        <v>121</v>
      </c>
      <c r="AM70" s="203"/>
      <c r="AN70" s="203"/>
      <c r="AO70" s="203"/>
      <c r="AP70" s="204"/>
    </row>
    <row r="71" spans="1:48" x14ac:dyDescent="0.15">
      <c r="A71"/>
      <c r="D71" s="106">
        <v>12</v>
      </c>
      <c r="E71" s="205" t="s">
        <v>71</v>
      </c>
      <c r="F71" s="203"/>
      <c r="G71" s="203"/>
      <c r="H71" s="204"/>
      <c r="I71" s="264" t="s">
        <v>122</v>
      </c>
      <c r="J71" s="203"/>
      <c r="K71" s="203"/>
      <c r="L71" s="204"/>
      <c r="M71" s="243" t="s">
        <v>22</v>
      </c>
      <c r="N71" s="203"/>
      <c r="O71" s="203"/>
      <c r="P71" s="203"/>
      <c r="Q71" s="203"/>
      <c r="R71" s="203"/>
      <c r="S71" s="203"/>
      <c r="T71" s="204"/>
      <c r="U71" s="202" t="s">
        <v>22</v>
      </c>
      <c r="V71" s="203"/>
      <c r="W71" s="203"/>
      <c r="X71" s="203"/>
      <c r="Y71" s="204"/>
      <c r="Z71" s="202" t="s">
        <v>22</v>
      </c>
      <c r="AA71" s="203"/>
      <c r="AB71" s="204"/>
      <c r="AC71" s="142" t="s">
        <v>22</v>
      </c>
      <c r="AD71" s="202" t="s">
        <v>71</v>
      </c>
      <c r="AE71" s="203"/>
      <c r="AF71" s="203"/>
      <c r="AG71" s="204"/>
      <c r="AL71" s="262" t="s">
        <v>123</v>
      </c>
      <c r="AM71" s="203"/>
      <c r="AN71" s="203"/>
      <c r="AO71" s="203"/>
      <c r="AP71" s="204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65" t="s">
        <v>13</v>
      </c>
      <c r="E76" s="240" t="s">
        <v>124</v>
      </c>
      <c r="F76" s="225"/>
      <c r="G76" s="225"/>
      <c r="H76" s="225"/>
      <c r="I76" s="225"/>
      <c r="J76" s="226"/>
      <c r="K76" s="240" t="s">
        <v>125</v>
      </c>
      <c r="L76" s="225"/>
      <c r="M76" s="225"/>
      <c r="N76" s="226"/>
      <c r="O76" s="285" t="s">
        <v>126</v>
      </c>
      <c r="P76" s="108" t="s">
        <v>127</v>
      </c>
      <c r="Q76" s="109"/>
      <c r="R76" s="109"/>
      <c r="S76" s="109"/>
      <c r="T76" s="109"/>
      <c r="U76" s="109"/>
      <c r="V76" s="240" t="s">
        <v>71</v>
      </c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6"/>
    </row>
    <row r="77" spans="1:48" x14ac:dyDescent="0.15">
      <c r="D77" s="266"/>
      <c r="E77" s="230"/>
      <c r="F77" s="231"/>
      <c r="G77" s="231"/>
      <c r="H77" s="231"/>
      <c r="I77" s="231"/>
      <c r="J77" s="232"/>
      <c r="K77" s="230"/>
      <c r="L77" s="231"/>
      <c r="M77" s="231"/>
      <c r="N77" s="232"/>
      <c r="O77" s="266"/>
      <c r="P77" s="110" t="s">
        <v>128</v>
      </c>
      <c r="Q77" s="110" t="s">
        <v>129</v>
      </c>
      <c r="R77" s="110" t="s">
        <v>130</v>
      </c>
      <c r="S77" s="110" t="s">
        <v>131</v>
      </c>
      <c r="T77" s="286" t="s">
        <v>132</v>
      </c>
      <c r="U77" s="204"/>
      <c r="V77" s="230"/>
      <c r="W77" s="231"/>
      <c r="X77" s="231"/>
      <c r="Y77" s="231"/>
      <c r="Z77" s="231"/>
      <c r="AA77" s="231"/>
      <c r="AB77" s="231"/>
      <c r="AC77" s="231"/>
      <c r="AD77" s="231"/>
      <c r="AE77" s="231"/>
      <c r="AF77" s="231"/>
      <c r="AG77" s="231"/>
      <c r="AH77" s="232"/>
    </row>
    <row r="78" spans="1:48" x14ac:dyDescent="0.15">
      <c r="D78" s="111">
        <v>1</v>
      </c>
      <c r="E78" s="251" t="s">
        <v>133</v>
      </c>
      <c r="F78" s="203"/>
      <c r="G78" s="203"/>
      <c r="H78" s="203"/>
      <c r="I78" s="203"/>
      <c r="J78" s="204"/>
      <c r="K78" s="250" t="s">
        <v>134</v>
      </c>
      <c r="L78" s="203"/>
      <c r="M78" s="203"/>
      <c r="N78" s="204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83" t="s">
        <v>22</v>
      </c>
      <c r="U78" s="204"/>
      <c r="V78" s="250" t="s">
        <v>22</v>
      </c>
      <c r="W78" s="203"/>
      <c r="X78" s="203"/>
      <c r="Y78" s="203"/>
      <c r="Z78" s="203"/>
      <c r="AA78" s="203"/>
      <c r="AB78" s="203"/>
      <c r="AC78" s="203"/>
      <c r="AD78" s="203"/>
      <c r="AE78" s="203"/>
      <c r="AF78" s="203"/>
      <c r="AG78" s="203"/>
      <c r="AH78" s="204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58" t="s">
        <v>136</v>
      </c>
      <c r="F83" s="203"/>
      <c r="G83" s="203"/>
      <c r="H83" s="203"/>
      <c r="I83" s="203"/>
      <c r="J83" s="259"/>
      <c r="K83" s="279" t="s">
        <v>137</v>
      </c>
      <c r="L83" s="203"/>
      <c r="M83" s="203"/>
      <c r="N83" s="203"/>
      <c r="O83" s="203"/>
      <c r="P83" s="203"/>
      <c r="Q83" s="204"/>
      <c r="R83" s="241" t="s">
        <v>138</v>
      </c>
      <c r="S83" s="203"/>
      <c r="T83" s="203"/>
      <c r="U83" s="203"/>
      <c r="V83" s="203"/>
      <c r="W83" s="203"/>
      <c r="X83" s="203"/>
      <c r="Y83" s="204"/>
      <c r="Z83" s="238" t="s">
        <v>139</v>
      </c>
      <c r="AA83" s="203"/>
      <c r="AB83" s="203"/>
      <c r="AC83" s="203"/>
      <c r="AD83" s="204"/>
      <c r="AE83" s="281" t="s">
        <v>140</v>
      </c>
      <c r="AF83" s="253"/>
      <c r="AG83" s="253"/>
      <c r="AH83" s="254"/>
    </row>
    <row r="84" spans="3:36" ht="27" customHeight="1" x14ac:dyDescent="0.15">
      <c r="D84" s="106">
        <v>1</v>
      </c>
      <c r="E84" s="250" t="s">
        <v>141</v>
      </c>
      <c r="F84" s="203"/>
      <c r="G84" s="203"/>
      <c r="H84" s="203"/>
      <c r="I84" s="203"/>
      <c r="J84" s="204"/>
      <c r="K84" s="250" t="s">
        <v>142</v>
      </c>
      <c r="L84" s="203"/>
      <c r="M84" s="203"/>
      <c r="N84" s="203"/>
      <c r="O84" s="203"/>
      <c r="P84" s="203"/>
      <c r="Q84" s="204"/>
      <c r="R84" s="202" t="s">
        <v>143</v>
      </c>
      <c r="S84" s="203"/>
      <c r="T84" s="203"/>
      <c r="U84" s="203"/>
      <c r="V84" s="203"/>
      <c r="W84" s="203"/>
      <c r="X84" s="203"/>
      <c r="Y84" s="204"/>
      <c r="Z84" s="250" t="s">
        <v>22</v>
      </c>
      <c r="AA84" s="203"/>
      <c r="AB84" s="203"/>
      <c r="AC84" s="203"/>
      <c r="AD84" s="204"/>
      <c r="AE84" s="270" t="s">
        <v>144</v>
      </c>
      <c r="AF84" s="246"/>
      <c r="AG84" s="246"/>
      <c r="AH84" s="247"/>
    </row>
    <row r="85" spans="3:36" ht="27" customHeight="1" x14ac:dyDescent="0.15">
      <c r="D85" s="139">
        <v>2</v>
      </c>
      <c r="E85" s="249" t="s">
        <v>145</v>
      </c>
      <c r="F85" s="203"/>
      <c r="G85" s="203"/>
      <c r="H85" s="203"/>
      <c r="I85" s="203"/>
      <c r="J85" s="204"/>
      <c r="K85" s="249" t="s">
        <v>146</v>
      </c>
      <c r="L85" s="203"/>
      <c r="M85" s="203"/>
      <c r="N85" s="203"/>
      <c r="O85" s="203"/>
      <c r="P85" s="203"/>
      <c r="Q85" s="204"/>
      <c r="R85" s="249" t="s">
        <v>147</v>
      </c>
      <c r="S85" s="203"/>
      <c r="T85" s="203"/>
      <c r="U85" s="203"/>
      <c r="V85" s="203"/>
      <c r="W85" s="203"/>
      <c r="X85" s="203"/>
      <c r="Y85" s="204"/>
      <c r="Z85" s="249" t="s">
        <v>22</v>
      </c>
      <c r="AA85" s="203"/>
      <c r="AB85" s="203"/>
      <c r="AC85" s="203"/>
      <c r="AD85" s="204"/>
      <c r="AE85" s="268" t="s">
        <v>148</v>
      </c>
      <c r="AF85" s="246"/>
      <c r="AG85" s="246"/>
      <c r="AH85" s="247"/>
    </row>
    <row r="86" spans="3:36" ht="27" customHeight="1" x14ac:dyDescent="0.15">
      <c r="D86" s="106">
        <v>3</v>
      </c>
      <c r="E86" s="202" t="s">
        <v>149</v>
      </c>
      <c r="F86" s="203"/>
      <c r="G86" s="203"/>
      <c r="H86" s="203"/>
      <c r="I86" s="203"/>
      <c r="J86" s="204"/>
      <c r="K86" s="202" t="s">
        <v>150</v>
      </c>
      <c r="L86" s="203"/>
      <c r="M86" s="203"/>
      <c r="N86" s="203"/>
      <c r="O86" s="203"/>
      <c r="P86" s="203"/>
      <c r="Q86" s="204"/>
      <c r="R86" s="202" t="s">
        <v>151</v>
      </c>
      <c r="S86" s="203"/>
      <c r="T86" s="203"/>
      <c r="U86" s="203"/>
      <c r="V86" s="203"/>
      <c r="W86" s="203"/>
      <c r="X86" s="203"/>
      <c r="Y86" s="204"/>
      <c r="Z86" s="202" t="s">
        <v>152</v>
      </c>
      <c r="AA86" s="203"/>
      <c r="AB86" s="203"/>
      <c r="AC86" s="203"/>
      <c r="AD86" s="204"/>
      <c r="AE86" s="270" t="s">
        <v>144</v>
      </c>
      <c r="AF86" s="246"/>
      <c r="AG86" s="246"/>
      <c r="AH86" s="247"/>
    </row>
    <row r="87" spans="3:36" ht="27" customHeight="1" x14ac:dyDescent="0.15">
      <c r="D87" s="106">
        <v>4</v>
      </c>
      <c r="E87" s="202" t="s">
        <v>153</v>
      </c>
      <c r="F87" s="203"/>
      <c r="G87" s="203"/>
      <c r="H87" s="203"/>
      <c r="I87" s="203"/>
      <c r="J87" s="204"/>
      <c r="K87" s="202" t="s">
        <v>154</v>
      </c>
      <c r="L87" s="203"/>
      <c r="M87" s="203"/>
      <c r="N87" s="203"/>
      <c r="O87" s="203"/>
      <c r="P87" s="203"/>
      <c r="Q87" s="204"/>
      <c r="R87" s="202" t="s">
        <v>155</v>
      </c>
      <c r="S87" s="203"/>
      <c r="T87" s="203"/>
      <c r="U87" s="203"/>
      <c r="V87" s="203"/>
      <c r="W87" s="203"/>
      <c r="X87" s="203"/>
      <c r="Y87" s="204"/>
      <c r="Z87" s="202" t="s">
        <v>156</v>
      </c>
      <c r="AA87" s="203"/>
      <c r="AB87" s="203"/>
      <c r="AC87" s="203"/>
      <c r="AD87" s="204"/>
      <c r="AE87" s="270" t="s">
        <v>144</v>
      </c>
      <c r="AF87" s="246"/>
      <c r="AG87" s="246"/>
      <c r="AH87" s="247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55" t="s">
        <v>162</v>
      </c>
      <c r="H101" s="203"/>
      <c r="I101" s="203"/>
      <c r="J101" s="203"/>
      <c r="K101" s="203"/>
      <c r="L101" s="203"/>
      <c r="M101" s="203"/>
      <c r="N101" s="203"/>
      <c r="O101" s="203"/>
      <c r="P101" s="204"/>
      <c r="Q101" s="261" t="s">
        <v>163</v>
      </c>
      <c r="R101" s="203"/>
      <c r="S101" s="203"/>
      <c r="T101" s="203"/>
      <c r="U101" s="203"/>
      <c r="V101" s="203"/>
      <c r="W101" s="203"/>
      <c r="X101" s="203"/>
      <c r="Y101" s="203"/>
      <c r="Z101" s="204"/>
    </row>
    <row r="102" spans="4:58" ht="11.25" customHeight="1" x14ac:dyDescent="0.15">
      <c r="G102" s="248" t="s">
        <v>133</v>
      </c>
      <c r="H102" s="225"/>
      <c r="I102" s="225"/>
      <c r="J102" s="225"/>
      <c r="K102" s="225"/>
      <c r="L102" s="225"/>
      <c r="M102" s="225"/>
      <c r="N102" s="225"/>
      <c r="O102" s="225"/>
      <c r="P102" s="226"/>
      <c r="Q102" s="251" t="s">
        <v>86</v>
      </c>
      <c r="R102" s="203"/>
      <c r="S102" s="203"/>
      <c r="T102" s="203"/>
      <c r="U102" s="203"/>
      <c r="V102" s="203"/>
      <c r="W102" s="203"/>
      <c r="X102" s="203"/>
      <c r="Y102" s="203"/>
      <c r="Z102" s="204"/>
      <c r="AG102" s="76"/>
      <c r="AH102" s="76"/>
    </row>
    <row r="103" spans="4:58" x14ac:dyDescent="0.15">
      <c r="G103" s="227"/>
      <c r="H103" s="278"/>
      <c r="I103" s="278"/>
      <c r="J103" s="278"/>
      <c r="K103" s="278"/>
      <c r="L103" s="278"/>
      <c r="M103" s="278"/>
      <c r="N103" s="278"/>
      <c r="O103" s="278"/>
      <c r="P103" s="229"/>
      <c r="Q103" s="251" t="s">
        <v>164</v>
      </c>
      <c r="R103" s="203"/>
      <c r="S103" s="203"/>
      <c r="T103" s="203"/>
      <c r="U103" s="203"/>
      <c r="V103" s="203"/>
      <c r="W103" s="203"/>
      <c r="X103" s="203"/>
      <c r="Y103" s="203"/>
      <c r="Z103" s="204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72" t="s">
        <v>165</v>
      </c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4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55" t="s">
        <v>162</v>
      </c>
      <c r="H127" s="203"/>
      <c r="I127" s="203"/>
      <c r="J127" s="203"/>
      <c r="K127" s="203"/>
      <c r="L127" s="203"/>
      <c r="M127" s="203"/>
      <c r="N127" s="203"/>
      <c r="O127" s="203"/>
      <c r="P127" s="204"/>
      <c r="Q127" s="261" t="s">
        <v>163</v>
      </c>
      <c r="R127" s="203"/>
      <c r="S127" s="203"/>
      <c r="T127" s="203"/>
      <c r="U127" s="203"/>
      <c r="V127" s="203"/>
      <c r="W127" s="203"/>
      <c r="X127" s="203"/>
      <c r="Y127" s="203"/>
      <c r="Z127" s="204"/>
    </row>
    <row r="128" spans="4:58" ht="11.25" customHeight="1" x14ac:dyDescent="0.15">
      <c r="G128" s="248" t="s">
        <v>133</v>
      </c>
      <c r="H128" s="225"/>
      <c r="I128" s="225"/>
      <c r="J128" s="225"/>
      <c r="K128" s="225"/>
      <c r="L128" s="225"/>
      <c r="M128" s="225"/>
      <c r="N128" s="225"/>
      <c r="O128" s="225"/>
      <c r="P128" s="226"/>
      <c r="Q128" s="251" t="s">
        <v>86</v>
      </c>
      <c r="R128" s="203"/>
      <c r="S128" s="203"/>
      <c r="T128" s="203"/>
      <c r="U128" s="203"/>
      <c r="V128" s="203"/>
      <c r="W128" s="203"/>
      <c r="X128" s="203"/>
      <c r="Y128" s="203"/>
      <c r="Z128" s="204"/>
      <c r="AG128" s="76"/>
      <c r="AH128" s="76"/>
    </row>
    <row r="129" spans="4:58" x14ac:dyDescent="0.15">
      <c r="G129" s="227"/>
      <c r="H129" s="278"/>
      <c r="I129" s="278"/>
      <c r="J129" s="278"/>
      <c r="K129" s="278"/>
      <c r="L129" s="278"/>
      <c r="M129" s="278"/>
      <c r="N129" s="278"/>
      <c r="O129" s="278"/>
      <c r="P129" s="229"/>
      <c r="Q129" s="251" t="s">
        <v>164</v>
      </c>
      <c r="R129" s="203"/>
      <c r="S129" s="203"/>
      <c r="T129" s="203"/>
      <c r="U129" s="203"/>
      <c r="V129" s="203"/>
      <c r="W129" s="203"/>
      <c r="X129" s="203"/>
      <c r="Y129" s="203"/>
      <c r="Z129" s="204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72" t="s">
        <v>165</v>
      </c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4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241" t="s">
        <v>181</v>
      </c>
      <c r="H157" s="203"/>
      <c r="I157" s="203"/>
      <c r="J157" s="203"/>
      <c r="K157" s="203"/>
      <c r="L157" s="204"/>
      <c r="M157" s="288" t="s">
        <v>182</v>
      </c>
      <c r="N157" s="203"/>
      <c r="O157" s="203"/>
      <c r="P157" s="203"/>
      <c r="Q157" s="203"/>
      <c r="R157" s="203"/>
      <c r="S157" s="203"/>
      <c r="T157" s="203"/>
      <c r="U157" s="203"/>
      <c r="V157" s="204"/>
      <c r="W157" s="269" t="s">
        <v>183</v>
      </c>
      <c r="X157" s="203"/>
      <c r="Y157" s="204"/>
      <c r="Z157" s="269" t="s">
        <v>184</v>
      </c>
      <c r="AA157" s="203"/>
      <c r="AB157" s="203"/>
      <c r="AC157" s="204"/>
      <c r="AD157" s="284" t="s">
        <v>185</v>
      </c>
      <c r="AE157" s="203"/>
      <c r="AF157" s="203"/>
      <c r="AG157" s="204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89" t="s">
        <v>186</v>
      </c>
      <c r="H158" s="203"/>
      <c r="I158" s="203"/>
      <c r="J158" s="203"/>
      <c r="K158" s="203"/>
      <c r="L158" s="204"/>
      <c r="M158" s="243" t="s">
        <v>187</v>
      </c>
      <c r="N158" s="203"/>
      <c r="O158" s="203"/>
      <c r="P158" s="203"/>
      <c r="Q158" s="203"/>
      <c r="R158" s="203"/>
      <c r="S158" s="203"/>
      <c r="T158" s="203"/>
      <c r="U158" s="203"/>
      <c r="V158" s="204"/>
      <c r="W158" s="257" t="s">
        <v>188</v>
      </c>
      <c r="X158" s="203"/>
      <c r="Y158" s="204"/>
      <c r="Z158" s="243" t="s">
        <v>188</v>
      </c>
      <c r="AA158" s="203"/>
      <c r="AB158" s="203"/>
      <c r="AC158" s="204"/>
      <c r="AD158" s="243" t="s">
        <v>189</v>
      </c>
      <c r="AE158" s="203"/>
      <c r="AF158" s="203"/>
      <c r="AG158" s="204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87" t="s">
        <v>190</v>
      </c>
      <c r="H159" s="203"/>
      <c r="I159" s="203"/>
      <c r="J159" s="203"/>
      <c r="K159" s="203"/>
      <c r="L159" s="204"/>
      <c r="M159" s="267" t="s">
        <v>191</v>
      </c>
      <c r="N159" s="203"/>
      <c r="O159" s="203"/>
      <c r="P159" s="203"/>
      <c r="Q159" s="203"/>
      <c r="R159" s="203"/>
      <c r="S159" s="203"/>
      <c r="T159" s="203"/>
      <c r="U159" s="203"/>
      <c r="V159" s="204"/>
      <c r="W159" s="257" t="s">
        <v>192</v>
      </c>
      <c r="X159" s="203"/>
      <c r="Y159" s="204"/>
      <c r="Z159" s="243" t="s">
        <v>193</v>
      </c>
      <c r="AA159" s="203"/>
      <c r="AB159" s="203"/>
      <c r="AC159" s="204"/>
      <c r="AD159" s="267" t="s">
        <v>189</v>
      </c>
      <c r="AE159" s="203"/>
      <c r="AF159" s="203"/>
      <c r="AG159" s="204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71" t="s">
        <v>162</v>
      </c>
      <c r="H168" s="203"/>
      <c r="I168" s="203"/>
      <c r="J168" s="203"/>
      <c r="K168" s="203"/>
      <c r="L168" s="203"/>
      <c r="M168" s="203"/>
      <c r="N168" s="203"/>
      <c r="O168" s="203"/>
      <c r="P168" s="204"/>
      <c r="Q168" s="275" t="s">
        <v>163</v>
      </c>
      <c r="R168" s="203"/>
      <c r="S168" s="203"/>
      <c r="T168" s="203"/>
      <c r="U168" s="203"/>
      <c r="V168" s="203"/>
      <c r="W168" s="203"/>
      <c r="X168" s="203"/>
      <c r="Y168" s="203"/>
      <c r="Z168" s="204"/>
    </row>
    <row r="169" spans="5:58" ht="11.25" customHeight="1" x14ac:dyDescent="0.15">
      <c r="G169" s="248" t="s">
        <v>133</v>
      </c>
      <c r="H169" s="225"/>
      <c r="I169" s="225"/>
      <c r="J169" s="225"/>
      <c r="K169" s="225"/>
      <c r="L169" s="225"/>
      <c r="M169" s="225"/>
      <c r="N169" s="225"/>
      <c r="O169" s="225"/>
      <c r="P169" s="226"/>
      <c r="Q169" s="251" t="s">
        <v>164</v>
      </c>
      <c r="R169" s="203"/>
      <c r="S169" s="203"/>
      <c r="T169" s="203"/>
      <c r="U169" s="203"/>
      <c r="V169" s="203"/>
      <c r="W169" s="203"/>
      <c r="X169" s="203"/>
      <c r="Y169" s="203"/>
      <c r="Z169" s="204"/>
      <c r="AG169" s="144"/>
      <c r="AH169" s="144"/>
    </row>
    <row r="170" spans="5:58" x14ac:dyDescent="0.15">
      <c r="G170" s="242" t="s">
        <v>165</v>
      </c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4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E86:AH86"/>
    <mergeCell ref="Z68:AB68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L65:AP65"/>
    <mergeCell ref="T78:U78"/>
    <mergeCell ref="U61:Y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60" t="s">
        <v>1</v>
      </c>
      <c r="B1" s="203"/>
      <c r="C1" s="203"/>
      <c r="D1" s="204"/>
      <c r="E1" s="235" t="str">
        <f ca="1">IF(INDIRECT("変更履歴!E1")&lt;&gt;"",INDIRECT("変更履歴!E1"),"")</f>
        <v>サンプルプロジェクト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7" t="str">
        <f ca="1">IF(INDIRECT("変更履歴!S1")&lt;&gt;"",INDIRECT("変更履歴!S1"),"")</f>
        <v>システム機能設計書（画面）
WA10201/プロジェクト登録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 ca="1">IF(INDIRECT("変更履歴!AC1")&lt;&gt;"",INDIRECT("変更履歴!AC1"),"")</f>
        <v>TIS</v>
      </c>
      <c r="AD1" s="203"/>
      <c r="AE1" s="203"/>
      <c r="AF1" s="204"/>
      <c r="AG1" s="273">
        <f ca="1">IF(INDIRECT("変更履歴!AG1")&lt;&gt;"",INDIRECT("変更履歴!AG1"),"")</f>
        <v>43598</v>
      </c>
      <c r="AH1" s="203"/>
      <c r="AI1" s="204"/>
      <c r="AJ1" s="27"/>
    </row>
    <row r="2" spans="1:36" s="11" customFormat="1" x14ac:dyDescent="0.15">
      <c r="A2" s="260" t="s">
        <v>6</v>
      </c>
      <c r="B2" s="203"/>
      <c r="C2" s="203"/>
      <c r="D2" s="204"/>
      <c r="E2" s="235" t="str">
        <f ca="1">IF(INDIRECT("変更履歴!E2")&lt;&gt;"",INDIRECT("変更履歴!E2"),"")</f>
        <v>サンプルシステム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1" t="str">
        <f ca="1">IF(INDIRECT("変更履歴!AC2")&lt;&gt;"",INDIRECT("変更履歴!AC2"),"")</f>
        <v>TIS</v>
      </c>
      <c r="AD2" s="203"/>
      <c r="AE2" s="203"/>
      <c r="AF2" s="204"/>
      <c r="AG2" s="273">
        <f ca="1">IF(INDIRECT("変更履歴!AG2")&lt;&gt;"",INDIRECT("変更履歴!AG2"),"")</f>
        <v>44908</v>
      </c>
      <c r="AH2" s="203"/>
      <c r="AI2" s="204"/>
      <c r="AJ2" s="27"/>
    </row>
    <row r="3" spans="1:36" s="11" customFormat="1" x14ac:dyDescent="0.15">
      <c r="A3" s="260" t="s">
        <v>9</v>
      </c>
      <c r="B3" s="203"/>
      <c r="C3" s="203"/>
      <c r="D3" s="204"/>
      <c r="E3" s="235" t="str">
        <f ca="1">IF(INDIRECT("変更履歴!E3")&lt;&gt;"",INDIRECT("変更履歴!E3"),"")</f>
        <v>プロジェクト管理システム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06"/>
      <c r="AB3" s="204"/>
      <c r="AC3" s="221" t="str">
        <f ca="1">IF(INDIRECT("変更履歴!AC3")&lt;&gt;"",INDIRECT("変更履歴!AC3"),"")</f>
        <v/>
      </c>
      <c r="AD3" s="203"/>
      <c r="AE3" s="203"/>
      <c r="AF3" s="204"/>
      <c r="AG3" s="273" t="str">
        <f ca="1">IF(INDIRECT("変更履歴!AG3")&lt;&gt;"",INDIRECT("変更履歴!AG3"),"")</f>
        <v/>
      </c>
      <c r="AH3" s="203"/>
      <c r="AI3" s="204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94" t="s">
        <v>68</v>
      </c>
      <c r="F42" s="253"/>
      <c r="G42" s="253"/>
      <c r="H42" s="253"/>
      <c r="I42" s="253"/>
      <c r="J42" s="253"/>
      <c r="K42" s="253"/>
      <c r="L42" s="253"/>
      <c r="M42" s="254"/>
      <c r="N42" s="252" t="s">
        <v>69</v>
      </c>
      <c r="O42" s="253"/>
      <c r="P42" s="254"/>
      <c r="Q42" s="252" t="s">
        <v>70</v>
      </c>
      <c r="R42" s="253"/>
      <c r="S42" s="253"/>
      <c r="T42" s="253"/>
      <c r="U42" s="254"/>
      <c r="V42" s="294" t="s">
        <v>71</v>
      </c>
      <c r="W42" s="253"/>
      <c r="X42" s="253"/>
      <c r="Y42" s="253"/>
      <c r="Z42" s="253"/>
      <c r="AA42" s="253"/>
      <c r="AB42" s="253"/>
      <c r="AC42" s="254"/>
    </row>
    <row r="43" spans="3:53" ht="12" customHeight="1" x14ac:dyDescent="0.15">
      <c r="D43" s="124">
        <v>1</v>
      </c>
      <c r="E43" s="245" t="s">
        <v>142</v>
      </c>
      <c r="F43" s="246"/>
      <c r="G43" s="246"/>
      <c r="H43" s="246"/>
      <c r="I43" s="246"/>
      <c r="J43" s="246"/>
      <c r="K43" s="246"/>
      <c r="L43" s="246"/>
      <c r="M43" s="247"/>
      <c r="N43" s="245" t="s">
        <v>142</v>
      </c>
      <c r="O43" s="246"/>
      <c r="P43" s="247"/>
      <c r="Q43" s="245" t="s">
        <v>142</v>
      </c>
      <c r="R43" s="246"/>
      <c r="S43" s="246"/>
      <c r="T43" s="246"/>
      <c r="U43" s="247"/>
      <c r="V43" s="245" t="s">
        <v>22</v>
      </c>
      <c r="W43" s="246"/>
      <c r="X43" s="246"/>
      <c r="Y43" s="246"/>
      <c r="Z43" s="246"/>
      <c r="AA43" s="246"/>
      <c r="AB43" s="246"/>
      <c r="AC43" s="247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238" t="s">
        <v>13</v>
      </c>
      <c r="E48" s="238" t="s">
        <v>72</v>
      </c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  <c r="AB48" s="203"/>
      <c r="AC48" s="204"/>
      <c r="AD48" s="238" t="s">
        <v>73</v>
      </c>
      <c r="AE48" s="225"/>
      <c r="AF48" s="225"/>
      <c r="AG48" s="226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80"/>
      <c r="E49" s="238" t="s">
        <v>75</v>
      </c>
      <c r="F49" s="225"/>
      <c r="G49" s="225"/>
      <c r="H49" s="226"/>
      <c r="I49" s="274" t="s">
        <v>76</v>
      </c>
      <c r="J49" s="225"/>
      <c r="K49" s="225"/>
      <c r="L49" s="226"/>
      <c r="M49" s="277" t="s">
        <v>77</v>
      </c>
      <c r="N49" s="225"/>
      <c r="O49" s="225"/>
      <c r="P49" s="225"/>
      <c r="Q49" s="225"/>
      <c r="R49" s="225"/>
      <c r="S49" s="225"/>
      <c r="T49" s="226"/>
      <c r="U49" s="238" t="s">
        <v>78</v>
      </c>
      <c r="V49" s="225"/>
      <c r="W49" s="225"/>
      <c r="X49" s="225"/>
      <c r="Y49" s="226"/>
      <c r="Z49" s="238" t="s">
        <v>79</v>
      </c>
      <c r="AA49" s="225"/>
      <c r="AB49" s="226"/>
      <c r="AC49" s="238" t="s">
        <v>80</v>
      </c>
      <c r="AD49" s="227"/>
      <c r="AE49" s="239"/>
      <c r="AF49" s="239"/>
      <c r="AG49" s="229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66"/>
      <c r="E50" s="230"/>
      <c r="F50" s="231"/>
      <c r="G50" s="231"/>
      <c r="H50" s="232"/>
      <c r="I50" s="230"/>
      <c r="J50" s="231"/>
      <c r="K50" s="231"/>
      <c r="L50" s="232"/>
      <c r="M50" s="230"/>
      <c r="N50" s="231"/>
      <c r="O50" s="231"/>
      <c r="P50" s="231"/>
      <c r="Q50" s="231"/>
      <c r="R50" s="231"/>
      <c r="S50" s="231"/>
      <c r="T50" s="232"/>
      <c r="U50" s="230"/>
      <c r="V50" s="231"/>
      <c r="W50" s="231"/>
      <c r="X50" s="231"/>
      <c r="Y50" s="232"/>
      <c r="Z50" s="230"/>
      <c r="AA50" s="231"/>
      <c r="AB50" s="232"/>
      <c r="AC50" s="266"/>
      <c r="AD50" s="230"/>
      <c r="AE50" s="231"/>
      <c r="AF50" s="231"/>
      <c r="AG50" s="232"/>
      <c r="AH50" s="92"/>
      <c r="AI50" s="92"/>
      <c r="AJ50" s="92"/>
      <c r="AK50" s="92"/>
      <c r="AL50" s="255" t="s">
        <v>81</v>
      </c>
      <c r="AM50" s="203"/>
      <c r="AN50" s="203"/>
      <c r="AO50" s="203"/>
      <c r="AP50" s="204"/>
      <c r="AQ50" s="92"/>
      <c r="AR50" s="92"/>
      <c r="AS50" s="92"/>
      <c r="AT50" s="92"/>
    </row>
    <row r="51" spans="4:48" s="63" customFormat="1" x14ac:dyDescent="0.15">
      <c r="D51" s="263" t="s">
        <v>82</v>
      </c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4"/>
      <c r="AH51" s="92"/>
      <c r="AI51" s="92"/>
      <c r="AJ51" s="92"/>
      <c r="AK51" s="92"/>
      <c r="AL51" s="290" t="s">
        <v>22</v>
      </c>
      <c r="AM51" s="203"/>
      <c r="AN51" s="203"/>
      <c r="AO51" s="203"/>
      <c r="AP51" s="204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205" t="s">
        <v>83</v>
      </c>
      <c r="F52" s="203"/>
      <c r="G52" s="203"/>
      <c r="H52" s="204"/>
      <c r="I52" s="264" t="s">
        <v>106</v>
      </c>
      <c r="J52" s="203"/>
      <c r="K52" s="203"/>
      <c r="L52" s="204"/>
      <c r="M52" s="243" t="s">
        <v>22</v>
      </c>
      <c r="N52" s="203"/>
      <c r="O52" s="203"/>
      <c r="P52" s="203"/>
      <c r="Q52" s="203"/>
      <c r="R52" s="203"/>
      <c r="S52" s="203"/>
      <c r="T52" s="204"/>
      <c r="U52" s="202" t="s">
        <v>202</v>
      </c>
      <c r="V52" s="203"/>
      <c r="W52" s="203"/>
      <c r="X52" s="203"/>
      <c r="Y52" s="204"/>
      <c r="Z52" s="202" t="s">
        <v>22</v>
      </c>
      <c r="AA52" s="203"/>
      <c r="AB52" s="204"/>
      <c r="AC52" s="142" t="s">
        <v>85</v>
      </c>
      <c r="AD52" s="202" t="s">
        <v>86</v>
      </c>
      <c r="AE52" s="203"/>
      <c r="AF52" s="203"/>
      <c r="AG52" s="204"/>
      <c r="AL52" s="290" t="s">
        <v>22</v>
      </c>
      <c r="AM52" s="203"/>
      <c r="AN52" s="203"/>
      <c r="AO52" s="203"/>
      <c r="AP52" s="204"/>
    </row>
    <row r="53" spans="4:48" s="64" customFormat="1" ht="73.5" customHeight="1" x14ac:dyDescent="0.15">
      <c r="D53" s="158">
        <v>2</v>
      </c>
      <c r="E53" s="205" t="s">
        <v>88</v>
      </c>
      <c r="F53" s="203"/>
      <c r="G53" s="203"/>
      <c r="H53" s="204"/>
      <c r="I53" s="264" t="s">
        <v>106</v>
      </c>
      <c r="J53" s="203"/>
      <c r="K53" s="203"/>
      <c r="L53" s="204"/>
      <c r="M53" s="243" t="s">
        <v>22</v>
      </c>
      <c r="N53" s="203"/>
      <c r="O53" s="203"/>
      <c r="P53" s="203"/>
      <c r="Q53" s="203"/>
      <c r="R53" s="203"/>
      <c r="S53" s="203"/>
      <c r="T53" s="204"/>
      <c r="U53" s="202" t="s">
        <v>202</v>
      </c>
      <c r="V53" s="203"/>
      <c r="W53" s="203"/>
      <c r="X53" s="203"/>
      <c r="Y53" s="204"/>
      <c r="Z53" s="202" t="s">
        <v>22</v>
      </c>
      <c r="AA53" s="203"/>
      <c r="AB53" s="204"/>
      <c r="AC53" s="142" t="s">
        <v>85</v>
      </c>
      <c r="AD53" s="202" t="s">
        <v>86</v>
      </c>
      <c r="AE53" s="203"/>
      <c r="AF53" s="203"/>
      <c r="AG53" s="204"/>
      <c r="AL53" s="290" t="s">
        <v>22</v>
      </c>
      <c r="AM53" s="203"/>
      <c r="AN53" s="203"/>
      <c r="AO53" s="203"/>
      <c r="AP53" s="204"/>
    </row>
    <row r="54" spans="4:48" s="63" customFormat="1" x14ac:dyDescent="0.15">
      <c r="D54" s="158">
        <v>3</v>
      </c>
      <c r="E54" s="205" t="s">
        <v>1</v>
      </c>
      <c r="F54" s="203"/>
      <c r="G54" s="203"/>
      <c r="H54" s="204"/>
      <c r="I54" s="264" t="s">
        <v>106</v>
      </c>
      <c r="J54" s="203"/>
      <c r="K54" s="203"/>
      <c r="L54" s="204"/>
      <c r="M54" s="243" t="s">
        <v>22</v>
      </c>
      <c r="N54" s="203"/>
      <c r="O54" s="203"/>
      <c r="P54" s="203"/>
      <c r="Q54" s="203"/>
      <c r="R54" s="203"/>
      <c r="S54" s="203"/>
      <c r="T54" s="204"/>
      <c r="U54" s="202" t="s">
        <v>22</v>
      </c>
      <c r="V54" s="203"/>
      <c r="W54" s="203"/>
      <c r="X54" s="203"/>
      <c r="Y54" s="204"/>
      <c r="Z54" s="202" t="s">
        <v>22</v>
      </c>
      <c r="AA54" s="203"/>
      <c r="AB54" s="204"/>
      <c r="AC54" s="142" t="s">
        <v>85</v>
      </c>
      <c r="AD54" s="202" t="s">
        <v>91</v>
      </c>
      <c r="AE54" s="203"/>
      <c r="AF54" s="203"/>
      <c r="AG54" s="204"/>
      <c r="AH54" s="92"/>
      <c r="AI54" s="92"/>
      <c r="AJ54" s="92"/>
      <c r="AK54" s="92"/>
      <c r="AL54" s="290" t="s">
        <v>22</v>
      </c>
      <c r="AM54" s="203"/>
      <c r="AN54" s="203"/>
      <c r="AO54" s="203"/>
      <c r="AP54" s="204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205" t="s">
        <v>93</v>
      </c>
      <c r="F55" s="203"/>
      <c r="G55" s="203"/>
      <c r="H55" s="204"/>
      <c r="I55" s="264" t="s">
        <v>106</v>
      </c>
      <c r="J55" s="203"/>
      <c r="K55" s="203"/>
      <c r="L55" s="204"/>
      <c r="M55" s="243" t="s">
        <v>22</v>
      </c>
      <c r="N55" s="203"/>
      <c r="O55" s="203"/>
      <c r="P55" s="203"/>
      <c r="Q55" s="203"/>
      <c r="R55" s="203"/>
      <c r="S55" s="203"/>
      <c r="T55" s="204"/>
      <c r="U55" s="202" t="s">
        <v>203</v>
      </c>
      <c r="V55" s="203"/>
      <c r="W55" s="203"/>
      <c r="X55" s="203"/>
      <c r="Y55" s="204"/>
      <c r="Z55" s="202" t="s">
        <v>22</v>
      </c>
      <c r="AA55" s="203"/>
      <c r="AB55" s="204"/>
      <c r="AC55" s="142" t="s">
        <v>85</v>
      </c>
      <c r="AD55" s="202" t="s">
        <v>95</v>
      </c>
      <c r="AE55" s="203"/>
      <c r="AF55" s="203"/>
      <c r="AG55" s="204"/>
      <c r="AH55" s="92"/>
      <c r="AI55" s="92"/>
      <c r="AJ55" s="92"/>
      <c r="AK55" s="92"/>
      <c r="AL55" s="290" t="s">
        <v>22</v>
      </c>
      <c r="AM55" s="203"/>
      <c r="AN55" s="203"/>
      <c r="AO55" s="203"/>
      <c r="AP55" s="204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205" t="s">
        <v>97</v>
      </c>
      <c r="F56" s="203"/>
      <c r="G56" s="203"/>
      <c r="H56" s="204"/>
      <c r="I56" s="264" t="s">
        <v>106</v>
      </c>
      <c r="J56" s="203"/>
      <c r="K56" s="203"/>
      <c r="L56" s="204"/>
      <c r="M56" s="243" t="s">
        <v>22</v>
      </c>
      <c r="N56" s="203"/>
      <c r="O56" s="203"/>
      <c r="P56" s="203"/>
      <c r="Q56" s="203"/>
      <c r="R56" s="203"/>
      <c r="S56" s="203"/>
      <c r="T56" s="204"/>
      <c r="U56" s="202" t="s">
        <v>204</v>
      </c>
      <c r="V56" s="203"/>
      <c r="W56" s="203"/>
      <c r="X56" s="203"/>
      <c r="Y56" s="204"/>
      <c r="Z56" s="202" t="s">
        <v>22</v>
      </c>
      <c r="AA56" s="203"/>
      <c r="AB56" s="204"/>
      <c r="AC56" s="142" t="s">
        <v>85</v>
      </c>
      <c r="AD56" s="202" t="s">
        <v>100</v>
      </c>
      <c r="AE56" s="203"/>
      <c r="AF56" s="203"/>
      <c r="AG56" s="204"/>
      <c r="AH56" s="92"/>
      <c r="AI56" s="92"/>
      <c r="AJ56" s="92"/>
      <c r="AK56" s="92"/>
      <c r="AL56" s="290" t="s">
        <v>22</v>
      </c>
      <c r="AM56" s="203"/>
      <c r="AN56" s="203"/>
      <c r="AO56" s="203"/>
      <c r="AP56" s="204"/>
      <c r="AQ56" s="92"/>
      <c r="AR56" s="92"/>
      <c r="AS56" s="92"/>
      <c r="AT56" s="92"/>
    </row>
    <row r="57" spans="4:48" ht="52.5" customHeight="1" x14ac:dyDescent="0.15">
      <c r="D57" s="158">
        <v>6</v>
      </c>
      <c r="E57" s="205" t="s">
        <v>102</v>
      </c>
      <c r="F57" s="203"/>
      <c r="G57" s="203"/>
      <c r="H57" s="204"/>
      <c r="I57" s="264" t="s">
        <v>106</v>
      </c>
      <c r="J57" s="203"/>
      <c r="K57" s="203"/>
      <c r="L57" s="204"/>
      <c r="M57" s="243" t="s">
        <v>22</v>
      </c>
      <c r="N57" s="203"/>
      <c r="O57" s="203"/>
      <c r="P57" s="203"/>
      <c r="Q57" s="203"/>
      <c r="R57" s="203"/>
      <c r="S57" s="203"/>
      <c r="T57" s="204"/>
      <c r="U57" s="202" t="s">
        <v>205</v>
      </c>
      <c r="V57" s="203"/>
      <c r="W57" s="203"/>
      <c r="X57" s="203"/>
      <c r="Y57" s="204"/>
      <c r="Z57" s="202" t="s">
        <v>22</v>
      </c>
      <c r="AA57" s="203"/>
      <c r="AB57" s="204"/>
      <c r="AC57" s="142" t="s">
        <v>22</v>
      </c>
      <c r="AD57" s="202" t="s">
        <v>103</v>
      </c>
      <c r="AE57" s="203"/>
      <c r="AF57" s="203"/>
      <c r="AG57" s="204"/>
      <c r="AL57" s="290" t="s">
        <v>22</v>
      </c>
      <c r="AM57" s="203"/>
      <c r="AN57" s="203"/>
      <c r="AO57" s="203"/>
      <c r="AP57" s="204"/>
    </row>
    <row r="58" spans="4:48" s="64" customFormat="1" ht="47.25" customHeight="1" x14ac:dyDescent="0.15">
      <c r="D58" s="158">
        <v>7</v>
      </c>
      <c r="E58" s="205" t="s">
        <v>105</v>
      </c>
      <c r="F58" s="203"/>
      <c r="G58" s="203"/>
      <c r="H58" s="204"/>
      <c r="I58" s="264" t="s">
        <v>106</v>
      </c>
      <c r="J58" s="203"/>
      <c r="K58" s="203"/>
      <c r="L58" s="204"/>
      <c r="M58" s="243" t="s">
        <v>22</v>
      </c>
      <c r="N58" s="203"/>
      <c r="O58" s="203"/>
      <c r="P58" s="203"/>
      <c r="Q58" s="203"/>
      <c r="R58" s="203"/>
      <c r="S58" s="203"/>
      <c r="T58" s="204"/>
      <c r="U58" s="202" t="s">
        <v>206</v>
      </c>
      <c r="V58" s="203"/>
      <c r="W58" s="203"/>
      <c r="X58" s="203"/>
      <c r="Y58" s="204"/>
      <c r="Z58" s="202" t="s">
        <v>22</v>
      </c>
      <c r="AA58" s="203"/>
      <c r="AB58" s="204"/>
      <c r="AC58" s="142" t="s">
        <v>85</v>
      </c>
      <c r="AD58" s="202" t="s">
        <v>207</v>
      </c>
      <c r="AE58" s="203"/>
      <c r="AF58" s="203"/>
      <c r="AG58" s="204"/>
      <c r="AL58" s="290" t="s">
        <v>22</v>
      </c>
      <c r="AM58" s="203"/>
      <c r="AN58" s="203"/>
      <c r="AO58" s="203"/>
      <c r="AP58" s="204"/>
    </row>
    <row r="59" spans="4:48" s="64" customFormat="1" x14ac:dyDescent="0.15">
      <c r="D59" s="158">
        <v>8</v>
      </c>
      <c r="E59" s="205" t="s">
        <v>110</v>
      </c>
      <c r="F59" s="203"/>
      <c r="G59" s="203"/>
      <c r="H59" s="204"/>
      <c r="I59" s="264" t="s">
        <v>106</v>
      </c>
      <c r="J59" s="203"/>
      <c r="K59" s="203"/>
      <c r="L59" s="204"/>
      <c r="M59" s="243" t="s">
        <v>22</v>
      </c>
      <c r="N59" s="203"/>
      <c r="O59" s="203"/>
      <c r="P59" s="203"/>
      <c r="Q59" s="203"/>
      <c r="R59" s="203"/>
      <c r="S59" s="203"/>
      <c r="T59" s="204"/>
      <c r="U59" s="202" t="s">
        <v>22</v>
      </c>
      <c r="V59" s="203"/>
      <c r="W59" s="203"/>
      <c r="X59" s="203"/>
      <c r="Y59" s="204"/>
      <c r="Z59" s="202" t="s">
        <v>22</v>
      </c>
      <c r="AA59" s="203"/>
      <c r="AB59" s="204"/>
      <c r="AC59" s="142" t="s">
        <v>85</v>
      </c>
      <c r="AD59" s="202" t="s">
        <v>111</v>
      </c>
      <c r="AE59" s="203"/>
      <c r="AF59" s="203"/>
      <c r="AG59" s="204"/>
      <c r="AL59" s="290" t="s">
        <v>22</v>
      </c>
      <c r="AM59" s="203"/>
      <c r="AN59" s="203"/>
      <c r="AO59" s="203"/>
      <c r="AP59" s="204"/>
      <c r="AV59" s="75"/>
    </row>
    <row r="60" spans="4:48" s="64" customFormat="1" x14ac:dyDescent="0.15">
      <c r="D60" s="158">
        <v>9</v>
      </c>
      <c r="E60" s="205" t="s">
        <v>113</v>
      </c>
      <c r="F60" s="203"/>
      <c r="G60" s="203"/>
      <c r="H60" s="204"/>
      <c r="I60" s="264" t="s">
        <v>106</v>
      </c>
      <c r="J60" s="203"/>
      <c r="K60" s="203"/>
      <c r="L60" s="204"/>
      <c r="M60" s="243" t="s">
        <v>22</v>
      </c>
      <c r="N60" s="203"/>
      <c r="O60" s="203"/>
      <c r="P60" s="203"/>
      <c r="Q60" s="203"/>
      <c r="R60" s="203"/>
      <c r="S60" s="203"/>
      <c r="T60" s="204"/>
      <c r="U60" s="202" t="s">
        <v>22</v>
      </c>
      <c r="V60" s="203"/>
      <c r="W60" s="203"/>
      <c r="X60" s="203"/>
      <c r="Y60" s="204"/>
      <c r="Z60" s="202" t="s">
        <v>22</v>
      </c>
      <c r="AA60" s="203"/>
      <c r="AB60" s="204"/>
      <c r="AC60" s="142" t="s">
        <v>85</v>
      </c>
      <c r="AD60" s="202" t="s">
        <v>111</v>
      </c>
      <c r="AE60" s="203"/>
      <c r="AF60" s="203"/>
      <c r="AG60" s="204"/>
      <c r="AL60" s="290" t="s">
        <v>22</v>
      </c>
      <c r="AM60" s="203"/>
      <c r="AN60" s="203"/>
      <c r="AO60" s="203"/>
      <c r="AP60" s="204"/>
      <c r="AR60" s="92"/>
      <c r="AS60" s="92"/>
    </row>
    <row r="61" spans="4:48" s="63" customFormat="1" ht="22.5" customHeight="1" x14ac:dyDescent="0.15">
      <c r="D61" s="158">
        <v>10</v>
      </c>
      <c r="E61" s="202" t="s">
        <v>115</v>
      </c>
      <c r="F61" s="203"/>
      <c r="G61" s="203"/>
      <c r="H61" s="204"/>
      <c r="I61" s="264" t="s">
        <v>106</v>
      </c>
      <c r="J61" s="203"/>
      <c r="K61" s="203"/>
      <c r="L61" s="204"/>
      <c r="M61" s="243" t="s">
        <v>22</v>
      </c>
      <c r="N61" s="203"/>
      <c r="O61" s="203"/>
      <c r="P61" s="203"/>
      <c r="Q61" s="203"/>
      <c r="R61" s="203"/>
      <c r="S61" s="203"/>
      <c r="T61" s="204"/>
      <c r="U61" s="202" t="s">
        <v>117</v>
      </c>
      <c r="V61" s="203"/>
      <c r="W61" s="203"/>
      <c r="X61" s="203"/>
      <c r="Y61" s="204"/>
      <c r="Z61" s="202" t="s">
        <v>22</v>
      </c>
      <c r="AA61" s="203"/>
      <c r="AB61" s="204"/>
      <c r="AC61" s="142" t="s">
        <v>85</v>
      </c>
      <c r="AD61" s="202" t="s">
        <v>118</v>
      </c>
      <c r="AE61" s="203"/>
      <c r="AF61" s="203"/>
      <c r="AG61" s="204"/>
      <c r="AH61" s="92"/>
      <c r="AI61" s="92"/>
      <c r="AJ61" s="92"/>
      <c r="AK61" s="92"/>
      <c r="AL61" s="290" t="s">
        <v>22</v>
      </c>
      <c r="AM61" s="203"/>
      <c r="AN61" s="203"/>
      <c r="AO61" s="203"/>
      <c r="AP61" s="204"/>
      <c r="AQ61" s="92"/>
      <c r="AR61" s="92"/>
    </row>
    <row r="62" spans="4:48" s="64" customFormat="1" ht="22.5" customHeight="1" x14ac:dyDescent="0.15">
      <c r="D62" s="158">
        <v>11</v>
      </c>
      <c r="E62" s="202" t="s">
        <v>120</v>
      </c>
      <c r="F62" s="203"/>
      <c r="G62" s="203"/>
      <c r="H62" s="204"/>
      <c r="I62" s="264" t="s">
        <v>106</v>
      </c>
      <c r="J62" s="203"/>
      <c r="K62" s="203"/>
      <c r="L62" s="204"/>
      <c r="M62" s="243" t="s">
        <v>22</v>
      </c>
      <c r="N62" s="203"/>
      <c r="O62" s="203"/>
      <c r="P62" s="203"/>
      <c r="Q62" s="203"/>
      <c r="R62" s="203"/>
      <c r="S62" s="203"/>
      <c r="T62" s="204"/>
      <c r="U62" s="202" t="s">
        <v>117</v>
      </c>
      <c r="V62" s="203"/>
      <c r="W62" s="203"/>
      <c r="X62" s="203"/>
      <c r="Y62" s="204"/>
      <c r="Z62" s="202" t="s">
        <v>22</v>
      </c>
      <c r="AA62" s="203"/>
      <c r="AB62" s="204"/>
      <c r="AC62" s="142" t="s">
        <v>85</v>
      </c>
      <c r="AD62" s="202" t="s">
        <v>118</v>
      </c>
      <c r="AE62" s="203"/>
      <c r="AF62" s="203"/>
      <c r="AG62" s="204"/>
      <c r="AL62" s="290" t="s">
        <v>22</v>
      </c>
      <c r="AM62" s="203"/>
      <c r="AN62" s="203"/>
      <c r="AO62" s="203"/>
      <c r="AP62" s="204"/>
    </row>
    <row r="63" spans="4:48" ht="28.5" customHeight="1" x14ac:dyDescent="0.15">
      <c r="D63" s="158">
        <v>12</v>
      </c>
      <c r="E63" s="205" t="s">
        <v>71</v>
      </c>
      <c r="F63" s="203"/>
      <c r="G63" s="203"/>
      <c r="H63" s="204"/>
      <c r="I63" s="264" t="s">
        <v>106</v>
      </c>
      <c r="J63" s="203"/>
      <c r="K63" s="203"/>
      <c r="L63" s="204"/>
      <c r="M63" s="243" t="s">
        <v>22</v>
      </c>
      <c r="N63" s="203"/>
      <c r="O63" s="203"/>
      <c r="P63" s="203"/>
      <c r="Q63" s="203"/>
      <c r="R63" s="203"/>
      <c r="S63" s="203"/>
      <c r="T63" s="204"/>
      <c r="U63" s="202" t="s">
        <v>208</v>
      </c>
      <c r="V63" s="203"/>
      <c r="W63" s="203"/>
      <c r="X63" s="203"/>
      <c r="Y63" s="204"/>
      <c r="Z63" s="202" t="s">
        <v>22</v>
      </c>
      <c r="AA63" s="203"/>
      <c r="AB63" s="204"/>
      <c r="AC63" s="142" t="s">
        <v>22</v>
      </c>
      <c r="AD63" s="202" t="s">
        <v>71</v>
      </c>
      <c r="AE63" s="203"/>
      <c r="AF63" s="203"/>
      <c r="AG63" s="204"/>
      <c r="AL63" s="290" t="s">
        <v>22</v>
      </c>
      <c r="AM63" s="203"/>
      <c r="AN63" s="203"/>
      <c r="AO63" s="203"/>
      <c r="AP63" s="204"/>
    </row>
    <row r="64" spans="4:48" s="64" customFormat="1" ht="73.5" customHeight="1" x14ac:dyDescent="0.15">
      <c r="D64" s="158">
        <v>13</v>
      </c>
      <c r="E64" s="205" t="s">
        <v>83</v>
      </c>
      <c r="F64" s="203"/>
      <c r="G64" s="203"/>
      <c r="H64" s="204"/>
      <c r="I64" s="264" t="s">
        <v>209</v>
      </c>
      <c r="J64" s="203"/>
      <c r="K64" s="203"/>
      <c r="L64" s="204"/>
      <c r="M64" s="243" t="s">
        <v>22</v>
      </c>
      <c r="N64" s="203"/>
      <c r="O64" s="203"/>
      <c r="P64" s="203"/>
      <c r="Q64" s="203"/>
      <c r="R64" s="203"/>
      <c r="S64" s="203"/>
      <c r="T64" s="204"/>
      <c r="U64" s="202" t="s">
        <v>22</v>
      </c>
      <c r="V64" s="203"/>
      <c r="W64" s="203"/>
      <c r="X64" s="203"/>
      <c r="Y64" s="204"/>
      <c r="Z64" s="202" t="s">
        <v>22</v>
      </c>
      <c r="AA64" s="203"/>
      <c r="AB64" s="204"/>
      <c r="AC64" s="142" t="s">
        <v>85</v>
      </c>
      <c r="AD64" s="202" t="s">
        <v>86</v>
      </c>
      <c r="AE64" s="203"/>
      <c r="AF64" s="203"/>
      <c r="AG64" s="204"/>
      <c r="AL64" s="205" t="s">
        <v>87</v>
      </c>
      <c r="AM64" s="203"/>
      <c r="AN64" s="203"/>
      <c r="AO64" s="203"/>
      <c r="AP64" s="204"/>
    </row>
    <row r="65" spans="3:52" s="64" customFormat="1" ht="73.5" customHeight="1" x14ac:dyDescent="0.15">
      <c r="D65" s="158">
        <v>14</v>
      </c>
      <c r="E65" s="205" t="s">
        <v>88</v>
      </c>
      <c r="F65" s="203"/>
      <c r="G65" s="203"/>
      <c r="H65" s="204"/>
      <c r="I65" s="264" t="s">
        <v>209</v>
      </c>
      <c r="J65" s="203"/>
      <c r="K65" s="203"/>
      <c r="L65" s="204"/>
      <c r="M65" s="243" t="s">
        <v>22</v>
      </c>
      <c r="N65" s="203"/>
      <c r="O65" s="203"/>
      <c r="P65" s="203"/>
      <c r="Q65" s="203"/>
      <c r="R65" s="203"/>
      <c r="S65" s="203"/>
      <c r="T65" s="204"/>
      <c r="U65" s="202" t="s">
        <v>22</v>
      </c>
      <c r="V65" s="203"/>
      <c r="W65" s="203"/>
      <c r="X65" s="203"/>
      <c r="Y65" s="204"/>
      <c r="Z65" s="202" t="s">
        <v>22</v>
      </c>
      <c r="AA65" s="203"/>
      <c r="AB65" s="204"/>
      <c r="AC65" s="142" t="s">
        <v>85</v>
      </c>
      <c r="AD65" s="202" t="s">
        <v>86</v>
      </c>
      <c r="AE65" s="203"/>
      <c r="AF65" s="203"/>
      <c r="AG65" s="204"/>
      <c r="AL65" s="205" t="s">
        <v>89</v>
      </c>
      <c r="AM65" s="203"/>
      <c r="AN65" s="203"/>
      <c r="AO65" s="203"/>
      <c r="AP65" s="204"/>
    </row>
    <row r="66" spans="3:52" s="63" customFormat="1" ht="11.25" customHeight="1" x14ac:dyDescent="0.15">
      <c r="D66" s="158">
        <v>15</v>
      </c>
      <c r="E66" s="205" t="s">
        <v>1</v>
      </c>
      <c r="F66" s="203"/>
      <c r="G66" s="203"/>
      <c r="H66" s="204"/>
      <c r="I66" s="264" t="s">
        <v>209</v>
      </c>
      <c r="J66" s="203"/>
      <c r="K66" s="203"/>
      <c r="L66" s="204"/>
      <c r="M66" s="243" t="s">
        <v>22</v>
      </c>
      <c r="N66" s="203"/>
      <c r="O66" s="203"/>
      <c r="P66" s="203"/>
      <c r="Q66" s="203"/>
      <c r="R66" s="203"/>
      <c r="S66" s="203"/>
      <c r="T66" s="204"/>
      <c r="U66" s="202" t="s">
        <v>22</v>
      </c>
      <c r="V66" s="203"/>
      <c r="W66" s="203"/>
      <c r="X66" s="203"/>
      <c r="Y66" s="204"/>
      <c r="Z66" s="202" t="s">
        <v>22</v>
      </c>
      <c r="AA66" s="203"/>
      <c r="AB66" s="204"/>
      <c r="AC66" s="142" t="s">
        <v>85</v>
      </c>
      <c r="AD66" s="202" t="s">
        <v>91</v>
      </c>
      <c r="AE66" s="203"/>
      <c r="AF66" s="203"/>
      <c r="AG66" s="204"/>
      <c r="AH66" s="92"/>
      <c r="AI66" s="92"/>
      <c r="AJ66" s="92"/>
      <c r="AK66" s="92"/>
      <c r="AL66" s="205" t="s">
        <v>92</v>
      </c>
      <c r="AM66" s="203"/>
      <c r="AN66" s="203"/>
      <c r="AO66" s="203"/>
      <c r="AP66" s="204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205" t="s">
        <v>93</v>
      </c>
      <c r="F67" s="203"/>
      <c r="G67" s="203"/>
      <c r="H67" s="204"/>
      <c r="I67" s="264" t="s">
        <v>209</v>
      </c>
      <c r="J67" s="203"/>
      <c r="K67" s="203"/>
      <c r="L67" s="204"/>
      <c r="M67" s="243" t="s">
        <v>22</v>
      </c>
      <c r="N67" s="203"/>
      <c r="O67" s="203"/>
      <c r="P67" s="203"/>
      <c r="Q67" s="203"/>
      <c r="R67" s="203"/>
      <c r="S67" s="203"/>
      <c r="T67" s="204"/>
      <c r="U67" s="202" t="s">
        <v>22</v>
      </c>
      <c r="V67" s="203"/>
      <c r="W67" s="203"/>
      <c r="X67" s="203"/>
      <c r="Y67" s="204"/>
      <c r="Z67" s="202" t="s">
        <v>22</v>
      </c>
      <c r="AA67" s="203"/>
      <c r="AB67" s="204"/>
      <c r="AC67" s="142" t="s">
        <v>85</v>
      </c>
      <c r="AD67" s="202" t="s">
        <v>95</v>
      </c>
      <c r="AE67" s="203"/>
      <c r="AF67" s="203"/>
      <c r="AG67" s="204"/>
      <c r="AH67" s="92"/>
      <c r="AI67" s="92"/>
      <c r="AJ67" s="92"/>
      <c r="AK67" s="92"/>
      <c r="AL67" s="205" t="s">
        <v>96</v>
      </c>
      <c r="AM67" s="203"/>
      <c r="AN67" s="203"/>
      <c r="AO67" s="203"/>
      <c r="AP67" s="204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205" t="s">
        <v>97</v>
      </c>
      <c r="F68" s="203"/>
      <c r="G68" s="203"/>
      <c r="H68" s="204"/>
      <c r="I68" s="264" t="s">
        <v>209</v>
      </c>
      <c r="J68" s="203"/>
      <c r="K68" s="203"/>
      <c r="L68" s="204"/>
      <c r="M68" s="243" t="s">
        <v>22</v>
      </c>
      <c r="N68" s="203"/>
      <c r="O68" s="203"/>
      <c r="P68" s="203"/>
      <c r="Q68" s="203"/>
      <c r="R68" s="203"/>
      <c r="S68" s="203"/>
      <c r="T68" s="204"/>
      <c r="U68" s="202" t="s">
        <v>22</v>
      </c>
      <c r="V68" s="203"/>
      <c r="W68" s="203"/>
      <c r="X68" s="203"/>
      <c r="Y68" s="204"/>
      <c r="Z68" s="202" t="s">
        <v>22</v>
      </c>
      <c r="AA68" s="203"/>
      <c r="AB68" s="204"/>
      <c r="AC68" s="142" t="s">
        <v>85</v>
      </c>
      <c r="AD68" s="202" t="s">
        <v>100</v>
      </c>
      <c r="AE68" s="203"/>
      <c r="AF68" s="203"/>
      <c r="AG68" s="204"/>
      <c r="AH68" s="92"/>
      <c r="AI68" s="92"/>
      <c r="AJ68" s="92"/>
      <c r="AK68" s="92"/>
      <c r="AL68" s="205" t="s">
        <v>101</v>
      </c>
      <c r="AM68" s="203"/>
      <c r="AN68" s="203"/>
      <c r="AO68" s="203"/>
      <c r="AP68" s="204"/>
      <c r="AQ68" s="92"/>
      <c r="AR68" s="92"/>
      <c r="AS68" s="92"/>
      <c r="AT68" s="92"/>
    </row>
    <row r="69" spans="3:52" ht="52.5" customHeight="1" x14ac:dyDescent="0.15">
      <c r="D69" s="158">
        <v>18</v>
      </c>
      <c r="E69" s="205" t="s">
        <v>102</v>
      </c>
      <c r="F69" s="203"/>
      <c r="G69" s="203"/>
      <c r="H69" s="204"/>
      <c r="I69" s="264" t="s">
        <v>209</v>
      </c>
      <c r="J69" s="203"/>
      <c r="K69" s="203"/>
      <c r="L69" s="204"/>
      <c r="M69" s="243" t="s">
        <v>22</v>
      </c>
      <c r="N69" s="203"/>
      <c r="O69" s="203"/>
      <c r="P69" s="203"/>
      <c r="Q69" s="203"/>
      <c r="R69" s="203"/>
      <c r="S69" s="203"/>
      <c r="T69" s="204"/>
      <c r="U69" s="202" t="s">
        <v>22</v>
      </c>
      <c r="V69" s="203"/>
      <c r="W69" s="203"/>
      <c r="X69" s="203"/>
      <c r="Y69" s="204"/>
      <c r="Z69" s="202" t="s">
        <v>22</v>
      </c>
      <c r="AA69" s="203"/>
      <c r="AB69" s="204"/>
      <c r="AC69" s="142" t="s">
        <v>22</v>
      </c>
      <c r="AD69" s="202" t="s">
        <v>103</v>
      </c>
      <c r="AE69" s="203"/>
      <c r="AF69" s="203"/>
      <c r="AG69" s="204"/>
      <c r="AL69" s="205" t="s">
        <v>104</v>
      </c>
      <c r="AM69" s="203"/>
      <c r="AN69" s="203"/>
      <c r="AO69" s="203"/>
      <c r="AP69" s="204"/>
    </row>
    <row r="70" spans="3:52" s="64" customFormat="1" ht="47.25" customHeight="1" x14ac:dyDescent="0.15">
      <c r="D70" s="158">
        <v>19</v>
      </c>
      <c r="E70" s="205" t="s">
        <v>105</v>
      </c>
      <c r="F70" s="203"/>
      <c r="G70" s="203"/>
      <c r="H70" s="204"/>
      <c r="I70" s="264" t="s">
        <v>209</v>
      </c>
      <c r="J70" s="203"/>
      <c r="K70" s="203"/>
      <c r="L70" s="204"/>
      <c r="M70" s="243" t="s">
        <v>22</v>
      </c>
      <c r="N70" s="203"/>
      <c r="O70" s="203"/>
      <c r="P70" s="203"/>
      <c r="Q70" s="203"/>
      <c r="R70" s="203"/>
      <c r="S70" s="203"/>
      <c r="T70" s="204"/>
      <c r="U70" s="202" t="s">
        <v>22</v>
      </c>
      <c r="V70" s="203"/>
      <c r="W70" s="203"/>
      <c r="X70" s="203"/>
      <c r="Y70" s="204"/>
      <c r="Z70" s="202" t="s">
        <v>22</v>
      </c>
      <c r="AA70" s="203"/>
      <c r="AB70" s="204"/>
      <c r="AC70" s="142" t="s">
        <v>85</v>
      </c>
      <c r="AD70" s="202" t="s">
        <v>108</v>
      </c>
      <c r="AE70" s="203"/>
      <c r="AF70" s="203"/>
      <c r="AG70" s="204"/>
      <c r="AL70" s="205" t="s">
        <v>109</v>
      </c>
      <c r="AM70" s="203"/>
      <c r="AN70" s="203"/>
      <c r="AO70" s="203"/>
      <c r="AP70" s="204"/>
    </row>
    <row r="71" spans="3:52" s="64" customFormat="1" ht="11.25" customHeight="1" x14ac:dyDescent="0.15">
      <c r="D71" s="158">
        <v>20</v>
      </c>
      <c r="E71" s="205" t="s">
        <v>110</v>
      </c>
      <c r="F71" s="203"/>
      <c r="G71" s="203"/>
      <c r="H71" s="204"/>
      <c r="I71" s="264" t="s">
        <v>209</v>
      </c>
      <c r="J71" s="203"/>
      <c r="K71" s="203"/>
      <c r="L71" s="204"/>
      <c r="M71" s="243" t="s">
        <v>22</v>
      </c>
      <c r="N71" s="203"/>
      <c r="O71" s="203"/>
      <c r="P71" s="203"/>
      <c r="Q71" s="203"/>
      <c r="R71" s="203"/>
      <c r="S71" s="203"/>
      <c r="T71" s="204"/>
      <c r="U71" s="202" t="s">
        <v>22</v>
      </c>
      <c r="V71" s="203"/>
      <c r="W71" s="203"/>
      <c r="X71" s="203"/>
      <c r="Y71" s="204"/>
      <c r="Z71" s="202" t="s">
        <v>22</v>
      </c>
      <c r="AA71" s="203"/>
      <c r="AB71" s="204"/>
      <c r="AC71" s="142" t="s">
        <v>85</v>
      </c>
      <c r="AD71" s="202" t="s">
        <v>111</v>
      </c>
      <c r="AE71" s="203"/>
      <c r="AF71" s="203"/>
      <c r="AG71" s="204"/>
      <c r="AL71" s="205" t="s">
        <v>112</v>
      </c>
      <c r="AM71" s="203"/>
      <c r="AN71" s="203"/>
      <c r="AO71" s="203"/>
      <c r="AP71" s="204"/>
      <c r="AV71" s="75"/>
    </row>
    <row r="72" spans="3:52" s="64" customFormat="1" ht="11.25" customHeight="1" x14ac:dyDescent="0.15">
      <c r="D72" s="158">
        <v>21</v>
      </c>
      <c r="E72" s="205" t="s">
        <v>113</v>
      </c>
      <c r="F72" s="203"/>
      <c r="G72" s="203"/>
      <c r="H72" s="204"/>
      <c r="I72" s="264" t="s">
        <v>209</v>
      </c>
      <c r="J72" s="203"/>
      <c r="K72" s="203"/>
      <c r="L72" s="204"/>
      <c r="M72" s="243" t="s">
        <v>22</v>
      </c>
      <c r="N72" s="203"/>
      <c r="O72" s="203"/>
      <c r="P72" s="203"/>
      <c r="Q72" s="203"/>
      <c r="R72" s="203"/>
      <c r="S72" s="203"/>
      <c r="T72" s="204"/>
      <c r="U72" s="202" t="s">
        <v>22</v>
      </c>
      <c r="V72" s="203"/>
      <c r="W72" s="203"/>
      <c r="X72" s="203"/>
      <c r="Y72" s="204"/>
      <c r="Z72" s="202" t="s">
        <v>22</v>
      </c>
      <c r="AA72" s="203"/>
      <c r="AB72" s="204"/>
      <c r="AC72" s="142" t="s">
        <v>85</v>
      </c>
      <c r="AD72" s="202" t="s">
        <v>111</v>
      </c>
      <c r="AE72" s="203"/>
      <c r="AF72" s="203"/>
      <c r="AG72" s="204"/>
      <c r="AL72" s="202" t="s">
        <v>114</v>
      </c>
      <c r="AM72" s="203"/>
      <c r="AN72" s="203"/>
      <c r="AO72" s="203"/>
      <c r="AP72" s="204"/>
      <c r="AR72" s="92"/>
      <c r="AS72" s="92"/>
    </row>
    <row r="73" spans="3:52" s="63" customFormat="1" ht="22.5" customHeight="1" x14ac:dyDescent="0.15">
      <c r="D73" s="158">
        <v>22</v>
      </c>
      <c r="E73" s="202" t="s">
        <v>115</v>
      </c>
      <c r="F73" s="203"/>
      <c r="G73" s="203"/>
      <c r="H73" s="204"/>
      <c r="I73" s="264" t="s">
        <v>209</v>
      </c>
      <c r="J73" s="203"/>
      <c r="K73" s="203"/>
      <c r="L73" s="204"/>
      <c r="M73" s="243" t="s">
        <v>22</v>
      </c>
      <c r="N73" s="203"/>
      <c r="O73" s="203"/>
      <c r="P73" s="203"/>
      <c r="Q73" s="203"/>
      <c r="R73" s="203"/>
      <c r="S73" s="203"/>
      <c r="T73" s="204"/>
      <c r="U73" s="202" t="s">
        <v>22</v>
      </c>
      <c r="V73" s="203"/>
      <c r="W73" s="203"/>
      <c r="X73" s="203"/>
      <c r="Y73" s="204"/>
      <c r="Z73" s="202" t="s">
        <v>22</v>
      </c>
      <c r="AA73" s="203"/>
      <c r="AB73" s="204"/>
      <c r="AC73" s="142" t="s">
        <v>85</v>
      </c>
      <c r="AD73" s="202" t="s">
        <v>118</v>
      </c>
      <c r="AE73" s="203"/>
      <c r="AF73" s="203"/>
      <c r="AG73" s="204"/>
      <c r="AH73" s="92"/>
      <c r="AI73" s="92"/>
      <c r="AJ73" s="92"/>
      <c r="AK73" s="92"/>
      <c r="AL73" s="205" t="s">
        <v>119</v>
      </c>
      <c r="AM73" s="203"/>
      <c r="AN73" s="203"/>
      <c r="AO73" s="203"/>
      <c r="AP73" s="204"/>
      <c r="AQ73" s="92"/>
      <c r="AR73" s="92"/>
    </row>
    <row r="74" spans="3:52" s="64" customFormat="1" ht="22.5" customHeight="1" x14ac:dyDescent="0.15">
      <c r="D74" s="158">
        <v>23</v>
      </c>
      <c r="E74" s="202" t="s">
        <v>120</v>
      </c>
      <c r="F74" s="203"/>
      <c r="G74" s="203"/>
      <c r="H74" s="204"/>
      <c r="I74" s="264" t="s">
        <v>209</v>
      </c>
      <c r="J74" s="203"/>
      <c r="K74" s="203"/>
      <c r="L74" s="204"/>
      <c r="M74" s="243" t="s">
        <v>22</v>
      </c>
      <c r="N74" s="203"/>
      <c r="O74" s="203"/>
      <c r="P74" s="203"/>
      <c r="Q74" s="203"/>
      <c r="R74" s="203"/>
      <c r="S74" s="203"/>
      <c r="T74" s="204"/>
      <c r="U74" s="202" t="s">
        <v>22</v>
      </c>
      <c r="V74" s="203"/>
      <c r="W74" s="203"/>
      <c r="X74" s="203"/>
      <c r="Y74" s="204"/>
      <c r="Z74" s="202" t="s">
        <v>22</v>
      </c>
      <c r="AA74" s="203"/>
      <c r="AB74" s="204"/>
      <c r="AC74" s="142" t="s">
        <v>85</v>
      </c>
      <c r="AD74" s="202" t="s">
        <v>118</v>
      </c>
      <c r="AE74" s="203"/>
      <c r="AF74" s="203"/>
      <c r="AG74" s="204"/>
      <c r="AL74" s="205" t="s">
        <v>121</v>
      </c>
      <c r="AM74" s="203"/>
      <c r="AN74" s="203"/>
      <c r="AO74" s="203"/>
      <c r="AP74" s="204"/>
    </row>
    <row r="75" spans="3:52" ht="28.5" customHeight="1" x14ac:dyDescent="0.15">
      <c r="D75" s="158">
        <v>24</v>
      </c>
      <c r="E75" s="205" t="s">
        <v>71</v>
      </c>
      <c r="F75" s="203"/>
      <c r="G75" s="203"/>
      <c r="H75" s="204"/>
      <c r="I75" s="264" t="s">
        <v>209</v>
      </c>
      <c r="J75" s="203"/>
      <c r="K75" s="203"/>
      <c r="L75" s="204"/>
      <c r="M75" s="243" t="s">
        <v>22</v>
      </c>
      <c r="N75" s="203"/>
      <c r="O75" s="203"/>
      <c r="P75" s="203"/>
      <c r="Q75" s="203"/>
      <c r="R75" s="203"/>
      <c r="S75" s="203"/>
      <c r="T75" s="204"/>
      <c r="U75" s="202" t="s">
        <v>22</v>
      </c>
      <c r="V75" s="203"/>
      <c r="W75" s="203"/>
      <c r="X75" s="203"/>
      <c r="Y75" s="204"/>
      <c r="Z75" s="202" t="s">
        <v>22</v>
      </c>
      <c r="AA75" s="203"/>
      <c r="AB75" s="204"/>
      <c r="AC75" s="142" t="s">
        <v>22</v>
      </c>
      <c r="AD75" s="202" t="s">
        <v>71</v>
      </c>
      <c r="AE75" s="203"/>
      <c r="AF75" s="203"/>
      <c r="AG75" s="204"/>
      <c r="AL75" s="262" t="s">
        <v>123</v>
      </c>
      <c r="AM75" s="203"/>
      <c r="AN75" s="203"/>
      <c r="AO75" s="203"/>
      <c r="AP75" s="204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65" t="s">
        <v>13</v>
      </c>
      <c r="E80" s="240" t="s">
        <v>124</v>
      </c>
      <c r="F80" s="225"/>
      <c r="G80" s="225"/>
      <c r="H80" s="225"/>
      <c r="I80" s="225"/>
      <c r="J80" s="226"/>
      <c r="K80" s="240" t="s">
        <v>125</v>
      </c>
      <c r="L80" s="225"/>
      <c r="M80" s="225"/>
      <c r="N80" s="226"/>
      <c r="O80" s="285" t="s">
        <v>126</v>
      </c>
      <c r="P80" s="108" t="s">
        <v>127</v>
      </c>
      <c r="Q80" s="109"/>
      <c r="R80" s="109"/>
      <c r="S80" s="109"/>
      <c r="T80" s="109"/>
      <c r="U80" s="109"/>
      <c r="V80" s="240" t="s">
        <v>71</v>
      </c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6"/>
    </row>
    <row r="81" spans="3:58" x14ac:dyDescent="0.15">
      <c r="D81" s="266"/>
      <c r="E81" s="230"/>
      <c r="F81" s="231"/>
      <c r="G81" s="231"/>
      <c r="H81" s="231"/>
      <c r="I81" s="231"/>
      <c r="J81" s="232"/>
      <c r="K81" s="230"/>
      <c r="L81" s="231"/>
      <c r="M81" s="231"/>
      <c r="N81" s="232"/>
      <c r="O81" s="266"/>
      <c r="P81" s="110" t="s">
        <v>128</v>
      </c>
      <c r="Q81" s="110" t="s">
        <v>129</v>
      </c>
      <c r="R81" s="110" t="s">
        <v>130</v>
      </c>
      <c r="S81" s="110" t="s">
        <v>131</v>
      </c>
      <c r="T81" s="286" t="s">
        <v>132</v>
      </c>
      <c r="U81" s="204"/>
      <c r="V81" s="230"/>
      <c r="W81" s="231"/>
      <c r="X81" s="231"/>
      <c r="Y81" s="231"/>
      <c r="Z81" s="231"/>
      <c r="AA81" s="231"/>
      <c r="AB81" s="231"/>
      <c r="AC81" s="231"/>
      <c r="AD81" s="231"/>
      <c r="AE81" s="231"/>
      <c r="AF81" s="231"/>
      <c r="AG81" s="231"/>
      <c r="AH81" s="232"/>
    </row>
    <row r="82" spans="3:58" ht="11.25" customHeight="1" x14ac:dyDescent="0.15">
      <c r="D82" s="111">
        <v>1</v>
      </c>
      <c r="E82" s="251" t="s">
        <v>210</v>
      </c>
      <c r="F82" s="203"/>
      <c r="G82" s="203"/>
      <c r="H82" s="203"/>
      <c r="I82" s="203"/>
      <c r="J82" s="204"/>
      <c r="K82" s="250" t="s">
        <v>134</v>
      </c>
      <c r="L82" s="203"/>
      <c r="M82" s="203"/>
      <c r="N82" s="204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83" t="s">
        <v>22</v>
      </c>
      <c r="U82" s="204"/>
      <c r="V82" s="250" t="s">
        <v>22</v>
      </c>
      <c r="W82" s="203"/>
      <c r="X82" s="203"/>
      <c r="Y82" s="203"/>
      <c r="Z82" s="203"/>
      <c r="AA82" s="203"/>
      <c r="AB82" s="203"/>
      <c r="AC82" s="203"/>
      <c r="AD82" s="203"/>
      <c r="AE82" s="203"/>
      <c r="AF82" s="203"/>
      <c r="AG82" s="203"/>
      <c r="AH82" s="204"/>
    </row>
    <row r="83" spans="3:58" x14ac:dyDescent="0.15">
      <c r="D83" s="111">
        <v>2</v>
      </c>
      <c r="E83" s="251" t="s">
        <v>133</v>
      </c>
      <c r="F83" s="203"/>
      <c r="G83" s="203"/>
      <c r="H83" s="203"/>
      <c r="I83" s="203"/>
      <c r="J83" s="204"/>
      <c r="K83" s="250" t="s">
        <v>134</v>
      </c>
      <c r="L83" s="203"/>
      <c r="M83" s="203"/>
      <c r="N83" s="204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83" t="s">
        <v>22</v>
      </c>
      <c r="U83" s="204"/>
      <c r="V83" s="250" t="s">
        <v>22</v>
      </c>
      <c r="W83" s="203"/>
      <c r="X83" s="203"/>
      <c r="Y83" s="203"/>
      <c r="Z83" s="203"/>
      <c r="AA83" s="203"/>
      <c r="AB83" s="203"/>
      <c r="AC83" s="203"/>
      <c r="AD83" s="203"/>
      <c r="AE83" s="203"/>
      <c r="AF83" s="203"/>
      <c r="AG83" s="203"/>
      <c r="AH83" s="204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58" t="s">
        <v>136</v>
      </c>
      <c r="F88" s="203"/>
      <c r="G88" s="203"/>
      <c r="H88" s="203"/>
      <c r="I88" s="203"/>
      <c r="J88" s="259"/>
      <c r="K88" s="279" t="s">
        <v>137</v>
      </c>
      <c r="L88" s="203"/>
      <c r="M88" s="203"/>
      <c r="N88" s="203"/>
      <c r="O88" s="203"/>
      <c r="P88" s="203"/>
      <c r="Q88" s="204"/>
      <c r="R88" s="241" t="s">
        <v>138</v>
      </c>
      <c r="S88" s="203"/>
      <c r="T88" s="203"/>
      <c r="U88" s="203"/>
      <c r="V88" s="203"/>
      <c r="W88" s="203"/>
      <c r="X88" s="203"/>
      <c r="Y88" s="204"/>
      <c r="Z88" s="238" t="s">
        <v>139</v>
      </c>
      <c r="AA88" s="203"/>
      <c r="AB88" s="203"/>
      <c r="AC88" s="203"/>
      <c r="AD88" s="204"/>
      <c r="AE88" s="281" t="s">
        <v>140</v>
      </c>
      <c r="AF88" s="253"/>
      <c r="AG88" s="253"/>
      <c r="AH88" s="254"/>
    </row>
    <row r="89" spans="3:58" ht="23.25" customHeight="1" x14ac:dyDescent="0.15">
      <c r="D89" s="106">
        <v>1</v>
      </c>
      <c r="E89" s="202" t="s">
        <v>212</v>
      </c>
      <c r="F89" s="203"/>
      <c r="G89" s="203"/>
      <c r="H89" s="203"/>
      <c r="I89" s="203"/>
      <c r="J89" s="204"/>
      <c r="K89" s="202" t="s">
        <v>213</v>
      </c>
      <c r="L89" s="203"/>
      <c r="M89" s="203"/>
      <c r="N89" s="203"/>
      <c r="O89" s="203"/>
      <c r="P89" s="203"/>
      <c r="Q89" s="204"/>
      <c r="R89" s="202" t="s">
        <v>214</v>
      </c>
      <c r="S89" s="203"/>
      <c r="T89" s="203"/>
      <c r="U89" s="203"/>
      <c r="V89" s="203"/>
      <c r="W89" s="203"/>
      <c r="X89" s="203"/>
      <c r="Y89" s="204"/>
      <c r="Z89" s="202" t="s">
        <v>215</v>
      </c>
      <c r="AA89" s="203"/>
      <c r="AB89" s="203"/>
      <c r="AC89" s="203"/>
      <c r="AD89" s="204"/>
      <c r="AE89" s="293" t="s">
        <v>144</v>
      </c>
      <c r="AF89" s="246"/>
      <c r="AG89" s="246"/>
      <c r="AH89" s="247"/>
    </row>
    <row r="90" spans="3:58" ht="24" customHeight="1" x14ac:dyDescent="0.15">
      <c r="D90" s="106">
        <v>2</v>
      </c>
      <c r="E90" s="250" t="s">
        <v>216</v>
      </c>
      <c r="F90" s="203"/>
      <c r="G90" s="203"/>
      <c r="H90" s="203"/>
      <c r="I90" s="203"/>
      <c r="J90" s="204"/>
      <c r="K90" s="250" t="s">
        <v>217</v>
      </c>
      <c r="L90" s="203"/>
      <c r="M90" s="203"/>
      <c r="N90" s="203"/>
      <c r="O90" s="203"/>
      <c r="P90" s="203"/>
      <c r="Q90" s="204"/>
      <c r="R90" s="202" t="s">
        <v>218</v>
      </c>
      <c r="S90" s="203"/>
      <c r="T90" s="203"/>
      <c r="U90" s="203"/>
      <c r="V90" s="203"/>
      <c r="W90" s="203"/>
      <c r="X90" s="203"/>
      <c r="Y90" s="204"/>
      <c r="Z90" s="202" t="s">
        <v>63</v>
      </c>
      <c r="AA90" s="203"/>
      <c r="AB90" s="203"/>
      <c r="AC90" s="203"/>
      <c r="AD90" s="204"/>
      <c r="AE90" s="293" t="s">
        <v>144</v>
      </c>
      <c r="AF90" s="246"/>
      <c r="AG90" s="246"/>
      <c r="AH90" s="247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238" t="s">
        <v>13</v>
      </c>
      <c r="H110" s="238" t="s">
        <v>225</v>
      </c>
      <c r="I110" s="225"/>
      <c r="J110" s="225"/>
      <c r="K110" s="225"/>
      <c r="L110" s="225"/>
      <c r="M110" s="226"/>
      <c r="N110" s="261" t="s">
        <v>226</v>
      </c>
      <c r="O110" s="203"/>
      <c r="P110" s="203"/>
      <c r="Q110" s="203"/>
      <c r="R110" s="203"/>
      <c r="S110" s="203"/>
      <c r="T110" s="203"/>
      <c r="U110" s="203"/>
      <c r="V110" s="203"/>
      <c r="W110" s="203"/>
      <c r="X110" s="204"/>
      <c r="Y110" s="238" t="s">
        <v>78</v>
      </c>
      <c r="Z110" s="225"/>
      <c r="AA110" s="225"/>
      <c r="AB110" s="225"/>
      <c r="AC110" s="225"/>
      <c r="AD110" s="226"/>
      <c r="AE110" s="238" t="s">
        <v>71</v>
      </c>
      <c r="AF110" s="225"/>
      <c r="AG110" s="225"/>
      <c r="AH110" s="226"/>
    </row>
    <row r="111" spans="5:34" ht="12" customHeight="1" x14ac:dyDescent="0.15">
      <c r="G111" s="266"/>
      <c r="H111" s="230"/>
      <c r="I111" s="231"/>
      <c r="J111" s="231"/>
      <c r="K111" s="231"/>
      <c r="L111" s="231"/>
      <c r="M111" s="232"/>
      <c r="N111" s="261" t="s">
        <v>77</v>
      </c>
      <c r="O111" s="203"/>
      <c r="P111" s="203"/>
      <c r="Q111" s="203"/>
      <c r="R111" s="204"/>
      <c r="S111" s="255" t="s">
        <v>227</v>
      </c>
      <c r="T111" s="203"/>
      <c r="U111" s="203"/>
      <c r="V111" s="203"/>
      <c r="W111" s="203"/>
      <c r="X111" s="204"/>
      <c r="Y111" s="230"/>
      <c r="Z111" s="231"/>
      <c r="AA111" s="231"/>
      <c r="AB111" s="231"/>
      <c r="AC111" s="231"/>
      <c r="AD111" s="232"/>
      <c r="AE111" s="230"/>
      <c r="AF111" s="231"/>
      <c r="AG111" s="231"/>
      <c r="AH111" s="232"/>
    </row>
    <row r="112" spans="5:34" ht="12" customHeight="1" x14ac:dyDescent="0.15">
      <c r="G112" s="106">
        <v>1</v>
      </c>
      <c r="H112" s="292" t="s">
        <v>228</v>
      </c>
      <c r="I112" s="203"/>
      <c r="J112" s="203"/>
      <c r="K112" s="203"/>
      <c r="L112" s="203"/>
      <c r="M112" s="204"/>
      <c r="N112" s="56" t="s">
        <v>229</v>
      </c>
      <c r="O112" s="133"/>
      <c r="P112" s="133"/>
      <c r="Q112" s="133"/>
      <c r="R112" s="134"/>
      <c r="S112" s="292" t="s">
        <v>228</v>
      </c>
      <c r="T112" s="203"/>
      <c r="U112" s="203"/>
      <c r="V112" s="203"/>
      <c r="W112" s="203"/>
      <c r="X112" s="204"/>
      <c r="Y112" s="250" t="s">
        <v>142</v>
      </c>
      <c r="Z112" s="203"/>
      <c r="AA112" s="203"/>
      <c r="AB112" s="203"/>
      <c r="AC112" s="203"/>
      <c r="AD112" s="204"/>
      <c r="AE112" s="250"/>
      <c r="AF112" s="203"/>
      <c r="AG112" s="203"/>
      <c r="AH112" s="204"/>
    </row>
    <row r="113" spans="5:34" ht="12" customHeight="1" x14ac:dyDescent="0.15">
      <c r="G113" s="106">
        <v>2</v>
      </c>
      <c r="H113" s="292" t="s">
        <v>91</v>
      </c>
      <c r="I113" s="203"/>
      <c r="J113" s="203"/>
      <c r="K113" s="203"/>
      <c r="L113" s="203"/>
      <c r="M113" s="204"/>
      <c r="N113" s="295" t="s">
        <v>230</v>
      </c>
      <c r="O113" s="225"/>
      <c r="P113" s="225"/>
      <c r="Q113" s="225"/>
      <c r="R113" s="226"/>
      <c r="S113" s="292" t="s">
        <v>1</v>
      </c>
      <c r="T113" s="203"/>
      <c r="U113" s="203"/>
      <c r="V113" s="203"/>
      <c r="W113" s="203"/>
      <c r="X113" s="204"/>
      <c r="Y113" s="250" t="s">
        <v>142</v>
      </c>
      <c r="Z113" s="203"/>
      <c r="AA113" s="203"/>
      <c r="AB113" s="203"/>
      <c r="AC113" s="203"/>
      <c r="AD113" s="204"/>
      <c r="AE113" s="250"/>
      <c r="AF113" s="203"/>
      <c r="AG113" s="203"/>
      <c r="AH113" s="204"/>
    </row>
    <row r="114" spans="5:34" ht="12" customHeight="1" x14ac:dyDescent="0.15">
      <c r="G114" s="106">
        <v>3</v>
      </c>
      <c r="H114" s="292" t="s">
        <v>95</v>
      </c>
      <c r="I114" s="203"/>
      <c r="J114" s="203"/>
      <c r="K114" s="203"/>
      <c r="L114" s="203"/>
      <c r="M114" s="204"/>
      <c r="N114" s="227"/>
      <c r="O114" s="278"/>
      <c r="P114" s="278"/>
      <c r="Q114" s="278"/>
      <c r="R114" s="229"/>
      <c r="S114" s="292" t="s">
        <v>93</v>
      </c>
      <c r="T114" s="203"/>
      <c r="U114" s="203"/>
      <c r="V114" s="203"/>
      <c r="W114" s="203"/>
      <c r="X114" s="204"/>
      <c r="Y114" s="250" t="s">
        <v>142</v>
      </c>
      <c r="Z114" s="203"/>
      <c r="AA114" s="203"/>
      <c r="AB114" s="203"/>
      <c r="AC114" s="203"/>
      <c r="AD114" s="204"/>
      <c r="AE114" s="250"/>
      <c r="AF114" s="203"/>
      <c r="AG114" s="203"/>
      <c r="AH114" s="204"/>
    </row>
    <row r="115" spans="5:34" ht="12.75" customHeight="1" x14ac:dyDescent="0.15">
      <c r="G115" s="106">
        <v>4</v>
      </c>
      <c r="H115" s="292" t="s">
        <v>100</v>
      </c>
      <c r="I115" s="203"/>
      <c r="J115" s="203"/>
      <c r="K115" s="203"/>
      <c r="L115" s="203"/>
      <c r="M115" s="204"/>
      <c r="N115" s="227"/>
      <c r="O115" s="278"/>
      <c r="P115" s="278"/>
      <c r="Q115" s="278"/>
      <c r="R115" s="229"/>
      <c r="S115" s="292" t="s">
        <v>97</v>
      </c>
      <c r="T115" s="203"/>
      <c r="U115" s="203"/>
      <c r="V115" s="203"/>
      <c r="W115" s="203"/>
      <c r="X115" s="204"/>
      <c r="Y115" s="250" t="s">
        <v>142</v>
      </c>
      <c r="Z115" s="203"/>
      <c r="AA115" s="203"/>
      <c r="AB115" s="203"/>
      <c r="AC115" s="203"/>
      <c r="AD115" s="204"/>
      <c r="AE115" s="250"/>
      <c r="AF115" s="203"/>
      <c r="AG115" s="203"/>
      <c r="AH115" s="204"/>
    </row>
    <row r="116" spans="5:34" ht="12" customHeight="1" x14ac:dyDescent="0.15">
      <c r="G116" s="106">
        <v>5</v>
      </c>
      <c r="H116" s="291" t="s">
        <v>231</v>
      </c>
      <c r="I116" s="203"/>
      <c r="J116" s="203"/>
      <c r="K116" s="203"/>
      <c r="L116" s="203"/>
      <c r="M116" s="204"/>
      <c r="N116" s="227"/>
      <c r="O116" s="278"/>
      <c r="P116" s="278"/>
      <c r="Q116" s="278"/>
      <c r="R116" s="229"/>
      <c r="S116" s="292" t="s">
        <v>115</v>
      </c>
      <c r="T116" s="203"/>
      <c r="U116" s="203"/>
      <c r="V116" s="203"/>
      <c r="W116" s="203"/>
      <c r="X116" s="204"/>
      <c r="Y116" s="250" t="s">
        <v>142</v>
      </c>
      <c r="Z116" s="203"/>
      <c r="AA116" s="203"/>
      <c r="AB116" s="203"/>
      <c r="AC116" s="203"/>
      <c r="AD116" s="204"/>
      <c r="AE116" s="250"/>
      <c r="AF116" s="203"/>
      <c r="AG116" s="203"/>
      <c r="AH116" s="204"/>
    </row>
    <row r="117" spans="5:34" ht="12" customHeight="1" x14ac:dyDescent="0.15">
      <c r="G117" s="106">
        <v>6</v>
      </c>
      <c r="H117" s="291" t="s">
        <v>232</v>
      </c>
      <c r="I117" s="203"/>
      <c r="J117" s="203"/>
      <c r="K117" s="203"/>
      <c r="L117" s="203"/>
      <c r="M117" s="204"/>
      <c r="N117" s="227"/>
      <c r="O117" s="278"/>
      <c r="P117" s="278"/>
      <c r="Q117" s="278"/>
      <c r="R117" s="229"/>
      <c r="S117" s="292" t="s">
        <v>233</v>
      </c>
      <c r="T117" s="203"/>
      <c r="U117" s="203"/>
      <c r="V117" s="203"/>
      <c r="W117" s="203"/>
      <c r="X117" s="204"/>
      <c r="Y117" s="250" t="s">
        <v>142</v>
      </c>
      <c r="Z117" s="203"/>
      <c r="AA117" s="203"/>
      <c r="AB117" s="203"/>
      <c r="AC117" s="203"/>
      <c r="AD117" s="204"/>
      <c r="AE117" s="250"/>
      <c r="AF117" s="203"/>
      <c r="AG117" s="203"/>
      <c r="AH117" s="204"/>
    </row>
    <row r="118" spans="5:34" ht="12" customHeight="1" x14ac:dyDescent="0.15">
      <c r="G118" s="106">
        <v>7</v>
      </c>
      <c r="H118" s="292" t="s">
        <v>234</v>
      </c>
      <c r="I118" s="203"/>
      <c r="J118" s="203"/>
      <c r="K118" s="203"/>
      <c r="L118" s="203"/>
      <c r="M118" s="204"/>
      <c r="N118" s="227"/>
      <c r="O118" s="278"/>
      <c r="P118" s="278"/>
      <c r="Q118" s="278"/>
      <c r="R118" s="229"/>
      <c r="S118" s="291" t="s">
        <v>88</v>
      </c>
      <c r="T118" s="203"/>
      <c r="U118" s="203"/>
      <c r="V118" s="203"/>
      <c r="W118" s="203"/>
      <c r="X118" s="204"/>
      <c r="Y118" s="250" t="s">
        <v>142</v>
      </c>
      <c r="Z118" s="203"/>
      <c r="AA118" s="203"/>
      <c r="AB118" s="203"/>
      <c r="AC118" s="203"/>
      <c r="AD118" s="204"/>
      <c r="AE118" s="250"/>
      <c r="AF118" s="203"/>
      <c r="AG118" s="203"/>
      <c r="AH118" s="204"/>
    </row>
    <row r="119" spans="5:34" ht="12" customHeight="1" x14ac:dyDescent="0.15">
      <c r="G119" s="106">
        <v>8</v>
      </c>
      <c r="H119" s="292" t="s">
        <v>108</v>
      </c>
      <c r="I119" s="203"/>
      <c r="J119" s="203"/>
      <c r="K119" s="203"/>
      <c r="L119" s="203"/>
      <c r="M119" s="204"/>
      <c r="N119" s="227"/>
      <c r="O119" s="278"/>
      <c r="P119" s="278"/>
      <c r="Q119" s="278"/>
      <c r="R119" s="229"/>
      <c r="S119" s="291" t="s">
        <v>105</v>
      </c>
      <c r="T119" s="203"/>
      <c r="U119" s="203"/>
      <c r="V119" s="203"/>
      <c r="W119" s="203"/>
      <c r="X119" s="204"/>
      <c r="Y119" s="250" t="s">
        <v>142</v>
      </c>
      <c r="Z119" s="203"/>
      <c r="AA119" s="203"/>
      <c r="AB119" s="203"/>
      <c r="AC119" s="203"/>
      <c r="AD119" s="204"/>
      <c r="AE119" s="250"/>
      <c r="AF119" s="203"/>
      <c r="AG119" s="203"/>
      <c r="AH119" s="204"/>
    </row>
    <row r="120" spans="5:34" ht="39.950000000000003" customHeight="1" x14ac:dyDescent="0.15">
      <c r="G120" s="106">
        <v>9</v>
      </c>
      <c r="H120" s="292" t="s">
        <v>235</v>
      </c>
      <c r="I120" s="203"/>
      <c r="J120" s="203"/>
      <c r="K120" s="203"/>
      <c r="L120" s="203"/>
      <c r="M120" s="204"/>
      <c r="N120" s="227"/>
      <c r="O120" s="278"/>
      <c r="P120" s="278"/>
      <c r="Q120" s="278"/>
      <c r="R120" s="229"/>
      <c r="S120" s="292" t="s">
        <v>110</v>
      </c>
      <c r="T120" s="203"/>
      <c r="U120" s="203"/>
      <c r="V120" s="203"/>
      <c r="W120" s="203"/>
      <c r="X120" s="204"/>
      <c r="Y120" s="250" t="s">
        <v>142</v>
      </c>
      <c r="Z120" s="203"/>
      <c r="AA120" s="203"/>
      <c r="AB120" s="203"/>
      <c r="AC120" s="203"/>
      <c r="AD120" s="204"/>
      <c r="AE120" s="250"/>
      <c r="AF120" s="203"/>
      <c r="AG120" s="203"/>
      <c r="AH120" s="204"/>
    </row>
    <row r="121" spans="5:34" ht="12" customHeight="1" x14ac:dyDescent="0.15">
      <c r="G121" s="106">
        <v>10</v>
      </c>
      <c r="H121" s="292" t="s">
        <v>236</v>
      </c>
      <c r="I121" s="203"/>
      <c r="J121" s="203"/>
      <c r="K121" s="203"/>
      <c r="L121" s="203"/>
      <c r="M121" s="204"/>
      <c r="N121" s="227"/>
      <c r="O121" s="278"/>
      <c r="P121" s="278"/>
      <c r="Q121" s="278"/>
      <c r="R121" s="229"/>
      <c r="S121" s="292" t="s">
        <v>113</v>
      </c>
      <c r="T121" s="203"/>
      <c r="U121" s="203"/>
      <c r="V121" s="203"/>
      <c r="W121" s="203"/>
      <c r="X121" s="204"/>
      <c r="Y121" s="250" t="s">
        <v>142</v>
      </c>
      <c r="Z121" s="203"/>
      <c r="AA121" s="203"/>
      <c r="AB121" s="203"/>
      <c r="AC121" s="203"/>
      <c r="AD121" s="204"/>
      <c r="AE121" s="250"/>
      <c r="AF121" s="203"/>
      <c r="AG121" s="203"/>
      <c r="AH121" s="204"/>
    </row>
    <row r="122" spans="5:34" ht="12" customHeight="1" x14ac:dyDescent="0.15">
      <c r="G122" s="106">
        <v>11</v>
      </c>
      <c r="H122" s="291" t="s">
        <v>71</v>
      </c>
      <c r="I122" s="203"/>
      <c r="J122" s="203"/>
      <c r="K122" s="203"/>
      <c r="L122" s="203"/>
      <c r="M122" s="204"/>
      <c r="N122" s="227"/>
      <c r="O122" s="278"/>
      <c r="P122" s="278"/>
      <c r="Q122" s="278"/>
      <c r="R122" s="229"/>
      <c r="S122" s="291" t="s">
        <v>71</v>
      </c>
      <c r="T122" s="203"/>
      <c r="U122" s="203"/>
      <c r="V122" s="203"/>
      <c r="W122" s="203"/>
      <c r="X122" s="204"/>
      <c r="Y122" s="250" t="s">
        <v>142</v>
      </c>
      <c r="Z122" s="203"/>
      <c r="AA122" s="203"/>
      <c r="AB122" s="203"/>
      <c r="AC122" s="203"/>
      <c r="AD122" s="204"/>
      <c r="AE122" s="250"/>
      <c r="AF122" s="203"/>
      <c r="AG122" s="203"/>
      <c r="AH122" s="204"/>
    </row>
    <row r="123" spans="5:34" ht="12" customHeight="1" x14ac:dyDescent="0.15">
      <c r="G123" s="106">
        <v>12</v>
      </c>
      <c r="H123" s="291" t="s">
        <v>237</v>
      </c>
      <c r="I123" s="203"/>
      <c r="J123" s="203"/>
      <c r="K123" s="203"/>
      <c r="L123" s="203"/>
      <c r="M123" s="204"/>
      <c r="N123" s="230"/>
      <c r="O123" s="231"/>
      <c r="P123" s="231"/>
      <c r="Q123" s="231"/>
      <c r="R123" s="232"/>
      <c r="S123" s="291" t="s">
        <v>237</v>
      </c>
      <c r="T123" s="203"/>
      <c r="U123" s="203"/>
      <c r="V123" s="203"/>
      <c r="W123" s="203"/>
      <c r="X123" s="204"/>
      <c r="Y123" s="250" t="s">
        <v>142</v>
      </c>
      <c r="Z123" s="203"/>
      <c r="AA123" s="203"/>
      <c r="AB123" s="203"/>
      <c r="AC123" s="203"/>
      <c r="AD123" s="204"/>
      <c r="AE123" s="250"/>
      <c r="AF123" s="203"/>
      <c r="AG123" s="203"/>
      <c r="AH123" s="204"/>
    </row>
    <row r="124" spans="5:34" ht="12" customHeight="1" x14ac:dyDescent="0.15">
      <c r="G124" s="106">
        <v>13</v>
      </c>
      <c r="H124" s="292" t="s">
        <v>238</v>
      </c>
      <c r="I124" s="203"/>
      <c r="J124" s="203"/>
      <c r="K124" s="203"/>
      <c r="L124" s="203"/>
      <c r="M124" s="204"/>
      <c r="N124" s="135" t="s">
        <v>22</v>
      </c>
      <c r="O124" s="127"/>
      <c r="P124" s="127"/>
      <c r="Q124" s="127"/>
      <c r="R124" s="128"/>
      <c r="S124" s="292" t="s">
        <v>22</v>
      </c>
      <c r="T124" s="203"/>
      <c r="U124" s="203"/>
      <c r="V124" s="203"/>
      <c r="W124" s="203"/>
      <c r="X124" s="204"/>
      <c r="Y124" s="202" t="s">
        <v>239</v>
      </c>
      <c r="Z124" s="203"/>
      <c r="AA124" s="203"/>
      <c r="AB124" s="203"/>
      <c r="AC124" s="203"/>
      <c r="AD124" s="204"/>
      <c r="AE124" s="250"/>
      <c r="AF124" s="203"/>
      <c r="AG124" s="203"/>
      <c r="AH124" s="204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Z60:AB60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V82:AH82"/>
    <mergeCell ref="AD67:AG67"/>
    <mergeCell ref="U73:Y73"/>
    <mergeCell ref="AE88:AH88"/>
    <mergeCell ref="H113:M113"/>
    <mergeCell ref="Z70:AB70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D54:AG54"/>
    <mergeCell ref="M58:T58"/>
    <mergeCell ref="T82:U82"/>
    <mergeCell ref="Z62:AB62"/>
    <mergeCell ref="AL65:AP65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I70:L70"/>
    <mergeCell ref="U72:Y72"/>
    <mergeCell ref="I57:L57"/>
    <mergeCell ref="AD59:AG59"/>
    <mergeCell ref="AG2:AI2"/>
    <mergeCell ref="I52:L52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AL56:AP56"/>
    <mergeCell ref="Q43:U43"/>
    <mergeCell ref="AL57:AP57"/>
    <mergeCell ref="AL66:AP66"/>
    <mergeCell ref="M72:T72"/>
    <mergeCell ref="K80:N81"/>
    <mergeCell ref="U60:Y60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I63:L63"/>
    <mergeCell ref="AE89:AH89"/>
    <mergeCell ref="U70:Y70"/>
    <mergeCell ref="H114:M114"/>
    <mergeCell ref="AL61:AP61"/>
    <mergeCell ref="K83:N83"/>
    <mergeCell ref="AE113:AH113"/>
    <mergeCell ref="E68:H68"/>
    <mergeCell ref="U57:Y57"/>
    <mergeCell ref="E55:H55"/>
    <mergeCell ref="AD64:AG64"/>
    <mergeCell ref="T83:U83"/>
    <mergeCell ref="U66:Y66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Z52:AB52"/>
    <mergeCell ref="AG3:AI3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60" t="s">
        <v>1</v>
      </c>
      <c r="B1" s="203"/>
      <c r="C1" s="203"/>
      <c r="D1" s="204"/>
      <c r="E1" s="235" t="str">
        <f ca="1">IF(INDIRECT("変更履歴!E1")&lt;&gt;"",INDIRECT("変更履歴!E1"),"")</f>
        <v>サンプルプロジェクト</v>
      </c>
      <c r="F1" s="203"/>
      <c r="G1" s="203"/>
      <c r="H1" s="203"/>
      <c r="I1" s="203"/>
      <c r="J1" s="203"/>
      <c r="K1" s="203"/>
      <c r="L1" s="203"/>
      <c r="M1" s="203"/>
      <c r="N1" s="204"/>
      <c r="O1" s="224" t="s">
        <v>3</v>
      </c>
      <c r="P1" s="225"/>
      <c r="Q1" s="225"/>
      <c r="R1" s="226"/>
      <c r="S1" s="237" t="str">
        <f ca="1">IF(INDIRECT("変更履歴!S1")&lt;&gt;"",INDIRECT("変更履歴!S1"),"")</f>
        <v>システム機能設計書（画面）
WA10201/プロジェクト登録</v>
      </c>
      <c r="T1" s="225"/>
      <c r="U1" s="225"/>
      <c r="V1" s="225"/>
      <c r="W1" s="225"/>
      <c r="X1" s="225"/>
      <c r="Y1" s="225"/>
      <c r="Z1" s="226"/>
      <c r="AA1" s="206" t="s">
        <v>5</v>
      </c>
      <c r="AB1" s="204"/>
      <c r="AC1" s="221" t="str">
        <f ca="1">IF(INDIRECT("変更履歴!AC1")&lt;&gt;"",INDIRECT("変更履歴!AC1"),"")</f>
        <v>TIS</v>
      </c>
      <c r="AD1" s="203"/>
      <c r="AE1" s="203"/>
      <c r="AF1" s="204"/>
      <c r="AG1" s="273">
        <f ca="1">IF(INDIRECT("変更履歴!AG1")&lt;&gt;"",INDIRECT("変更履歴!AG1"),"")</f>
        <v>43598</v>
      </c>
      <c r="AH1" s="203"/>
      <c r="AI1" s="204"/>
      <c r="AJ1" s="27"/>
    </row>
    <row r="2" spans="1:37" s="11" customFormat="1" x14ac:dyDescent="0.15">
      <c r="A2" s="260" t="s">
        <v>6</v>
      </c>
      <c r="B2" s="203"/>
      <c r="C2" s="203"/>
      <c r="D2" s="204"/>
      <c r="E2" s="235" t="str">
        <f ca="1">IF(INDIRECT("変更履歴!E2")&lt;&gt;"",INDIRECT("変更履歴!E2"),"")</f>
        <v>サンプルシステム</v>
      </c>
      <c r="F2" s="203"/>
      <c r="G2" s="203"/>
      <c r="H2" s="203"/>
      <c r="I2" s="203"/>
      <c r="J2" s="203"/>
      <c r="K2" s="203"/>
      <c r="L2" s="203"/>
      <c r="M2" s="203"/>
      <c r="N2" s="204"/>
      <c r="O2" s="227"/>
      <c r="P2" s="228"/>
      <c r="Q2" s="228"/>
      <c r="R2" s="229"/>
      <c r="S2" s="227"/>
      <c r="T2" s="228"/>
      <c r="U2" s="228"/>
      <c r="V2" s="228"/>
      <c r="W2" s="228"/>
      <c r="X2" s="228"/>
      <c r="Y2" s="228"/>
      <c r="Z2" s="229"/>
      <c r="AA2" s="206" t="s">
        <v>8</v>
      </c>
      <c r="AB2" s="204"/>
      <c r="AC2" s="221" t="str">
        <f ca="1">IF(INDIRECT("変更履歴!AC2")&lt;&gt;"",INDIRECT("変更履歴!AC2"),"")</f>
        <v>TIS</v>
      </c>
      <c r="AD2" s="203"/>
      <c r="AE2" s="203"/>
      <c r="AF2" s="204"/>
      <c r="AG2" s="273">
        <f ca="1">IF(INDIRECT("変更履歴!AG2")&lt;&gt;"",INDIRECT("変更履歴!AG2"),"")</f>
        <v>44908</v>
      </c>
      <c r="AH2" s="203"/>
      <c r="AI2" s="204"/>
      <c r="AJ2" s="27"/>
    </row>
    <row r="3" spans="1:37" s="11" customFormat="1" x14ac:dyDescent="0.15">
      <c r="A3" s="260" t="s">
        <v>9</v>
      </c>
      <c r="B3" s="203"/>
      <c r="C3" s="203"/>
      <c r="D3" s="204"/>
      <c r="E3" s="235" t="str">
        <f ca="1">IF(INDIRECT("変更履歴!E3")&lt;&gt;"",INDIRECT("変更履歴!E3"),"")</f>
        <v>プロジェクト管理システム</v>
      </c>
      <c r="F3" s="203"/>
      <c r="G3" s="203"/>
      <c r="H3" s="203"/>
      <c r="I3" s="203"/>
      <c r="J3" s="203"/>
      <c r="K3" s="203"/>
      <c r="L3" s="203"/>
      <c r="M3" s="203"/>
      <c r="N3" s="204"/>
      <c r="O3" s="230"/>
      <c r="P3" s="231"/>
      <c r="Q3" s="231"/>
      <c r="R3" s="232"/>
      <c r="S3" s="230"/>
      <c r="T3" s="231"/>
      <c r="U3" s="231"/>
      <c r="V3" s="231"/>
      <c r="W3" s="231"/>
      <c r="X3" s="231"/>
      <c r="Y3" s="231"/>
      <c r="Z3" s="232"/>
      <c r="AA3" s="206"/>
      <c r="AB3" s="204"/>
      <c r="AC3" s="221" t="str">
        <f ca="1">IF(INDIRECT("変更履歴!AC3")&lt;&gt;"",INDIRECT("変更履歴!AC3"),"")</f>
        <v/>
      </c>
      <c r="AD3" s="203"/>
      <c r="AE3" s="203"/>
      <c r="AF3" s="204"/>
      <c r="AG3" s="273" t="str">
        <f ca="1">IF(INDIRECT("変更履歴!AG3")&lt;&gt;"",INDIRECT("変更履歴!AG3"),"")</f>
        <v/>
      </c>
      <c r="AH3" s="203"/>
      <c r="AI3" s="204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94" t="s">
        <v>68</v>
      </c>
      <c r="F37" s="253"/>
      <c r="G37" s="253"/>
      <c r="H37" s="253"/>
      <c r="I37" s="253"/>
      <c r="J37" s="253"/>
      <c r="K37" s="253"/>
      <c r="L37" s="253"/>
      <c r="M37" s="254"/>
      <c r="N37" s="252" t="s">
        <v>69</v>
      </c>
      <c r="O37" s="253"/>
      <c r="P37" s="254"/>
      <c r="Q37" s="252" t="s">
        <v>70</v>
      </c>
      <c r="R37" s="253"/>
      <c r="S37" s="253"/>
      <c r="T37" s="253"/>
      <c r="U37" s="254"/>
      <c r="V37" s="294" t="s">
        <v>71</v>
      </c>
      <c r="W37" s="253"/>
      <c r="X37" s="253"/>
      <c r="Y37" s="253"/>
      <c r="Z37" s="253"/>
      <c r="AA37" s="253"/>
      <c r="AB37" s="253"/>
      <c r="AC37" s="25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5" t="s">
        <v>22</v>
      </c>
      <c r="F38" s="246"/>
      <c r="G38" s="246"/>
      <c r="H38" s="246"/>
      <c r="I38" s="246"/>
      <c r="J38" s="246"/>
      <c r="K38" s="246"/>
      <c r="L38" s="246"/>
      <c r="M38" s="247"/>
      <c r="N38" s="245" t="s">
        <v>22</v>
      </c>
      <c r="O38" s="246"/>
      <c r="P38" s="247"/>
      <c r="Q38" s="245" t="s">
        <v>22</v>
      </c>
      <c r="R38" s="246"/>
      <c r="S38" s="246"/>
      <c r="T38" s="246"/>
      <c r="U38" s="247"/>
      <c r="V38" s="245"/>
      <c r="W38" s="246"/>
      <c r="X38" s="246"/>
      <c r="Y38" s="246"/>
      <c r="Z38" s="246"/>
      <c r="AA38" s="246"/>
      <c r="AB38" s="246"/>
      <c r="AC38" s="247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96" t="s">
        <v>13</v>
      </c>
      <c r="E43" s="241" t="s">
        <v>72</v>
      </c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  <c r="AB43" s="203"/>
      <c r="AC43" s="204"/>
      <c r="AD43" s="238" t="s">
        <v>73</v>
      </c>
      <c r="AE43" s="225"/>
      <c r="AF43" s="225"/>
      <c r="AG43" s="226"/>
      <c r="AH43" s="29"/>
      <c r="AI43" s="29"/>
      <c r="AK43" s="92"/>
      <c r="AL43" s="92"/>
    </row>
    <row r="44" spans="3:53" s="64" customFormat="1" ht="11.25" customHeight="1" x14ac:dyDescent="0.15">
      <c r="D44" s="280"/>
      <c r="E44" s="238" t="s">
        <v>75</v>
      </c>
      <c r="F44" s="225"/>
      <c r="G44" s="225"/>
      <c r="H44" s="226"/>
      <c r="I44" s="277" t="s">
        <v>76</v>
      </c>
      <c r="J44" s="225"/>
      <c r="K44" s="225"/>
      <c r="L44" s="226"/>
      <c r="M44" s="277" t="s">
        <v>77</v>
      </c>
      <c r="N44" s="225"/>
      <c r="O44" s="225"/>
      <c r="P44" s="225"/>
      <c r="Q44" s="225"/>
      <c r="R44" s="225"/>
      <c r="S44" s="225"/>
      <c r="T44" s="226"/>
      <c r="U44" s="296" t="s">
        <v>78</v>
      </c>
      <c r="V44" s="225"/>
      <c r="W44" s="225"/>
      <c r="X44" s="225"/>
      <c r="Y44" s="226"/>
      <c r="Z44" s="296" t="s">
        <v>79</v>
      </c>
      <c r="AA44" s="225"/>
      <c r="AB44" s="226"/>
      <c r="AC44" s="238" t="s">
        <v>80</v>
      </c>
      <c r="AD44" s="227"/>
      <c r="AE44" s="298"/>
      <c r="AF44" s="298"/>
      <c r="AG44" s="229"/>
      <c r="AH44" s="29"/>
      <c r="AI44" s="29"/>
      <c r="AK44" s="92"/>
      <c r="AL44" s="92"/>
    </row>
    <row r="45" spans="3:53" s="64" customFormat="1" x14ac:dyDescent="0.15">
      <c r="D45" s="266"/>
      <c r="E45" s="230"/>
      <c r="F45" s="231"/>
      <c r="G45" s="231"/>
      <c r="H45" s="232"/>
      <c r="I45" s="230"/>
      <c r="J45" s="231"/>
      <c r="K45" s="231"/>
      <c r="L45" s="232"/>
      <c r="M45" s="230"/>
      <c r="N45" s="231"/>
      <c r="O45" s="231"/>
      <c r="P45" s="231"/>
      <c r="Q45" s="231"/>
      <c r="R45" s="231"/>
      <c r="S45" s="231"/>
      <c r="T45" s="232"/>
      <c r="U45" s="230"/>
      <c r="V45" s="231"/>
      <c r="W45" s="231"/>
      <c r="X45" s="231"/>
      <c r="Y45" s="232"/>
      <c r="Z45" s="230"/>
      <c r="AA45" s="231"/>
      <c r="AB45" s="232"/>
      <c r="AC45" s="266"/>
      <c r="AD45" s="230"/>
      <c r="AE45" s="231"/>
      <c r="AF45" s="231"/>
      <c r="AG45" s="232"/>
      <c r="AH45" s="29"/>
      <c r="AI45" s="29"/>
      <c r="AK45" s="92"/>
      <c r="AL45" s="92"/>
    </row>
    <row r="46" spans="3:53" ht="12" customHeight="1" x14ac:dyDescent="0.15">
      <c r="D46" s="106">
        <v>1</v>
      </c>
      <c r="E46" s="250" t="s">
        <v>244</v>
      </c>
      <c r="F46" s="203"/>
      <c r="G46" s="203"/>
      <c r="H46" s="204"/>
      <c r="I46" s="299" t="s">
        <v>106</v>
      </c>
      <c r="J46" s="203"/>
      <c r="K46" s="203"/>
      <c r="L46" s="204"/>
      <c r="M46" s="202" t="s">
        <v>22</v>
      </c>
      <c r="N46" s="203"/>
      <c r="O46" s="203"/>
      <c r="P46" s="203"/>
      <c r="Q46" s="203"/>
      <c r="R46" s="203"/>
      <c r="S46" s="203"/>
      <c r="T46" s="204"/>
      <c r="U46" s="250" t="s">
        <v>22</v>
      </c>
      <c r="V46" s="203"/>
      <c r="W46" s="203"/>
      <c r="X46" s="203"/>
      <c r="Y46" s="204"/>
      <c r="Z46" s="289" t="s">
        <v>22</v>
      </c>
      <c r="AA46" s="203"/>
      <c r="AB46" s="204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65" t="s">
        <v>13</v>
      </c>
      <c r="E51" s="240" t="s">
        <v>124</v>
      </c>
      <c r="F51" s="225"/>
      <c r="G51" s="225"/>
      <c r="H51" s="225"/>
      <c r="I51" s="225"/>
      <c r="J51" s="226"/>
      <c r="K51" s="240" t="s">
        <v>125</v>
      </c>
      <c r="L51" s="225"/>
      <c r="M51" s="225"/>
      <c r="N51" s="226"/>
      <c r="O51" s="285" t="s">
        <v>126</v>
      </c>
      <c r="P51" s="108" t="s">
        <v>127</v>
      </c>
      <c r="Q51" s="109"/>
      <c r="R51" s="109"/>
      <c r="S51" s="109"/>
      <c r="T51" s="109"/>
      <c r="U51" s="109"/>
      <c r="V51" s="240" t="s">
        <v>71</v>
      </c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</row>
    <row r="52" spans="3:36" x14ac:dyDescent="0.15">
      <c r="D52" s="266"/>
      <c r="E52" s="230"/>
      <c r="F52" s="231"/>
      <c r="G52" s="231"/>
      <c r="H52" s="231"/>
      <c r="I52" s="231"/>
      <c r="J52" s="232"/>
      <c r="K52" s="230"/>
      <c r="L52" s="231"/>
      <c r="M52" s="231"/>
      <c r="N52" s="232"/>
      <c r="O52" s="266"/>
      <c r="P52" s="110" t="s">
        <v>128</v>
      </c>
      <c r="Q52" s="110" t="s">
        <v>129</v>
      </c>
      <c r="R52" s="110" t="s">
        <v>130</v>
      </c>
      <c r="S52" s="110" t="s">
        <v>131</v>
      </c>
      <c r="T52" s="286" t="s">
        <v>132</v>
      </c>
      <c r="U52" s="204"/>
      <c r="V52" s="230"/>
      <c r="W52" s="231"/>
      <c r="X52" s="231"/>
      <c r="Y52" s="231"/>
      <c r="Z52" s="231"/>
      <c r="AA52" s="231"/>
      <c r="AB52" s="231"/>
      <c r="AC52" s="231"/>
      <c r="AD52" s="231"/>
      <c r="AE52" s="231"/>
      <c r="AF52" s="231"/>
      <c r="AG52" s="231"/>
      <c r="AH52" s="232"/>
    </row>
    <row r="53" spans="3:36" x14ac:dyDescent="0.15">
      <c r="D53" s="111">
        <v>1</v>
      </c>
      <c r="E53" s="250" t="s">
        <v>22</v>
      </c>
      <c r="F53" s="203"/>
      <c r="G53" s="203"/>
      <c r="H53" s="203"/>
      <c r="I53" s="203"/>
      <c r="J53" s="204"/>
      <c r="K53" s="250" t="s">
        <v>22</v>
      </c>
      <c r="L53" s="203"/>
      <c r="M53" s="203"/>
      <c r="N53" s="204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83" t="s">
        <v>22</v>
      </c>
      <c r="U53" s="204"/>
      <c r="V53" s="250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4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238" t="s">
        <v>136</v>
      </c>
      <c r="F58" s="203"/>
      <c r="G58" s="203"/>
      <c r="H58" s="204"/>
      <c r="I58" s="238" t="s">
        <v>137</v>
      </c>
      <c r="J58" s="203"/>
      <c r="K58" s="203"/>
      <c r="L58" s="203"/>
      <c r="M58" s="203"/>
      <c r="N58" s="203"/>
      <c r="O58" s="204"/>
      <c r="P58" s="274" t="s">
        <v>138</v>
      </c>
      <c r="Q58" s="203"/>
      <c r="R58" s="203"/>
      <c r="S58" s="203"/>
      <c r="T58" s="203"/>
      <c r="U58" s="203"/>
      <c r="V58" s="203"/>
      <c r="W58" s="203"/>
      <c r="X58" s="203"/>
      <c r="Y58" s="204"/>
      <c r="Z58" s="296" t="s">
        <v>139</v>
      </c>
      <c r="AA58" s="203"/>
      <c r="AB58" s="203"/>
      <c r="AC58" s="203"/>
      <c r="AD58" s="204"/>
      <c r="AE58" s="297" t="s">
        <v>140</v>
      </c>
      <c r="AF58" s="253"/>
      <c r="AG58" s="253"/>
      <c r="AH58" s="254"/>
    </row>
    <row r="59" spans="3:36" ht="24.95" customHeight="1" x14ac:dyDescent="0.15">
      <c r="D59" s="116">
        <v>1</v>
      </c>
      <c r="E59" s="205" t="s">
        <v>245</v>
      </c>
      <c r="F59" s="203"/>
      <c r="G59" s="203"/>
      <c r="H59" s="204"/>
      <c r="I59" s="202" t="s">
        <v>246</v>
      </c>
      <c r="J59" s="203"/>
      <c r="K59" s="203"/>
      <c r="L59" s="203"/>
      <c r="M59" s="203"/>
      <c r="N59" s="203"/>
      <c r="O59" s="204"/>
      <c r="P59" s="202" t="s">
        <v>247</v>
      </c>
      <c r="Q59" s="203"/>
      <c r="R59" s="203"/>
      <c r="S59" s="203"/>
      <c r="T59" s="203"/>
      <c r="U59" s="203"/>
      <c r="V59" s="203"/>
      <c r="W59" s="203"/>
      <c r="X59" s="203"/>
      <c r="Y59" s="204"/>
      <c r="Z59" s="202" t="s">
        <v>63</v>
      </c>
      <c r="AA59" s="203"/>
      <c r="AB59" s="203"/>
      <c r="AC59" s="203"/>
      <c r="AD59" s="204"/>
      <c r="AE59" s="293" t="s">
        <v>144</v>
      </c>
      <c r="AF59" s="246"/>
      <c r="AG59" s="246"/>
      <c r="AH59" s="247"/>
    </row>
    <row r="60" spans="3:36" x14ac:dyDescent="0.15">
      <c r="AE60" s="300"/>
      <c r="AF60" s="301"/>
      <c r="AG60" s="301"/>
      <c r="AH60" s="301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E51:J52"/>
    <mergeCell ref="AA3:AB3"/>
    <mergeCell ref="P58:Y58"/>
    <mergeCell ref="N38:P38"/>
    <mergeCell ref="E58:H58"/>
    <mergeCell ref="E3:N3"/>
    <mergeCell ref="Q38:U38"/>
    <mergeCell ref="E1:N1"/>
    <mergeCell ref="AD43:AG45"/>
    <mergeCell ref="I46:L46"/>
    <mergeCell ref="AG3:AI3"/>
    <mergeCell ref="E43:AC43"/>
    <mergeCell ref="AG2:AI2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Z58:AD58"/>
    <mergeCell ref="U44:Y45"/>
    <mergeCell ref="M44:T45"/>
    <mergeCell ref="A1:D1"/>
    <mergeCell ref="AC44:AC45"/>
    <mergeCell ref="Z46:AB46"/>
    <mergeCell ref="AE58:AH58"/>
    <mergeCell ref="E59:H59"/>
    <mergeCell ref="O1:R3"/>
    <mergeCell ref="Z59:AD59"/>
    <mergeCell ref="A2:D2"/>
    <mergeCell ref="V37:AC37"/>
    <mergeCell ref="AC1:AF1"/>
    <mergeCell ref="E2:N2"/>
    <mergeCell ref="E38:M38"/>
    <mergeCell ref="AE59:AH59"/>
    <mergeCell ref="AC3:AF3"/>
    <mergeCell ref="E37:M37"/>
    <mergeCell ref="O51:O52"/>
    <mergeCell ref="E53:J53"/>
    <mergeCell ref="V51:AH52"/>
    <mergeCell ref="M46:T46"/>
    <mergeCell ref="P59:Y59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2026-03-13T13:32:22Z</dcterms:modified>
</cp:coreProperties>
</file>