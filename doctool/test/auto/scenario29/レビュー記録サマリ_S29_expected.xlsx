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84857BF1-B37A-4C8C-BF71-1BE0EFABC6EC}" xr6:coauthVersionLast="47" xr6:coauthVersionMax="47" xr10:uidLastSave="{00000000-0000-0000-0000-000000000000}"/>
  <bookViews>
    <workbookView xWindow="3630" yWindow="3630" windowWidth="38700" windowHeight="15345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レビュー記録一覧!$A$5:$AU$5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レビュー記録一覧!$A$1:$AQ$23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T6" i="1" s="1"/>
  <c r="B8" i="4"/>
  <c r="G8" i="4" s="1"/>
  <c r="B9" i="4"/>
  <c r="G9" i="4" s="1"/>
  <c r="AU6" i="1"/>
  <c r="Z6" i="1"/>
  <c r="AA6" i="1" s="1"/>
  <c r="AS6" i="1" s="1"/>
  <c r="A6" i="1"/>
  <c r="B6" i="1"/>
  <c r="F10" i="4"/>
  <c r="F11" i="4"/>
  <c r="F7" i="4"/>
  <c r="D7" i="4"/>
  <c r="B11" i="4"/>
  <c r="E11" i="4" s="1"/>
  <c r="B10" i="4"/>
  <c r="E10" i="4" s="1"/>
  <c r="B7" i="4"/>
  <c r="E7" i="4" s="1"/>
  <c r="D11" i="4"/>
  <c r="D10" i="4"/>
  <c r="F8" i="4"/>
  <c r="D8" i="4"/>
  <c r="F9" i="4" l="1"/>
  <c r="D9" i="4"/>
  <c r="E9" i="4"/>
  <c r="E8" i="4"/>
  <c r="G7" i="4"/>
  <c r="G11" i="4"/>
  <c r="G10" i="4"/>
</calcChain>
</file>

<file path=xl/sharedStrings.xml><?xml version="1.0" encoding="utf-8"?>
<sst xmlns="http://schemas.openxmlformats.org/spreadsheetml/2006/main" count="123" uniqueCount="106">
  <si>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</si>
  <si>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</si>
  <si>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</si>
  <si>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</si>
  <si>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</si>
  <si>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</si>
  <si>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</si>
  <si>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</si>
  <si>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</si>
  <si>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</si>
  <si>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</si>
  <si>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</si>
  <si>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</si>
  <si>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</si>
  <si>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</si>
  <si>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</si>
  <si>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</si>
  <si>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</si>
  <si>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</si>
  <si>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</si>
  <si>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</si>
  <si>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</si>
  <si>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</si>
  <si>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</si>
  <si>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</si>
  <si>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</si>
  <si>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</si>
  <si>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</si>
  <si>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</si>
  <si>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</si>
  <si>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</si>
  <si>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</si>
  <si>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</si>
  <si>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</si>
  <si>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</si>
  <si>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</si>
  <si>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</si>
  <si>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</si>
  <si>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</si>
  <si>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</si>
  <si>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</si>
  <si>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</si>
  <si>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</si>
  <si>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</si>
  <si>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</si>
  <si>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</si>
  <si>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</si>
  <si>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</si>
  <si>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</si>
  <si>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</si>
  <si>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</si>
  <si>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</si>
  <si>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</si>
  <si>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</si>
  <si>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</si>
  <si>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</si>
  <si>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</si>
  <si>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</si>
  <si>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</si>
  <si>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</si>
  <si>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</si>
  <si>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</si>
  <si>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</si>
  <si>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</si>
  <si>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</si>
  <si>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</si>
  <si>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</si>
  <si>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</si>
  <si>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</si>
  <si>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</si>
  <si>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</si>
  <si>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</si>
  <si>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</si>
  <si>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</si>
  <si>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</si>
  <si>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</si>
  <si>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d)12_機能・仕様誤り</t>
    <phoneticPr fontId="2"/>
  </si>
  <si>
    <t>a)01_要件漏れ</t>
    <phoneticPr fontId="2"/>
  </si>
  <si>
    <t>b)02_要件誤り</t>
    <phoneticPr fontId="2"/>
  </si>
  <si>
    <t>c)11_機能・仕様漏れ</t>
    <phoneticPr fontId="2"/>
  </si>
  <si>
    <t>e)21_設計・ドキュメント規約違反</t>
    <phoneticPr fontId="2"/>
  </si>
  <si>
    <t>f)22_記述誤り</t>
    <phoneticPr fontId="2"/>
  </si>
  <si>
    <t>g)91_疑問点、確認</t>
    <phoneticPr fontId="2"/>
  </si>
  <si>
    <t>h)92_改善要望</t>
    <phoneticPr fontId="2"/>
  </si>
  <si>
    <t>i)93_仕様変更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</si>
  <si>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</si>
  <si>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</si>
  <si>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</si>
  <si>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</si>
  <si>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</si>
  <si>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</si>
  <si>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</si>
  <si>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</si>
  <si>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</si>
  <si>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</si>
  <si>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  <phoneticPr fontId="2"/>
  </si>
  <si>
    <t>l</t>
    <phoneticPr fontId="2"/>
  </si>
  <si>
    <t>j)94_テスト項目漏れ</t>
    <phoneticPr fontId="2"/>
  </si>
  <si>
    <t>k)95_テスト漏れ</t>
    <phoneticPr fontId="2"/>
  </si>
  <si>
    <t>l)96_その他</t>
    <phoneticPr fontId="2"/>
  </si>
  <si>
    <t>詳細設計</t>
  </si>
  <si>
    <t>D00001</t>
  </si>
  <si>
    <t>鈴木　花子</t>
  </si>
  <si>
    <t>山田　太郎</t>
  </si>
  <si>
    <t>回覧</t>
  </si>
  <si>
    <t>システム機能設計書_サンプル_S29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</si>
</sst>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48</v>
      </c>
    </row>
    <row r="3" spans="1:7" x14ac:dyDescent="0.15">
      <c r="A3" s="3" t="s">
        <v>47</v>
      </c>
    </row>
    <row r="5" spans="1:7" x14ac:dyDescent="0.15">
      <c r="A5" s="1" t="s">
        <v>60</v>
      </c>
    </row>
    <row r="6" spans="1:7" ht="27" x14ac:dyDescent="0.15">
      <c r="A6" s="18" t="s">
        <v>50</v>
      </c>
      <c r="B6" s="7" t="s">
        <v>49</v>
      </c>
      <c r="C6" s="9"/>
      <c r="D6" s="26" t="s">
        <v>54</v>
      </c>
      <c r="E6" s="25" t="s">
        <v>51</v>
      </c>
      <c r="F6" s="25" t="s">
        <v>53</v>
      </c>
      <c r="G6" s="25" t="s">
        <v>52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36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69</v>
      </c>
      <c r="B8" s="23">
        <f>SUMIF(レビュー記録一覧!$C$6:$C$152,品質指標!$A8,レビュー記録一覧!$AR$6:$AR$152)</f>
        <v>0</v>
      </c>
      <c r="C8" s="24" t="s">
        <v>36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64</v>
      </c>
      <c r="B9" s="23">
        <f>SUMIF(レビュー記録一覧!$C$6:$C$152,品質指標!$A9,レビュー記録一覧!$AR$6:$AR$152)</f>
        <v>0</v>
      </c>
      <c r="C9" s="24" t="s">
        <v>36</v>
      </c>
      <c r="D9" s="27">
        <f>SUMIF(レビュー記録一覧!$C$6:$C$152,品質指標!$A9,レビュー記録一覧!$AA$6:$AA$152)</f>
        <v>3.3333333333333335</v>
      </c>
      <c r="E9" s="22">
        <f>IF(B9&lt;&gt;0,D9/(B9/10),0)</f>
        <v>0</v>
      </c>
      <c r="F9" s="23">
        <f>SUMIF(レビュー記録一覧!$C$6:$C$152,品質指標!$A9,レビュー記録一覧!$AB$6:$AB$152)</f>
        <v>9</v>
      </c>
      <c r="G9" s="22">
        <f>IF(B9&lt;&gt;0,F9/(B9/10),0)</f>
        <v>0</v>
      </c>
    </row>
    <row r="10" spans="1:7" x14ac:dyDescent="0.15">
      <c r="A10" s="18" t="s">
        <v>56</v>
      </c>
      <c r="B10" s="23">
        <f>SUMIF(レビュー記録一覧!$C$6:$C$152,品質指標!$A10,レビュー記録一覧!$AR$6:$AR$152)</f>
        <v>0</v>
      </c>
      <c r="C10" s="24" t="s">
        <v>36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SUMIF(レビュー記録一覧!$C$6:$C$152,品質指標!$A11,レビュー記録一覧!$AR$6:$AR$152)</f>
        <v>0</v>
      </c>
      <c r="C11" s="24" t="s">
        <v>36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U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42" width="11.125" style="1" customWidth="1"/>
    <col min="43" max="43" width="39.625" style="1" customWidth="1"/>
    <col min="44" max="44" width="7.125" style="1" customWidth="1"/>
    <col min="45" max="45" width="13" style="1" customWidth="1"/>
    <col min="46" max="46" width="15.625" style="1" customWidth="1"/>
    <col min="47" max="16384" width="9" style="1"/>
  </cols>
  <sheetData>
    <row r="1" spans="1:47" x14ac:dyDescent="0.15">
      <c r="A1" s="3" t="s">
        <v>4</v>
      </c>
      <c r="B1" s="3"/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93</v>
      </c>
      <c r="AM1" s="1" t="s">
        <v>93</v>
      </c>
      <c r="AN1" s="1" t="s">
        <v>93</v>
      </c>
      <c r="AO1" s="1" t="s">
        <v>94</v>
      </c>
      <c r="AP1" s="5" t="s">
        <v>95</v>
      </c>
      <c r="AQ1" s="2" t="s">
        <v>96</v>
      </c>
    </row>
    <row r="2" spans="1:47" x14ac:dyDescent="0.15">
      <c r="A2" s="3" t="s">
        <v>44</v>
      </c>
      <c r="B2" s="3"/>
      <c r="AP2" s="5" t="s">
        <v>12</v>
      </c>
      <c r="AQ2" s="2" t="s">
        <v>55</v>
      </c>
    </row>
    <row r="3" spans="1:47" x14ac:dyDescent="0.15">
      <c r="A3" s="3"/>
      <c r="B3" s="3"/>
      <c r="D3" s="37" t="s">
        <v>73</v>
      </c>
      <c r="E3" s="37"/>
      <c r="O3" s="20"/>
      <c r="P3" s="20"/>
      <c r="AA3" s="21"/>
      <c r="AS3" s="1" t="s">
        <v>71</v>
      </c>
      <c r="AU3" s="1" t="s">
        <v>68</v>
      </c>
    </row>
    <row r="4" spans="1:47" ht="13.5" customHeight="1" x14ac:dyDescent="0.15">
      <c r="A4" s="6" t="s">
        <v>45</v>
      </c>
      <c r="B4" s="10" t="s">
        <v>41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34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5" t="s">
        <v>77</v>
      </c>
      <c r="AD4" s="64" t="s">
        <v>78</v>
      </c>
      <c r="AE4" s="64" t="s">
        <v>79</v>
      </c>
      <c r="AF4" s="64" t="s">
        <v>76</v>
      </c>
      <c r="AG4" s="64" t="s">
        <v>80</v>
      </c>
      <c r="AH4" s="64" t="s">
        <v>81</v>
      </c>
      <c r="AI4" s="64" t="s">
        <v>82</v>
      </c>
      <c r="AJ4" s="64" t="s">
        <v>83</v>
      </c>
      <c r="AK4" s="64" t="s">
        <v>84</v>
      </c>
      <c r="AL4" s="64" t="s">
        <v>97</v>
      </c>
      <c r="AM4" s="64" t="s">
        <v>98</v>
      </c>
      <c r="AN4" s="64" t="s">
        <v>99</v>
      </c>
      <c r="AO4" s="7" t="s">
        <v>3</v>
      </c>
      <c r="AP4" s="9"/>
      <c r="AQ4" s="6"/>
      <c r="AR4" s="10"/>
      <c r="AS4" s="31" t="s">
        <v>57</v>
      </c>
      <c r="AT4" s="31" t="s">
        <v>58</v>
      </c>
      <c r="AU4" s="34" t="s">
        <v>66</v>
      </c>
    </row>
    <row r="5" spans="1:47" ht="27" x14ac:dyDescent="0.15">
      <c r="A5" s="29" t="s">
        <v>62</v>
      </c>
      <c r="B5" s="19" t="s">
        <v>42</v>
      </c>
      <c r="C5" s="6" t="s">
        <v>6</v>
      </c>
      <c r="D5" s="39" t="s">
        <v>72</v>
      </c>
      <c r="E5" s="39"/>
      <c r="F5" s="6" t="s">
        <v>38</v>
      </c>
      <c r="G5" s="18" t="s">
        <v>40</v>
      </c>
      <c r="H5" s="13" t="s">
        <v>26</v>
      </c>
      <c r="I5" s="29" t="s">
        <v>63</v>
      </c>
      <c r="J5" s="14" t="s">
        <v>8</v>
      </c>
      <c r="K5" s="17"/>
      <c r="L5" s="14" t="s">
        <v>39</v>
      </c>
      <c r="M5" s="15"/>
      <c r="N5" s="15"/>
      <c r="O5" s="15"/>
      <c r="P5" s="63" t="s">
        <v>75</v>
      </c>
      <c r="Q5" s="16" t="s">
        <v>35</v>
      </c>
      <c r="R5" s="8" t="s">
        <v>19</v>
      </c>
      <c r="S5" s="8"/>
      <c r="T5" s="8"/>
      <c r="U5" s="8"/>
      <c r="V5" s="9"/>
      <c r="W5" s="14" t="s">
        <v>7</v>
      </c>
      <c r="X5" s="17"/>
      <c r="Y5" s="13" t="s">
        <v>13</v>
      </c>
      <c r="Z5" s="13" t="s">
        <v>30</v>
      </c>
      <c r="AA5" s="13" t="s">
        <v>43</v>
      </c>
      <c r="AB5" s="28" t="s">
        <v>61</v>
      </c>
      <c r="AC5" s="66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18" t="s">
        <v>14</v>
      </c>
      <c r="AP5" s="18" t="s">
        <v>33</v>
      </c>
      <c r="AQ5" s="13" t="s">
        <v>28</v>
      </c>
      <c r="AR5" s="35" t="s">
        <v>70</v>
      </c>
      <c r="AS5" s="32" t="s">
        <v>65</v>
      </c>
      <c r="AT5" s="33" t="s">
        <v>59</v>
      </c>
      <c r="AU5" s="34" t="s">
        <v>67</v>
      </c>
    </row>
    <row r="6" spans="1:47" x14ac:dyDescent="0.15">
      <c r="A6" s="40">
        <f t="shared" ref="A6" si="0">ROW()-5</f>
        <v>1</v>
      </c>
      <c r="B6" s="41" t="str">
        <f>IF(C6&lt;&gt;"",IF(OR(AND(AO6&lt;&gt;"",AO6&lt;&gt;"再レビュー要"),COUNTIF(I$6:I16,A6)&gt;0),"○",""),"")</f>
        <v/>
      </c>
      <c r="C6" s="42" t="s">
        <v>100</v>
      </c>
      <c r="D6" s="43" t="s">
        <v>101</v>
      </c>
      <c r="E6" s="43"/>
      <c r="F6" s="42" t="s">
        <v>105</v>
      </c>
      <c r="G6" s="44" t="s">
        <v>102</v>
      </c>
      <c r="H6" s="45">
        <v>1</v>
      </c>
      <c r="I6" s="46"/>
      <c r="J6" s="47">
        <v>16</v>
      </c>
      <c r="K6" s="45" t="s">
        <v>36</v>
      </c>
      <c r="L6" s="48">
        <v>45139</v>
      </c>
      <c r="M6" s="49">
        <v>0.375</v>
      </c>
      <c r="N6" s="50" t="s">
        <v>74</v>
      </c>
      <c r="O6" s="49">
        <v>0.58333333333333337</v>
      </c>
      <c r="P6" s="51">
        <v>200</v>
      </c>
      <c r="Q6" s="52" t="s">
        <v>103</v>
      </c>
      <c r="R6" s="53"/>
      <c r="S6" s="53"/>
      <c r="T6" s="53"/>
      <c r="U6" s="53"/>
      <c r="V6" s="53"/>
      <c r="W6" s="54" t="s">
        <v>102</v>
      </c>
      <c r="X6" s="53"/>
      <c r="Y6" s="55" t="s">
        <v>104</v>
      </c>
      <c r="Z6" s="56">
        <f t="shared" ref="Z6" si="1">IF(Y6="回覧",COUNTA(Q6:V6),COUNTA(Q6:X6))</f>
        <v>1</v>
      </c>
      <c r="AA6" s="57">
        <f>P6*Z6/60</f>
        <v>3.3333333333333335</v>
      </c>
      <c r="AB6" s="58">
        <f>SUM(AC6:AN6)</f>
        <v>9</v>
      </c>
      <c r="AC6" s="59">
        <v>1</v>
      </c>
      <c r="AD6" s="59">
        <v>1</v>
      </c>
      <c r="AE6" s="59"/>
      <c r="AF6" s="59">
        <v>1</v>
      </c>
      <c r="AG6" s="59">
        <v>1</v>
      </c>
      <c r="AH6" s="59">
        <v>1</v>
      </c>
      <c r="AI6" s="59">
        <v>1</v>
      </c>
      <c r="AJ6" s="59">
        <v>1</v>
      </c>
      <c r="AK6" s="59">
        <v>1</v>
      </c>
      <c r="AL6" s="59"/>
      <c r="AM6" s="59"/>
      <c r="AN6" s="59">
        <v>1</v>
      </c>
      <c r="AO6" s="42"/>
      <c r="AP6" s="42"/>
      <c r="AQ6" s="60"/>
      <c r="AR6" s="61"/>
      <c r="AS6" s="62" t="e">
        <f>IF(J6&lt;&gt;"",AA6/(J6*AR6/10),"")</f>
        <v>#DIV/0!</v>
      </c>
      <c r="AT6" s="62" t="e">
        <f>IF(J6&lt;&gt;"",AB6/(J6*AR6/10),"")</f>
        <v>#DIV/0!</v>
      </c>
      <c r="AU6" s="2">
        <f>IF(H6=1,J6*AR6,"")</f>
        <v>0</v>
      </c>
    </row>
  </sheetData>
  <autoFilter ref="A5:AR5" xr:uid="{00000000-0009-0000-0000-000001000000}"/>
  <mergeCells count="12">
    <mergeCell ref="AL4:AL5"/>
    <mergeCell ref="AM4:AM5"/>
    <mergeCell ref="AN4:AN5"/>
    <mergeCell ref="AC4:AC5"/>
    <mergeCell ref="AD4:AD5"/>
    <mergeCell ref="AE4:AE5"/>
    <mergeCell ref="AF4:AF5"/>
    <mergeCell ref="AK4:AK5"/>
    <mergeCell ref="AG4:AG5"/>
    <mergeCell ref="AH4:AH5"/>
    <mergeCell ref="AI4:AI5"/>
    <mergeCell ref="AJ4:AJ5"/>
  </mergeCells>
  <phoneticPr fontId="2"/>
  <conditionalFormatting sqref="A6:AT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P6" xr:uid="{00000000-0002-0000-0100-000003000000}">
      <formula1>Necessity</formula1>
    </dataValidation>
    <dataValidation type="list" allowBlank="1" showInputMessage="1" showErrorMessage="1" sqref="AO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31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46</v>
      </c>
      <c r="B2" t="s">
        <v>36</v>
      </c>
      <c r="C2" t="s">
        <v>5</v>
      </c>
      <c r="D2" t="s">
        <v>25</v>
      </c>
      <c r="E2" t="s">
        <v>11</v>
      </c>
      <c r="F2" t="s">
        <v>5</v>
      </c>
    </row>
    <row r="3" spans="1:6" x14ac:dyDescent="0.15">
      <c r="A3" t="s">
        <v>2</v>
      </c>
      <c r="B3" t="s">
        <v>29</v>
      </c>
      <c r="C3" t="s">
        <v>10</v>
      </c>
      <c r="D3" t="s">
        <v>9</v>
      </c>
      <c r="E3" t="s">
        <v>27</v>
      </c>
      <c r="F3" t="s">
        <v>10</v>
      </c>
    </row>
    <row r="4" spans="1:6" x14ac:dyDescent="0.15">
      <c r="A4" t="s">
        <v>69</v>
      </c>
      <c r="B4" t="s">
        <v>37</v>
      </c>
      <c r="E4" t="s">
        <v>31</v>
      </c>
    </row>
    <row r="5" spans="1:6" x14ac:dyDescent="0.15">
      <c r="A5" t="s">
        <v>64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2026-03-14T12:43:37Z</dcterms:modified>
</cp:coreProperties>
</file>