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FB5C80B7-1220-4F3E-90AB-E6A1452C81E2}" xr6:coauthVersionLast="47" xr6:coauthVersionMax="47" xr10:uidLastSave="{00000000-0000-0000-0000-000000000000}"/>
  <bookViews>
    <workbookView xWindow="1170" yWindow="117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レビュー指摘一覧!$A$1:$O$15</definedName>
    <definedName name="_xlnm.Print_Area" localSheetId="0">レビュー実施状況!$A$1:$S$19</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レビュー実施状況!$G$15:$G$19</definedName>
    <definedName name="レビュー時間">レビュー実施状況!$F$15:$F$19</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4" i="1" l="1"/>
  <c r="A13" i="1"/>
  <c r="A12" i="1"/>
  <c r="G18" i="3"/>
  <c r="P18" i="3" s="1"/>
  <c r="A11" i="1"/>
  <c r="A10" i="1"/>
  <c r="A9" i="1"/>
  <c r="G17" i="3"/>
  <c r="P17" i="3" s="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<sst xmlns="http://schemas.openxmlformats.org/spreadsheetml/2006/main" count="279" uniqueCount="206">
  <si>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</si>
  <si>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</si>
  <si>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</si>
  <si>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</si>
  <si>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</si>
  <si>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</si>
  <si>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</si>
  <si>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</si>
  <si>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</si>
  <si>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</si>
  <si>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</si>
  <si>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</si>
  <si>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</si>
  <si>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</si>
  <si>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</si>
  <si>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</si>
  <si>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</si>
  <si>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</si>
  <si>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</si>
  <si>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</si>
  <si>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</si>
  <si>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</si>
  <si>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</si>
  <si>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</si>
  <si>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</si>
  <si>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</si>
  <si>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</si>
  <si>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</si>
  <si>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</si>
  <si>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</si>
  <si>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</si>
  <si>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</si>
  <si>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</si>
  <si>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</si>
  <si>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</si>
  <si>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</si>
  <si>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</si>
  <si>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</si>
  <si>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</si>
  <si>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</si>
  <si>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</si>
  <si>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</si>
  <si>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</si>
  <si>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</si>
  <si>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</si>
  <si>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</si>
  <si>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</si>
  <si>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</si>
  <si>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</si>
  <si>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</si>
  <si>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</si>
  <si>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</si>
  <si>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</si>
  <si>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</si>
  <si>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</si>
  <si>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</si>
  <si>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</si>
  <si>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</si>
  <si>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</si>
  <si>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</si>
  <si>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</si>
  <si>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</si>
  <si>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</si>
  <si>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</si>
  <si>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</si>
  <si>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</si>
  <si>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</si>
  <si>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</si>
  <si>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</si>
  <si>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</si>
  <si>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</si>
  <si>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</si>
  <si>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</si>
  <si>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</si>
  <si>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</si>
  <si>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</si>
  <si>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</si>
  <si>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</si>
  <si>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</si>
  <si>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</si>
  <si>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</si>
  <si>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</si>
  <si>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</si>
  <si>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</si>
  <si>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</si>
  <si>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</si>
  <si>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</si>
  <si>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</si>
  <si>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</si>
  <si>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</si>
  <si>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</si>
  <si>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</si>
  <si>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</si>
  <si>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</si>
  <si>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</si>
  <si>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</si>
  <si>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</si>
  <si>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</si>
  <si>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</si>
  <si>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</si>
  <si>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</si>
  <si>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</si>
  <si>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</si>
  <si>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</si>
  <si>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</si>
  <si>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</si>
  <si>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</si>
  <si>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</si>
  <si>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</si>
  <si>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</si>
  <si>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</si>
  <si>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</si>
  <si>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</si>
  <si>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</si>
  <si>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</si>
  <si>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</si>
  <si>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</si>
  <si>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</si>
  <si>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</si>
  <si>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</si>
  <si>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</si>
  <si>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</si>
  <si>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</si>
  <si>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</si>
  <si>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</si>
  <si>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</si>
  <si>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</si>
  <si>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</si>
  <si>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</si>
  <si>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</si>
  <si>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</si>
  <si>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</si>
  <si>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</si>
  <si>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</si>
  <si>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</si>
  <si>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</si>
  <si>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</si>
  <si>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</si>
  <si>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</si>
  <si>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</si>
  <si>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</si>
  <si>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</si>
  <si>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</si>
  <si>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</si>
  <si>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</si>
  <si>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</si>
  <si>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</si>
  <si>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</si>
  <si>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</si>
  <si>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</si>
  <si>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</si>
  <si>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</si>
  <si>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</si>
  <si>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</si>
  <si>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</si>
  <si>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</si>
  <si>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</si>
  <si>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</si>
  <si>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</si>
  <si>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</si>
  <si>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</si>
  <si>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</si>
  <si>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</si>
  <si>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</si>
  <si>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</si>
  <si>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</si>
  <si>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</si>
  <si>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</si>
  <si>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</si>
  <si>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</si>
  <si>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</si>
  <si>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</si>
  <si>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</si>
  <si>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</si>
  <si>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</si>
  <si>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</si>
  <si>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</si>
  <si>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</si>
  <si>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</si>
  <si>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</si>
  <si>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</si>
  <si>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</si>
  <si>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</si>
  <si>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</si>
  <si>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</si>
  <si>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</si>
  <si>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</si>
  <si>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</si>
  <si>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</si>
  <si>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</si>
  <si>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</si>
  <si>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</si>
  <si>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</si>
  <si>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</si>
  <si>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</si>
  <si>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</si>
  <si>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</si>
  <si>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</si>
  <si>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</si>
  <si>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</si>
  <si>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</si>
  <si>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</si>
  <si>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</si>
  <si>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</si>
  <si>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</si>
  <si>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詳細設計</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</si>
</sst>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9"/>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205</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600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COUNTA(レビュー指摘一覧!H5:H9999)</f>
        <v>9</v>
      </c>
      <c r="E7" s="161"/>
      <c r="F7" s="76" t="s">
        <v>155</v>
      </c>
      <c r="G7" s="156"/>
      <c r="H7" s="157"/>
      <c r="I7" s="85">
        <f>COUNTIF(レビュー指摘一覧!K5:K9999,"01_要")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v>2</v>
      </c>
      <c r="B16" s="15"/>
      <c r="C16" s="15"/>
      <c r="D16" s="16">
        <v>45139.375</v>
      </c>
      <c r="E16" s="16">
        <v>45139.583333333336</v>
      </c>
      <c r="F16" s="17">
        <v>200</v>
      </c>
      <c r="G16" s="18">
        <f t="shared" ref="G16" si="2">IF(F16&lt;&gt;"",F16/60*N16,"")</f>
        <v>0</v>
      </c>
      <c r="H16" s="19" t="s">
        <v>193</v>
      </c>
      <c r="I16" s="15"/>
      <c r="J16" s="15"/>
      <c r="K16" s="19" t="s">
        <v>197</v>
      </c>
      <c r="L16" s="15"/>
      <c r="M16" s="15"/>
      <c r="N16" s="15"/>
      <c r="O16" s="15"/>
      <c r="P16" s="18" t="str">
        <f t="shared" ref="P16" si="3">IF(ISERROR(G16/(O16/10)),"",G16/(O16/10))</f>
        <v/>
      </c>
      <c r="Q16" s="20"/>
      <c r="R16" s="73"/>
      <c r="S16" s="21"/>
    </row>
    <row r="17" spans="1:19" ht="30.75" customHeight="1">
      <c r="A17" s="60">
        <v>3</v>
      </c>
      <c r="B17" s="15"/>
      <c r="C17" s="15"/>
      <c r="D17" s="16">
        <v>45139.375</v>
      </c>
      <c r="E17" s="16">
        <v>45139.583333333336</v>
      </c>
      <c r="F17" s="17">
        <v>200</v>
      </c>
      <c r="G17" s="18">
        <f t="shared" ref="G17" si="4">IF(F17&lt;&gt;"",F17/60*N17,"")</f>
        <v>0</v>
      </c>
      <c r="H17" s="19" t="s">
        <v>193</v>
      </c>
      <c r="I17" s="15"/>
      <c r="J17" s="15"/>
      <c r="K17" s="19" t="s">
        <v>197</v>
      </c>
      <c r="L17" s="15"/>
      <c r="M17" s="15"/>
      <c r="N17" s="15"/>
      <c r="O17" s="15"/>
      <c r="P17" s="18" t="str">
        <f t="shared" ref="P17" si="5">IF(ISERROR(G17/(O17/10)),"",G17/(O17/10))</f>
        <v/>
      </c>
      <c r="Q17" s="20"/>
      <c r="R17" s="73"/>
      <c r="S17" s="21"/>
    </row>
    <row r="18" spans="1:19" ht="30.75" customHeight="1">
      <c r="A18" s="60"/>
      <c r="B18" s="15"/>
      <c r="C18" s="15"/>
      <c r="D18" s="16"/>
      <c r="E18" s="16"/>
      <c r="F18" s="17"/>
      <c r="G18" s="18" t="str">
        <f t="shared" ref="G18" si="6">IF(F18&lt;&gt;"",F18/60*N18,"")</f>
        <v/>
      </c>
      <c r="H18" s="19"/>
      <c r="I18" s="15"/>
      <c r="J18" s="15"/>
      <c r="K18" s="19"/>
      <c r="L18" s="15"/>
      <c r="M18" s="15"/>
      <c r="N18" s="15"/>
      <c r="O18" s="15"/>
      <c r="P18" s="18" t="str">
        <f t="shared" ref="P18" si="7">IF(ISERROR(G18/(O18/10)),"",G18/(O18/10))</f>
        <v/>
      </c>
      <c r="Q18" s="20"/>
      <c r="R18" s="73"/>
      <c r="S18" s="21"/>
    </row>
    <row r="19" spans="1:19" ht="15.75" customHeight="1">
      <c r="A19" s="51" t="s">
        <v>144</v>
      </c>
      <c r="B19" s="59" t="s">
        <v>145</v>
      </c>
      <c r="C19" s="52"/>
      <c r="D19" s="53"/>
      <c r="E19" s="53"/>
      <c r="F19" s="54"/>
      <c r="G19" s="55"/>
      <c r="H19" s="56"/>
      <c r="I19" s="52"/>
      <c r="J19" s="52"/>
      <c r="K19" s="56"/>
      <c r="L19" s="52"/>
      <c r="M19" s="52"/>
      <c r="N19" s="52"/>
      <c r="O19" s="52"/>
      <c r="P19" s="55"/>
      <c r="Q19" s="57"/>
      <c r="R19" s="74"/>
      <c r="S19"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8" xr:uid="{00000000-0002-0000-0000-000005000000}">
      <formula1>レビュー実施形態</formula1>
    </dataValidation>
    <dataValidation type="list" allowBlank="1" showInputMessage="1" showErrorMessage="1" sqref="Q15:Q18" xr:uid="{00000000-0002-0000-0000-000006000000}">
      <formula1>合否判定</formula1>
    </dataValidation>
    <dataValidation type="list" allowBlank="1" showInputMessage="1" showErrorMessage="1" sqref="R15:R18" xr:uid="{00000000-0002-0000-0000-000007000000}">
      <formula1>次回要否</formula1>
    </dataValidation>
    <dataValidation type="list" allowBlank="1" showInputMessage="1" showErrorMessage="1" sqref="H15:H18" xr:uid="{00000000-0002-0000-0000-000008000000}">
      <formula1>レビューア</formula1>
    </dataValidation>
    <dataValidation type="list" allowBlank="1" showInputMessage="1" showErrorMessage="1" sqref="K15:K18" xr:uid="{00000000-0002-0000-0000-000009000000}">
      <formula1>レビューイ</formula1>
    </dataValidation>
    <dataValidation type="list" allowBlank="1" showInputMessage="1" showErrorMessage="1" sqref="B15:B18"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5"/>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110.25">
      <c r="A8" s="67">
        <f>ROW()-4</f>
        <v>4</v>
      </c>
      <c r="B8" s="24">
        <v>2</v>
      </c>
      <c r="C8" s="25" t="s">
        <v>194</v>
      </c>
      <c r="D8" s="26"/>
      <c r="E8" s="26"/>
      <c r="F8" s="26"/>
      <c r="G8" s="26"/>
      <c r="H8" s="27" t="s">
        <v>195</v>
      </c>
      <c r="I8" s="28" t="s">
        <v>193</v>
      </c>
      <c r="J8" s="27" t="s">
        <v>196</v>
      </c>
      <c r="K8" s="26"/>
      <c r="L8" s="28"/>
      <c r="M8" s="28" t="s">
        <v>197</v>
      </c>
      <c r="N8" s="30"/>
      <c r="O8" s="31"/>
    </row>
    <row r="9" spans="1:15" ht="47.25">
      <c r="A9" s="67">
        <f>ROW()-4</f>
        <v>5</v>
      </c>
      <c r="B9" s="24">
        <v>2</v>
      </c>
      <c r="C9" s="25" t="s">
        <v>198</v>
      </c>
      <c r="D9" s="26"/>
      <c r="E9" s="26"/>
      <c r="F9" s="26"/>
      <c r="G9" s="26"/>
      <c r="H9" s="27" t="s">
        <v>199</v>
      </c>
      <c r="I9" s="28" t="s">
        <v>193</v>
      </c>
      <c r="J9" s="27" t="s">
        <v>200</v>
      </c>
      <c r="K9" s="26"/>
      <c r="L9" s="28"/>
      <c r="M9" s="28" t="s">
        <v>197</v>
      </c>
      <c r="N9" s="30"/>
      <c r="O9" s="31"/>
    </row>
    <row r="10" spans="1:15" ht="110.25">
      <c r="A10" s="67">
        <f>ROW()-4</f>
        <v>6</v>
      </c>
      <c r="B10" s="24">
        <v>2</v>
      </c>
      <c r="C10" s="25" t="s">
        <v>201</v>
      </c>
      <c r="D10" s="26"/>
      <c r="E10" s="26"/>
      <c r="F10" s="26"/>
      <c r="G10" s="26"/>
      <c r="H10" s="27" t="s">
        <v>202</v>
      </c>
      <c r="I10" s="28" t="s">
        <v>193</v>
      </c>
      <c r="J10" s="27" t="s">
        <v>203</v>
      </c>
      <c r="K10" s="26"/>
      <c r="L10" s="28"/>
      <c r="M10" s="28" t="s">
        <v>197</v>
      </c>
      <c r="N10" s="30"/>
      <c r="O10" s="31" t="s">
        <v>204</v>
      </c>
    </row>
    <row r="11" spans="1:15" ht="110.25">
      <c r="A11" s="67">
        <f>ROW()-4</f>
        <v>7</v>
      </c>
      <c r="B11" s="24">
        <v>3</v>
      </c>
      <c r="C11" s="25" t="s">
        <v>194</v>
      </c>
      <c r="D11" s="26"/>
      <c r="E11" s="26"/>
      <c r="F11" s="26"/>
      <c r="G11" s="26"/>
      <c r="H11" s="27" t="s">
        <v>195</v>
      </c>
      <c r="I11" s="28" t="s">
        <v>193</v>
      </c>
      <c r="J11" s="27" t="s">
        <v>196</v>
      </c>
      <c r="K11" s="26"/>
      <c r="L11" s="28"/>
      <c r="M11" s="28" t="s">
        <v>197</v>
      </c>
      <c r="N11" s="30"/>
      <c r="O11" s="31"/>
    </row>
    <row r="12" spans="1:15" ht="47.25">
      <c r="A12" s="67">
        <f>ROW()-4</f>
        <v>8</v>
      </c>
      <c r="B12" s="24">
        <v>3</v>
      </c>
      <c r="C12" s="25" t="s">
        <v>198</v>
      </c>
      <c r="D12" s="26"/>
      <c r="E12" s="26"/>
      <c r="F12" s="26"/>
      <c r="G12" s="26"/>
      <c r="H12" s="27" t="s">
        <v>199</v>
      </c>
      <c r="I12" s="28" t="s">
        <v>193</v>
      </c>
      <c r="J12" s="27" t="s">
        <v>200</v>
      </c>
      <c r="K12" s="26"/>
      <c r="L12" s="28"/>
      <c r="M12" s="28" t="s">
        <v>197</v>
      </c>
      <c r="N12" s="30"/>
      <c r="O12" s="31"/>
    </row>
    <row r="13" spans="1:15" ht="110.25">
      <c r="A13" s="67">
        <f>ROW()-4</f>
        <v>9</v>
      </c>
      <c r="B13" s="24">
        <v>3</v>
      </c>
      <c r="C13" s="25" t="s">
        <v>201</v>
      </c>
      <c r="D13" s="26"/>
      <c r="E13" s="26"/>
      <c r="F13" s="26"/>
      <c r="G13" s="26"/>
      <c r="H13" s="27" t="s">
        <v>202</v>
      </c>
      <c r="I13" s="28" t="s">
        <v>193</v>
      </c>
      <c r="J13" s="27" t="s">
        <v>203</v>
      </c>
      <c r="K13" s="26"/>
      <c r="L13" s="28"/>
      <c r="M13" s="28" t="s">
        <v>197</v>
      </c>
      <c r="N13" s="30"/>
      <c r="O13" s="31" t="s">
        <v>204</v>
      </c>
    </row>
    <row r="14" spans="1:15" ht="60" customHeight="1">
      <c r="A14" s="67">
        <f>ROW()-4</f>
        <v>10</v>
      </c>
      <c r="B14" s="24"/>
      <c r="C14" s="25"/>
      <c r="D14" s="26"/>
      <c r="E14" s="26"/>
      <c r="F14" s="26"/>
      <c r="G14" s="26"/>
      <c r="H14" s="27"/>
      <c r="I14" s="28"/>
      <c r="J14" s="29"/>
      <c r="K14" s="26"/>
      <c r="L14" s="28"/>
      <c r="M14" s="28"/>
      <c r="N14" s="30"/>
      <c r="O14" s="31"/>
    </row>
    <row r="15" spans="1:15">
      <c r="A15" s="51" t="s">
        <v>144</v>
      </c>
      <c r="B15" s="59" t="s">
        <v>145</v>
      </c>
      <c r="C15" s="52"/>
      <c r="D15" s="53"/>
      <c r="E15" s="53"/>
      <c r="F15" s="54"/>
      <c r="G15" s="55"/>
      <c r="H15" s="56"/>
      <c r="I15" s="52"/>
      <c r="J15" s="52"/>
      <c r="K15" s="56"/>
      <c r="L15" s="52"/>
      <c r="M15" s="52"/>
      <c r="N15" s="52"/>
      <c r="O15"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4" xr:uid="{00000000-0002-0000-0100-000000000000}">
      <formula1>"〇"</formula1>
    </dataValidation>
    <dataValidation type="list" allowBlank="1" showErrorMessage="1" sqref="C5:C14" xr:uid="{00000000-0002-0000-0100-000001000000}">
      <formula1>指摘分類</formula1>
    </dataValidation>
    <dataValidation type="list" allowBlank="1" showInputMessage="1" showErrorMessage="1" sqref="F5:F14"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4" xr:uid="{00000000-0002-0000-0100-000003000000}">
      <formula1>影響度</formula1>
    </dataValidation>
    <dataValidation allowBlank="1" showErrorMessage="1" sqref="B5:B14" xr:uid="{00000000-0002-0000-0100-000004000000}"/>
    <dataValidation type="list" allowBlank="1" showInputMessage="1" showErrorMessage="1" promptTitle="対処要否を選択してください。" prompt="01_要_x000a_02_不要_x000a_03_重複_x000a_99_判断できず（TL判断要）" sqref="K5:K14" xr:uid="{00000000-0002-0000-0100-000005000000}">
      <formula1>対処要否</formula1>
    </dataValidation>
    <dataValidation type="list" allowBlank="1" showErrorMessage="1" sqref="D5:D14"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4"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2026-03-09T12:21:08Z</dcterms:modified>
</cp:coreProperties>
</file>