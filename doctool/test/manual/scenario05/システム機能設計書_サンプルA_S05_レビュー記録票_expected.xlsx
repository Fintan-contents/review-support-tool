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B1BC6B52-8F49-49FB-96A6-2FF5A1DC5BE5}" xr6:coauthVersionLast="47" xr6:coauthVersionMax="47" xr10:uidLastSave="{00000000-0000-0000-0000-000000000000}"/>
  <bookViews>
    <workbookView xWindow="1905" yWindow="5310" windowWidth="24285" windowHeight="1371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レビュー指摘一覧!$A$1:$O$6</definedName>
    <definedName name="_xlnm.Print_Area" localSheetId="0">レビュー実施状況!$A$1:$S$16</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レビュー実施状況!$G$15:$G$16</definedName>
    <definedName name="レビュー時間">レビュー実施状況!$F$15:$F$16</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<sst xmlns="http://schemas.openxmlformats.org/spreadsheetml/2006/main" count="224" uniqueCount="193">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</sst>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6"/>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COUNTA(レビュー指摘一覧!H5:H9990)</f>
        <v>0</v>
      </c>
      <c r="E7" s="161"/>
      <c r="F7" s="76" t="s">
        <v>155</v>
      </c>
      <c r="G7" s="156"/>
      <c r="H7" s="157"/>
      <c r="I7" s="85">
        <f>COUNTIF(レビュー指摘一覧!K5:K9990,"01_要")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c r="B15" s="15"/>
      <c r="C15" s="15"/>
      <c r="D15" s="16"/>
      <c r="E15" s="16"/>
      <c r="F15" s="17"/>
      <c r="G15" s="18" t="str">
        <f t="shared" ref="G15" si="0">IF(F15&lt;&gt;"",F15/60*N15,"")</f>
        <v/>
      </c>
      <c r="H15" s="19"/>
      <c r="I15" s="15"/>
      <c r="J15" s="15"/>
      <c r="K15" s="19"/>
      <c r="L15" s="15"/>
      <c r="M15" s="15"/>
      <c r="N15" s="15"/>
      <c r="O15" s="15"/>
      <c r="P15" s="18" t="str">
        <f t="shared" ref="P15" si="1">IF(ISERROR(G15/(O15/10)),"",G15/(O15/10))</f>
        <v/>
      </c>
      <c r="Q15" s="20"/>
      <c r="R15" s="73"/>
      <c r="S15" s="21"/>
    </row>
    <row r="16" spans="1:21" ht="15.75" customHeight="1">
      <c r="A16" s="51" t="s">
        <v>144</v>
      </c>
      <c r="B16" s="59" t="s">
        <v>145</v>
      </c>
      <c r="C16" s="52"/>
      <c r="D16" s="53"/>
      <c r="E16" s="53"/>
      <c r="F16" s="54"/>
      <c r="G16" s="55"/>
      <c r="H16" s="56"/>
      <c r="I16" s="52"/>
      <c r="J16" s="52"/>
      <c r="K16" s="56"/>
      <c r="L16" s="52"/>
      <c r="M16" s="52"/>
      <c r="N16" s="52"/>
      <c r="O16" s="52"/>
      <c r="P16" s="55"/>
      <c r="Q16" s="57"/>
      <c r="R16" s="74"/>
      <c r="S16"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 xr:uid="{00000000-0002-0000-0000-000005000000}">
      <formula1>レビュー実施形態</formula1>
    </dataValidation>
    <dataValidation type="list" allowBlank="1" showInputMessage="1" showErrorMessage="1" sqref="Q15" xr:uid="{00000000-0002-0000-0000-000006000000}">
      <formula1>合否判定</formula1>
    </dataValidation>
    <dataValidation type="list" allowBlank="1" showInputMessage="1" showErrorMessage="1" sqref="R15" xr:uid="{00000000-0002-0000-0000-000007000000}">
      <formula1>次回要否</formula1>
    </dataValidation>
    <dataValidation type="list" allowBlank="1" showInputMessage="1" showErrorMessage="1" sqref="H15" xr:uid="{00000000-0002-0000-0000-000008000000}">
      <formula1>レビューア</formula1>
    </dataValidation>
    <dataValidation type="list" allowBlank="1" showInputMessage="1" showErrorMessage="1" sqref="K15" xr:uid="{00000000-0002-0000-0000-000009000000}">
      <formula1>レビューイ</formula1>
    </dataValidation>
    <dataValidation type="list" allowBlank="1" showInputMessage="1" showErrorMessage="1" sqref="B15"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6"/>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60" customHeight="1">
      <c r="A5" s="67">
        <f>ROW()-4</f>
        <v>1</v>
      </c>
      <c r="B5" s="24"/>
      <c r="C5" s="25"/>
      <c r="D5" s="26"/>
      <c r="E5" s="26"/>
      <c r="F5" s="26"/>
      <c r="G5" s="26"/>
      <c r="H5" s="27"/>
      <c r="I5" s="28"/>
      <c r="J5" s="29"/>
      <c r="K5" s="26"/>
      <c r="L5" s="28"/>
      <c r="M5" s="28"/>
      <c r="N5" s="30"/>
      <c r="O5" s="31"/>
    </row>
    <row r="6" spans="1:15">
      <c r="A6" s="51" t="s">
        <v>144</v>
      </c>
      <c r="B6" s="59" t="s">
        <v>145</v>
      </c>
      <c r="C6" s="52"/>
      <c r="D6" s="53"/>
      <c r="E6" s="53"/>
      <c r="F6" s="54"/>
      <c r="G6" s="55"/>
      <c r="H6" s="56"/>
      <c r="I6" s="52"/>
      <c r="J6" s="52"/>
      <c r="K6" s="56"/>
      <c r="L6" s="52"/>
      <c r="M6" s="52"/>
      <c r="N6" s="52"/>
      <c r="O6"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 xr:uid="{00000000-0002-0000-0100-000000000000}">
      <formula1>"〇"</formula1>
    </dataValidation>
    <dataValidation type="list" allowBlank="1" showErrorMessage="1" sqref="C5" xr:uid="{00000000-0002-0000-0100-000001000000}">
      <formula1>指摘分類</formula1>
    </dataValidation>
    <dataValidation type="list" allowBlank="1" showInputMessage="1" showErrorMessage="1" sqref="F5"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 xr:uid="{00000000-0002-0000-0100-000003000000}">
      <formula1>影響度</formula1>
    </dataValidation>
    <dataValidation allowBlank="1" showErrorMessage="1" sqref="B5" xr:uid="{00000000-0002-0000-0100-000004000000}"/>
    <dataValidation type="list" allowBlank="1" showInputMessage="1" showErrorMessage="1" promptTitle="対処要否を選択してください。" prompt="01_要_x000a_02_不要_x000a_03_重複_x000a_99_判断できず（TL判断要）" sqref="K5" xr:uid="{00000000-0002-0000-0100-000005000000}">
      <formula1>対処要否</formula1>
    </dataValidation>
    <dataValidation type="list" allowBlank="1" showErrorMessage="1" sqref="D5"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2026-03-10T06:45:23Z</dcterms:modified>
</cp:coreProperties>
</file>